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7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slicers/slicer1.xml" ContentType="application/vnd.ms-excel.slicer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Y:\Aseptico\1.DEPARTAMENTO DE PRODUCCION\AÑO 2026\9. SEPTIEMBRE 2026\"/>
    </mc:Choice>
  </mc:AlternateContent>
  <xr:revisionPtr revIDLastSave="0" documentId="13_ncr:1_{0CD654F8-2802-4454-9249-84579C575C96}" xr6:coauthVersionLast="47" xr6:coauthVersionMax="47" xr10:uidLastSave="{00000000-0000-0000-0000-000000000000}"/>
  <bookViews>
    <workbookView xWindow="-120" yWindow="-120" windowWidth="20730" windowHeight="11160" tabRatio="908" firstSheet="11" activeTab="18" xr2:uid="{00000000-000D-0000-FFFF-FFFF00000000}"/>
  </bookViews>
  <sheets>
    <sheet name="FORMULACIÒN CONVELAC" sheetId="36" state="hidden" r:id="rId1"/>
    <sheet name="peroxido" sheetId="44" state="hidden" r:id="rId2"/>
    <sheet name="RESGUARDO MATERIAL DE EMPAQUE" sheetId="50" state="hidden" r:id="rId3"/>
    <sheet name="Naranjada Cotoperi Pedidos" sheetId="60" state="hidden" r:id="rId4"/>
    <sheet name="CIERRE ME" sheetId="62" state="hidden" r:id="rId5"/>
    <sheet name="CIERRES SEGREGADO Edulc" sheetId="57" state="hidden" r:id="rId6"/>
    <sheet name="CIERRES SEGREGADO T" sheetId="47" state="hidden" r:id="rId7"/>
    <sheet name="RESGUARDO" sheetId="45" state="hidden" r:id="rId8"/>
    <sheet name="Pegas" sheetId="35" state="hidden" r:id="rId9"/>
    <sheet name="COLORES TAPAS" sheetId="32" state="hidden" r:id="rId10"/>
    <sheet name="AZUCAR" sheetId="46" state="hidden" r:id="rId11"/>
    <sheet name="Reportes de Prod" sheetId="59" r:id="rId12"/>
    <sheet name="Consumo Estimado" sheetId="15" r:id="rId13"/>
    <sheet name="Consumibles" sheetId="63" r:id="rId14"/>
    <sheet name="PRODUCCION ASEPTICO" sheetId="6" state="hidden" r:id="rId15"/>
    <sheet name="Reporte " sheetId="17" state="hidden" r:id="rId16"/>
    <sheet name="Cálculos" sheetId="13" r:id="rId17"/>
    <sheet name=" MATERIA PRIMA CLASICA " sheetId="49" r:id="rId18"/>
    <sheet name="FORMULA COTOPERI" sheetId="58" r:id="rId19"/>
    <sheet name="Gráfico1" sheetId="54" state="hidden" r:id="rId20"/>
    <sheet name="TE" sheetId="43" r:id="rId21"/>
    <sheet name="Merma L" sheetId="56" state="hidden" r:id="rId22"/>
    <sheet name="Hoja3" sheetId="53" state="hidden" r:id="rId23"/>
    <sheet name="Hoja1" sheetId="51" state="hidden" r:id="rId24"/>
    <sheet name="JUCOSA" sheetId="42" r:id="rId25"/>
    <sheet name="SIN AZUCAR" sheetId="28" r:id="rId26"/>
    <sheet name="DATA GENERAL" sheetId="61" state="hidden" r:id="rId27"/>
    <sheet name="PLMS" sheetId="55" state="hidden" r:id="rId28"/>
    <sheet name="PREMIUM" sheetId="37" state="hidden" r:id="rId29"/>
    <sheet name="pitillos arcevi" sheetId="34" state="hidden" r:id="rId30"/>
  </sheets>
  <externalReferences>
    <externalReference r:id="rId31"/>
  </externalReferences>
  <definedNames>
    <definedName name="_\c" localSheetId="9">#REF!</definedName>
    <definedName name="_\x" localSheetId="17">#REF!</definedName>
    <definedName name="_\x" localSheetId="18">#REF!</definedName>
    <definedName name="__\c" localSheetId="17">#REF!</definedName>
    <definedName name="__\c" localSheetId="18">#REF!</definedName>
    <definedName name="__\c">#REF!</definedName>
    <definedName name="__\x" localSheetId="0">#REF!</definedName>
    <definedName name="__\x">#REF!</definedName>
    <definedName name="___\c" localSheetId="0">#REF!</definedName>
    <definedName name="___\x">#REF!</definedName>
    <definedName name="_____\c">#REF!</definedName>
    <definedName name="_xlnm._FilterDatabase" localSheetId="26" hidden="1">'DATA GENERAL'!$A$7:$J$196</definedName>
    <definedName name="_xlnm._FilterDatabase" localSheetId="14" hidden="1">'PRODUCCION ASEPTICO'!$B$7:$HJ$7</definedName>
    <definedName name="aabril" localSheetId="17">#REF!</definedName>
    <definedName name="aabril" localSheetId="9">#REF!</definedName>
    <definedName name="aabril" localSheetId="18">#REF!</definedName>
    <definedName name="aabril" localSheetId="0">#REF!</definedName>
    <definedName name="aabril">#REF!</definedName>
    <definedName name="Abril" localSheetId="17">#REF!</definedName>
    <definedName name="Abril" localSheetId="9">#REF!</definedName>
    <definedName name="Abril" localSheetId="18">#REF!</definedName>
    <definedName name="Abril" localSheetId="0">#REF!</definedName>
    <definedName name="Abril">#REF!</definedName>
    <definedName name="_xlnm.Print_Area" localSheetId="4">'CIERRE ME'!$A$1:$F$31</definedName>
    <definedName name="_xlnm.Print_Area" localSheetId="5">'CIERRES SEGREGADO Edulc'!$A$1:$I$19</definedName>
    <definedName name="_xlnm.Print_Area" localSheetId="6">'CIERRES SEGREGADO T'!$A$1:$K$28</definedName>
    <definedName name="_xlnm.Print_Area" localSheetId="7">RESGUARDO!$A$1:$H$12</definedName>
    <definedName name="_xlnm.Print_Area" localSheetId="2">'RESGUARDO MATERIAL DE EMPAQUE'!$A$1:$C$12</definedName>
    <definedName name="CUAD" localSheetId="17">#REF!</definedName>
    <definedName name="CUAD" localSheetId="9">#REF!</definedName>
    <definedName name="CUAD" localSheetId="18">#REF!</definedName>
    <definedName name="CUAD" localSheetId="0">#REF!</definedName>
    <definedName name="CUAD">#REF!</definedName>
    <definedName name="gruex" localSheetId="17">#REF!</definedName>
    <definedName name="gruex" localSheetId="18">#REF!</definedName>
    <definedName name="gruex" localSheetId="0">#REF!</definedName>
    <definedName name="gruex">#REF!</definedName>
    <definedName name="grupo" localSheetId="17">#REF!</definedName>
    <definedName name="grupo" localSheetId="18">#REF!</definedName>
    <definedName name="grupo" localSheetId="0">#REF!</definedName>
    <definedName name="grupo">#REF!</definedName>
    <definedName name="LISTA1">#REF!</definedName>
    <definedName name="MANGO" localSheetId="17">' MATERIA PRIMA CLASICA '!$N$5:$N$16</definedName>
    <definedName name="MANGO" localSheetId="18">'FORMULA COTOPERI'!$N$5:$N$16</definedName>
    <definedName name="MANGO" localSheetId="0">'FORMULACIÒN CONVELAC'!$N$5:$N$16</definedName>
    <definedName name="MANGO" localSheetId="24">JUCOSA!#REF!</definedName>
    <definedName name="MANGO" localSheetId="28">PREMIUM!#REF!</definedName>
    <definedName name="MANGO" localSheetId="25">'SIN AZUCAR'!#REF!</definedName>
    <definedName name="MANGO" localSheetId="20">TE!#REF!</definedName>
    <definedName name="MANGO">#REF!</definedName>
    <definedName name="Print_Area_MI" localSheetId="17">#REF!</definedName>
    <definedName name="Print_Area_MI" localSheetId="18">#REF!</definedName>
    <definedName name="Print_Area_MI" localSheetId="0">#REF!</definedName>
    <definedName name="Print_Area_MI">#REF!</definedName>
    <definedName name="PRINT_TITLES_MI" localSheetId="17">#REF!</definedName>
    <definedName name="PRINT_TITLES_MI" localSheetId="18">#REF!</definedName>
    <definedName name="PRINT_TITLES_MI" localSheetId="0">#REF!</definedName>
    <definedName name="PRINT_TITLES_MI">#REF!</definedName>
    <definedName name="sector">#REF!</definedName>
    <definedName name="SegmentaciónDeDatos_Clase_de_Producto">#N/A</definedName>
    <definedName name="SegmentaciónDeDatos_Clasif_de_Producto">#N/A</definedName>
    <definedName name="SegmentaciónDeDatos_Condicion">#N/A</definedName>
    <definedName name="SegmentaciónDeDatos_Planta_de_Fabricacion1">#N/A</definedName>
    <definedName name="SegmentaciónDeDatos_STATUS1">#N/A</definedName>
    <definedName name="solver_adj" localSheetId="12" hidden="1">'Consumo Estimado'!$C$23</definedName>
    <definedName name="solver_cvg" localSheetId="12" hidden="1">0.0001</definedName>
    <definedName name="solver_drv" localSheetId="12" hidden="1">1</definedName>
    <definedName name="solver_eng" localSheetId="12" hidden="1">1</definedName>
    <definedName name="solver_est" localSheetId="12" hidden="1">1</definedName>
    <definedName name="solver_itr" localSheetId="12" hidden="1">2147483647</definedName>
    <definedName name="solver_lhs1" localSheetId="12" hidden="1">'Consumo Estimado'!$C$23</definedName>
    <definedName name="solver_lhs2" localSheetId="12" hidden="1">'Consumo Estimado'!$C$23</definedName>
    <definedName name="solver_mip" localSheetId="12" hidden="1">2147483647</definedName>
    <definedName name="solver_mni" localSheetId="12" hidden="1">30</definedName>
    <definedName name="solver_mrt" localSheetId="12" hidden="1">0.075</definedName>
    <definedName name="solver_msl" localSheetId="12" hidden="1">2</definedName>
    <definedName name="solver_neg" localSheetId="12" hidden="1">1</definedName>
    <definedName name="solver_nod" localSheetId="12" hidden="1">2147483647</definedName>
    <definedName name="solver_num" localSheetId="12" hidden="1">2</definedName>
    <definedName name="solver_nwt" localSheetId="12" hidden="1">1</definedName>
    <definedName name="solver_opt" localSheetId="12" hidden="1">'Consumo Estimado'!$E$23</definedName>
    <definedName name="solver_pre" localSheetId="12" hidden="1">0.000001</definedName>
    <definedName name="solver_rbv" localSheetId="12" hidden="1">1</definedName>
    <definedName name="solver_rel1" localSheetId="12" hidden="1">1</definedName>
    <definedName name="solver_rel2" localSheetId="12" hidden="1">3</definedName>
    <definedName name="solver_rhs1" localSheetId="12" hidden="1">0.5</definedName>
    <definedName name="solver_rhs2" localSheetId="12" hidden="1">0</definedName>
    <definedName name="solver_rlx" localSheetId="12" hidden="1">2</definedName>
    <definedName name="solver_rsd" localSheetId="12" hidden="1">0</definedName>
    <definedName name="solver_scl" localSheetId="12" hidden="1">1</definedName>
    <definedName name="solver_sho" localSheetId="12" hidden="1">2</definedName>
    <definedName name="solver_ssz" localSheetId="12" hidden="1">100</definedName>
    <definedName name="solver_tim" localSheetId="12" hidden="1">2147483647</definedName>
    <definedName name="solver_tol" localSheetId="12" hidden="1">0.01</definedName>
    <definedName name="solver_typ" localSheetId="12" hidden="1">3</definedName>
    <definedName name="solver_val" localSheetId="12" hidden="1">1116</definedName>
    <definedName name="solver_ver" localSheetId="12" hidden="1">3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2"/>
        <x14:slicerCache r:id="rId33"/>
        <x14:slicerCache r:id="rId34"/>
        <x14:slicerCache r:id="rId35"/>
        <x14:slicerCache r:id="rId36"/>
      </x15:slicerCaches>
    </ext>
  </extLst>
</workbook>
</file>

<file path=xl/calcChain.xml><?xml version="1.0" encoding="utf-8"?>
<calcChain xmlns="http://schemas.openxmlformats.org/spreadsheetml/2006/main">
  <c r="F104" i="59" l="1"/>
  <c r="F103" i="59"/>
  <c r="J103" i="59"/>
  <c r="G103" i="59"/>
  <c r="H103" i="59"/>
  <c r="F102" i="59"/>
  <c r="H102" i="59"/>
  <c r="G102" i="59"/>
  <c r="H104" i="59" l="1"/>
  <c r="I104" i="59" s="1"/>
  <c r="I103" i="59"/>
  <c r="J104" i="59" l="1"/>
  <c r="I102" i="59" l="1"/>
  <c r="J102" i="59" s="1"/>
  <c r="J101" i="59"/>
  <c r="G101" i="59"/>
  <c r="F101" i="59"/>
  <c r="H101" i="59" s="1"/>
  <c r="I101" i="59" s="1"/>
  <c r="J100" i="59"/>
  <c r="G100" i="59"/>
  <c r="F100" i="59"/>
  <c r="H100" i="59"/>
  <c r="I100" i="59" l="1"/>
  <c r="J97" i="59" l="1"/>
  <c r="J98" i="59"/>
  <c r="J99" i="59"/>
  <c r="G99" i="59"/>
  <c r="F99" i="59"/>
  <c r="H99" i="59" s="1"/>
  <c r="I99" i="59" s="1"/>
  <c r="G98" i="59"/>
  <c r="F98" i="59"/>
  <c r="H98" i="59" s="1"/>
  <c r="I98" i="59" s="1"/>
  <c r="G97" i="59"/>
  <c r="F97" i="59"/>
  <c r="H97" i="59" s="1"/>
  <c r="G96" i="59"/>
  <c r="F96" i="59"/>
  <c r="G94" i="59"/>
  <c r="F94" i="59"/>
  <c r="H94" i="59" s="1"/>
  <c r="H96" i="59"/>
  <c r="J93" i="59"/>
  <c r="J95" i="59"/>
  <c r="G95" i="59"/>
  <c r="G93" i="59"/>
  <c r="F95" i="59"/>
  <c r="H95" i="59" s="1"/>
  <c r="H93" i="59"/>
  <c r="I93" i="59" s="1"/>
  <c r="G92" i="59"/>
  <c r="F92" i="59"/>
  <c r="H92" i="59" s="1"/>
  <c r="G91" i="59"/>
  <c r="F91" i="59"/>
  <c r="H91" i="59" s="1"/>
  <c r="J90" i="59"/>
  <c r="G90" i="59"/>
  <c r="H90" i="59"/>
  <c r="I97" i="59" l="1"/>
  <c r="I96" i="59"/>
  <c r="J96" i="59" s="1"/>
  <c r="J94" i="59"/>
  <c r="I95" i="59"/>
  <c r="I94" i="59"/>
  <c r="I92" i="59"/>
  <c r="J92" i="59"/>
  <c r="I91" i="59"/>
  <c r="J91" i="59" s="1"/>
  <c r="I90" i="59"/>
  <c r="K89" i="59"/>
  <c r="G89" i="59" l="1"/>
  <c r="F89" i="59"/>
  <c r="G88" i="59"/>
  <c r="F88" i="59"/>
  <c r="J87" i="59"/>
  <c r="G87" i="59"/>
  <c r="F87" i="59"/>
  <c r="H87" i="59" s="1"/>
  <c r="H89" i="59"/>
  <c r="I89" i="59" s="1"/>
  <c r="H88" i="59"/>
  <c r="I88" i="59" s="1"/>
  <c r="J89" i="59" l="1"/>
  <c r="J88" i="59"/>
  <c r="I87" i="59"/>
  <c r="D18" i="43" l="1"/>
  <c r="F81" i="59"/>
  <c r="K23" i="47"/>
  <c r="K24" i="47"/>
  <c r="K11" i="47"/>
  <c r="K7" i="47"/>
  <c r="K6" i="47"/>
  <c r="K18" i="47" s="1"/>
  <c r="K20" i="47"/>
  <c r="K17" i="47"/>
  <c r="K16" i="47"/>
  <c r="K15" i="47"/>
  <c r="K14" i="47"/>
  <c r="I24" i="47"/>
  <c r="I23" i="47"/>
  <c r="I15" i="47"/>
  <c r="I6" i="47"/>
  <c r="G8" i="47"/>
  <c r="E9" i="47"/>
  <c r="D24" i="47"/>
  <c r="D23" i="47"/>
  <c r="D8" i="47"/>
  <c r="K27" i="47"/>
  <c r="K25" i="47"/>
  <c r="F86" i="59" l="1"/>
  <c r="G86" i="59"/>
  <c r="H86" i="59"/>
  <c r="J85" i="59"/>
  <c r="G85" i="59"/>
  <c r="F85" i="59"/>
  <c r="H85" i="59" s="1"/>
  <c r="L82" i="59"/>
  <c r="E84" i="59"/>
  <c r="G84" i="59"/>
  <c r="F84" i="59"/>
  <c r="D84" i="59"/>
  <c r="F82" i="59"/>
  <c r="F83" i="59"/>
  <c r="G83" i="59"/>
  <c r="G82" i="59"/>
  <c r="G81" i="59"/>
  <c r="G80" i="59"/>
  <c r="I86" i="59" l="1"/>
  <c r="J86" i="59"/>
  <c r="I85" i="59"/>
  <c r="H84" i="59"/>
  <c r="H83" i="59"/>
  <c r="H82" i="59"/>
  <c r="H81" i="59"/>
  <c r="L81" i="59" s="1"/>
  <c r="H80" i="59"/>
  <c r="F78" i="59"/>
  <c r="F79" i="59" s="1"/>
  <c r="F77" i="59"/>
  <c r="G79" i="59"/>
  <c r="E79" i="59"/>
  <c r="H77" i="59"/>
  <c r="J76" i="59"/>
  <c r="G78" i="59"/>
  <c r="G77" i="59"/>
  <c r="G76" i="59"/>
  <c r="H76" i="59"/>
  <c r="I76" i="59" s="1"/>
  <c r="I80" i="59" l="1"/>
  <c r="J80" i="59" s="1"/>
  <c r="I83" i="59"/>
  <c r="J83" i="59"/>
  <c r="I82" i="59"/>
  <c r="J82" i="59"/>
  <c r="I84" i="59"/>
  <c r="J84" i="59" s="1"/>
  <c r="I81" i="59"/>
  <c r="J81" i="59" s="1"/>
  <c r="H78" i="59"/>
  <c r="H79" i="59"/>
  <c r="I77" i="59"/>
  <c r="J77" i="59" s="1"/>
  <c r="I79" i="59" l="1"/>
  <c r="J79" i="59" s="1"/>
  <c r="J78" i="59"/>
  <c r="I78" i="59"/>
  <c r="I33" i="49" l="1"/>
  <c r="I34" i="49"/>
  <c r="G75" i="59" l="1"/>
  <c r="F75" i="59"/>
  <c r="G74" i="59"/>
  <c r="F74" i="59"/>
  <c r="H75" i="59"/>
  <c r="H74" i="59"/>
  <c r="G73" i="59"/>
  <c r="F73" i="59"/>
  <c r="H73" i="59" s="1"/>
  <c r="F70" i="59"/>
  <c r="J73" i="59" l="1"/>
  <c r="J74" i="59"/>
  <c r="I75" i="59"/>
  <c r="J75" i="59"/>
  <c r="I74" i="59"/>
  <c r="I73" i="59"/>
  <c r="F71" i="59"/>
  <c r="H71" i="59" s="1"/>
  <c r="G71" i="59"/>
  <c r="F72" i="59"/>
  <c r="H72" i="59" s="1"/>
  <c r="H70" i="59"/>
  <c r="F69" i="59"/>
  <c r="H69" i="59" s="1"/>
  <c r="G70" i="59"/>
  <c r="G69" i="59"/>
  <c r="G68" i="59"/>
  <c r="G67" i="59"/>
  <c r="F68" i="59"/>
  <c r="H68" i="59" s="1"/>
  <c r="F67" i="59"/>
  <c r="I72" i="59" l="1"/>
  <c r="J72" i="59" s="1"/>
  <c r="I71" i="59"/>
  <c r="J71" i="59" s="1"/>
  <c r="I70" i="59"/>
  <c r="J70" i="59" s="1"/>
  <c r="I69" i="59"/>
  <c r="J69" i="59" s="1"/>
  <c r="I68" i="59"/>
  <c r="J68" i="59" s="1"/>
  <c r="E66" i="59" l="1"/>
  <c r="G66" i="59"/>
  <c r="F66" i="59"/>
  <c r="G65" i="59"/>
  <c r="H67" i="59"/>
  <c r="H65" i="59"/>
  <c r="I67" i="59" l="1"/>
  <c r="J67" i="59"/>
  <c r="H66" i="59"/>
  <c r="I65" i="59"/>
  <c r="J65" i="59" s="1"/>
  <c r="I66" i="59" l="1"/>
  <c r="J66" i="59" s="1"/>
  <c r="G64" i="59"/>
  <c r="F64" i="59"/>
  <c r="H64" i="59" s="1"/>
  <c r="G63" i="59"/>
  <c r="F63" i="59"/>
  <c r="H63" i="59" s="1"/>
  <c r="I5" i="37"/>
  <c r="F61" i="59"/>
  <c r="H61" i="59" s="1"/>
  <c r="G61" i="59"/>
  <c r="G62" i="59"/>
  <c r="F62" i="59"/>
  <c r="H62" i="59" s="1"/>
  <c r="G60" i="59"/>
  <c r="F60" i="59"/>
  <c r="G59" i="59"/>
  <c r="F59" i="59"/>
  <c r="H60" i="59"/>
  <c r="H59" i="59"/>
  <c r="I64" i="59" l="1"/>
  <c r="J64" i="59" s="1"/>
  <c r="I63" i="59"/>
  <c r="J63" i="59" s="1"/>
  <c r="I61" i="59"/>
  <c r="J61" i="59" s="1"/>
  <c r="I62" i="59"/>
  <c r="J62" i="59" s="1"/>
  <c r="I59" i="59"/>
  <c r="J59" i="59" s="1"/>
  <c r="I60" i="59"/>
  <c r="J60" i="59" s="1"/>
  <c r="F10" i="13"/>
  <c r="F9" i="13"/>
  <c r="D8" i="49"/>
  <c r="D9" i="49"/>
  <c r="D10" i="49"/>
  <c r="D11" i="49"/>
  <c r="D12" i="49"/>
  <c r="D13" i="49"/>
  <c r="D14" i="49"/>
  <c r="F14" i="49" s="1"/>
  <c r="D15" i="49"/>
  <c r="D16" i="49"/>
  <c r="D7" i="49"/>
  <c r="F15" i="49" l="1"/>
  <c r="E58" i="59" l="1"/>
  <c r="G58" i="59"/>
  <c r="F58" i="59"/>
  <c r="H58" i="59" l="1"/>
  <c r="I58" i="59" s="1"/>
  <c r="G57" i="59"/>
  <c r="E57" i="59"/>
  <c r="F57" i="59"/>
  <c r="J58" i="59" l="1"/>
  <c r="H57" i="59"/>
  <c r="I57" i="59" l="1"/>
  <c r="J57" i="59" s="1"/>
  <c r="G3" i="63"/>
  <c r="G15" i="63" l="1"/>
  <c r="G8" i="63"/>
  <c r="G7" i="63"/>
  <c r="G5" i="63"/>
  <c r="K10" i="47" l="1"/>
  <c r="K4" i="47"/>
  <c r="K5" i="47"/>
  <c r="K8" i="47" l="1"/>
  <c r="F8" i="49"/>
  <c r="Q46" i="60"/>
  <c r="S46" i="60" s="1"/>
  <c r="O47" i="60"/>
  <c r="Q47" i="60" s="1"/>
  <c r="S47" i="60" s="1"/>
  <c r="Q39" i="60"/>
  <c r="O40" i="60"/>
  <c r="Q40" i="60" s="1"/>
  <c r="F56" i="59"/>
  <c r="E56" i="59"/>
  <c r="E55" i="59"/>
  <c r="E54" i="59"/>
  <c r="G55" i="59"/>
  <c r="F55" i="59"/>
  <c r="G54" i="59"/>
  <c r="F54" i="59"/>
  <c r="G56" i="59"/>
  <c r="H56" i="59" l="1"/>
  <c r="I56" i="59" s="1"/>
  <c r="J56" i="59" s="1"/>
  <c r="H55" i="59"/>
  <c r="I55" i="59" s="1"/>
  <c r="J55" i="59" s="1"/>
  <c r="H54" i="59"/>
  <c r="I54" i="59" s="1"/>
  <c r="J54" i="59" s="1"/>
  <c r="J29" i="60" l="1"/>
  <c r="I28" i="60"/>
  <c r="D22" i="62" l="1"/>
  <c r="D25" i="62"/>
  <c r="D12" i="62" l="1"/>
  <c r="D5" i="62"/>
  <c r="D31" i="62"/>
  <c r="D30" i="62"/>
  <c r="D29" i="62"/>
  <c r="D24" i="62"/>
  <c r="D23" i="62"/>
  <c r="D20" i="62"/>
  <c r="D16" i="62"/>
  <c r="D15" i="62"/>
  <c r="D13" i="62"/>
  <c r="D8" i="62"/>
  <c r="D4" i="62"/>
  <c r="D3" i="62"/>
  <c r="F51" i="59" l="1"/>
  <c r="F53" i="59"/>
  <c r="F52" i="59"/>
  <c r="G50" i="59"/>
  <c r="F50" i="59"/>
  <c r="H53" i="59" l="1"/>
  <c r="G51" i="59"/>
  <c r="G52" i="59" s="1"/>
  <c r="H51" i="59"/>
  <c r="I51" i="59" s="1"/>
  <c r="H52" i="59"/>
  <c r="H50" i="59"/>
  <c r="I50" i="59" s="1"/>
  <c r="G49" i="59"/>
  <c r="F49" i="59"/>
  <c r="H49" i="59" s="1"/>
  <c r="J51" i="59" l="1"/>
  <c r="J50" i="59"/>
  <c r="I53" i="59"/>
  <c r="J53" i="59" s="1"/>
  <c r="I52" i="59"/>
  <c r="J52" i="59" s="1"/>
  <c r="I49" i="59"/>
  <c r="J49" i="59" s="1"/>
  <c r="F47" i="59" l="1"/>
  <c r="G46" i="59" l="1"/>
  <c r="G47" i="59"/>
  <c r="G48" i="59"/>
  <c r="F48" i="59"/>
  <c r="H48" i="59" s="1"/>
  <c r="H47" i="59"/>
  <c r="F46" i="59"/>
  <c r="H46" i="59" s="1"/>
  <c r="I48" i="59" l="1"/>
  <c r="J48" i="59" s="1"/>
  <c r="I47" i="59"/>
  <c r="J47" i="59" s="1"/>
  <c r="I46" i="59"/>
  <c r="J46" i="59" s="1"/>
  <c r="F7" i="49" l="1"/>
  <c r="G7" i="49" s="1"/>
  <c r="F45" i="59" l="1"/>
  <c r="H45" i="59" s="1"/>
  <c r="G45" i="59"/>
  <c r="G44" i="59"/>
  <c r="F44" i="59"/>
  <c r="H44" i="59" s="1"/>
  <c r="I45" i="59" l="1"/>
  <c r="J45" i="59" s="1"/>
  <c r="I44" i="59"/>
  <c r="J44" i="59" s="1"/>
  <c r="G43" i="59" l="1"/>
  <c r="F43" i="59"/>
  <c r="H43" i="59" s="1"/>
  <c r="G42" i="59"/>
  <c r="F42" i="59"/>
  <c r="H42" i="59" s="1"/>
  <c r="I42" i="59" s="1"/>
  <c r="J42" i="59" l="1"/>
  <c r="I43" i="59"/>
  <c r="J43" i="59" s="1"/>
  <c r="F41" i="59"/>
  <c r="F40" i="59"/>
  <c r="G39" i="59"/>
  <c r="G38" i="59"/>
  <c r="F38" i="59"/>
  <c r="F39" i="59"/>
  <c r="H41" i="59" l="1"/>
  <c r="H40" i="59"/>
  <c r="H39" i="59"/>
  <c r="H38" i="59"/>
  <c r="I41" i="59" l="1"/>
  <c r="J41" i="59" s="1"/>
  <c r="I38" i="59"/>
  <c r="J38" i="59" s="1"/>
  <c r="I39" i="59"/>
  <c r="J39" i="59" s="1"/>
  <c r="I40" i="59"/>
  <c r="J40" i="59" s="1"/>
  <c r="K12" i="47" l="1"/>
  <c r="H19" i="57" l="1"/>
  <c r="H18" i="57"/>
  <c r="G19" i="57"/>
  <c r="G18" i="57"/>
  <c r="F19" i="57"/>
  <c r="F18" i="57"/>
  <c r="E19" i="57"/>
  <c r="G36" i="59" l="1"/>
  <c r="G37" i="59"/>
  <c r="F36" i="59"/>
  <c r="H36" i="59" s="1"/>
  <c r="H37" i="59"/>
  <c r="G35" i="59"/>
  <c r="H35" i="59"/>
  <c r="I35" i="59" s="1"/>
  <c r="G34" i="59"/>
  <c r="F34" i="59"/>
  <c r="H34" i="59" s="1"/>
  <c r="I34" i="59" s="1"/>
  <c r="J34" i="59" l="1"/>
  <c r="J35" i="59"/>
  <c r="I37" i="59"/>
  <c r="J37" i="59" s="1"/>
  <c r="I36" i="59"/>
  <c r="J36" i="59" s="1"/>
  <c r="E33" i="59" l="1"/>
  <c r="G33" i="59"/>
  <c r="E32" i="59"/>
  <c r="G32" i="59"/>
  <c r="F31" i="59"/>
  <c r="H31" i="59" s="1"/>
  <c r="G31" i="59"/>
  <c r="G30" i="59"/>
  <c r="G29" i="59"/>
  <c r="G28" i="59"/>
  <c r="F29" i="59"/>
  <c r="H29" i="59" s="1"/>
  <c r="F28" i="59"/>
  <c r="H28" i="59" s="1"/>
  <c r="H30" i="59"/>
  <c r="F27" i="59"/>
  <c r="H27" i="59" s="1"/>
  <c r="I24" i="60"/>
  <c r="I26" i="60"/>
  <c r="I23" i="60"/>
  <c r="G26" i="59"/>
  <c r="F26" i="59"/>
  <c r="H26" i="59" s="1"/>
  <c r="I10" i="13"/>
  <c r="G25" i="59"/>
  <c r="H25" i="59"/>
  <c r="G24" i="59"/>
  <c r="E24" i="59"/>
  <c r="D24" i="59"/>
  <c r="G23" i="59"/>
  <c r="F23" i="59"/>
  <c r="H23" i="59" s="1"/>
  <c r="F22" i="42"/>
  <c r="D19" i="42"/>
  <c r="E19" i="42" s="1"/>
  <c r="J33" i="28"/>
  <c r="G22" i="59"/>
  <c r="F22" i="59"/>
  <c r="H22" i="59" s="1"/>
  <c r="G20" i="59"/>
  <c r="F20" i="59"/>
  <c r="H20" i="59" s="1"/>
  <c r="G21" i="59"/>
  <c r="E21" i="59"/>
  <c r="F21" i="59"/>
  <c r="D21" i="59"/>
  <c r="G19" i="59"/>
  <c r="G18" i="59"/>
  <c r="F19" i="59"/>
  <c r="H19" i="59" s="1"/>
  <c r="F18" i="59"/>
  <c r="H18" i="59" s="1"/>
  <c r="G17" i="59"/>
  <c r="F17" i="59"/>
  <c r="H17" i="59" s="1"/>
  <c r="G16" i="59"/>
  <c r="F16" i="59"/>
  <c r="H16" i="59" s="1"/>
  <c r="E15" i="59"/>
  <c r="G15" i="59"/>
  <c r="G14" i="59"/>
  <c r="F14" i="59"/>
  <c r="F15" i="59" s="1"/>
  <c r="H197" i="61"/>
  <c r="G197" i="61"/>
  <c r="R196" i="61"/>
  <c r="Q196" i="61"/>
  <c r="P196" i="61"/>
  <c r="O196" i="61"/>
  <c r="N196" i="61"/>
  <c r="M196" i="61"/>
  <c r="I196" i="61"/>
  <c r="R195" i="61"/>
  <c r="Q195" i="61"/>
  <c r="P195" i="61"/>
  <c r="O195" i="61"/>
  <c r="N195" i="61"/>
  <c r="M195" i="61"/>
  <c r="I195" i="61"/>
  <c r="R194" i="61"/>
  <c r="Q194" i="61"/>
  <c r="P194" i="61"/>
  <c r="O194" i="61"/>
  <c r="N194" i="61"/>
  <c r="M194" i="61"/>
  <c r="I194" i="61"/>
  <c r="R193" i="61"/>
  <c r="Q193" i="61"/>
  <c r="P193" i="61"/>
  <c r="O193" i="61"/>
  <c r="N193" i="61"/>
  <c r="M193" i="61"/>
  <c r="I193" i="61"/>
  <c r="R192" i="61"/>
  <c r="Q192" i="61"/>
  <c r="P192" i="61"/>
  <c r="O192" i="61"/>
  <c r="N192" i="61"/>
  <c r="M192" i="61"/>
  <c r="I192" i="61"/>
  <c r="R191" i="61"/>
  <c r="Q191" i="61"/>
  <c r="P191" i="61"/>
  <c r="O191" i="61"/>
  <c r="N191" i="61"/>
  <c r="M191" i="61"/>
  <c r="I191" i="61"/>
  <c r="R190" i="61"/>
  <c r="Q190" i="61"/>
  <c r="P190" i="61"/>
  <c r="O190" i="61"/>
  <c r="N190" i="61"/>
  <c r="M190" i="61"/>
  <c r="I190" i="61"/>
  <c r="R189" i="61"/>
  <c r="Q189" i="61"/>
  <c r="P189" i="61"/>
  <c r="O189" i="61"/>
  <c r="N189" i="61"/>
  <c r="M189" i="61"/>
  <c r="I189" i="61"/>
  <c r="U188" i="61"/>
  <c r="T188" i="61"/>
  <c r="S188" i="61"/>
  <c r="R188" i="61"/>
  <c r="Q188" i="61"/>
  <c r="P188" i="61"/>
  <c r="O188" i="61"/>
  <c r="N188" i="61"/>
  <c r="M188" i="61"/>
  <c r="I188" i="61"/>
  <c r="U187" i="61"/>
  <c r="T187" i="61"/>
  <c r="S187" i="61"/>
  <c r="R187" i="61"/>
  <c r="Q187" i="61"/>
  <c r="P187" i="61"/>
  <c r="O187" i="61"/>
  <c r="N187" i="61"/>
  <c r="M187" i="61"/>
  <c r="I187" i="61"/>
  <c r="R186" i="61"/>
  <c r="Q186" i="61"/>
  <c r="P186" i="61"/>
  <c r="O186" i="61"/>
  <c r="N186" i="61"/>
  <c r="M186" i="61"/>
  <c r="I186" i="61"/>
  <c r="U185" i="61"/>
  <c r="T185" i="61"/>
  <c r="S185" i="61"/>
  <c r="R185" i="61"/>
  <c r="Q185" i="61"/>
  <c r="P185" i="61"/>
  <c r="O185" i="61"/>
  <c r="N185" i="61"/>
  <c r="M185" i="61"/>
  <c r="I185" i="61"/>
  <c r="U184" i="61"/>
  <c r="T184" i="61"/>
  <c r="S184" i="61"/>
  <c r="R184" i="61"/>
  <c r="Q184" i="61"/>
  <c r="P184" i="61"/>
  <c r="O184" i="61"/>
  <c r="N184" i="61"/>
  <c r="M184" i="61"/>
  <c r="I184" i="61"/>
  <c r="U183" i="61"/>
  <c r="T183" i="61"/>
  <c r="S183" i="61"/>
  <c r="R183" i="61"/>
  <c r="Q183" i="61"/>
  <c r="P183" i="61"/>
  <c r="O183" i="61"/>
  <c r="N183" i="61"/>
  <c r="M183" i="61"/>
  <c r="I183" i="61"/>
  <c r="R182" i="61"/>
  <c r="Q182" i="61"/>
  <c r="P182" i="61"/>
  <c r="O182" i="61"/>
  <c r="N182" i="61"/>
  <c r="M182" i="61"/>
  <c r="I182" i="61"/>
  <c r="R181" i="61"/>
  <c r="Q181" i="61"/>
  <c r="P181" i="61"/>
  <c r="O181" i="61"/>
  <c r="N181" i="61"/>
  <c r="M181" i="61"/>
  <c r="I181" i="61"/>
  <c r="R180" i="61"/>
  <c r="Q180" i="61"/>
  <c r="P180" i="61"/>
  <c r="O180" i="61"/>
  <c r="S180" i="61" s="1"/>
  <c r="N180" i="61"/>
  <c r="M180" i="61"/>
  <c r="I180" i="61"/>
  <c r="U179" i="61"/>
  <c r="T179" i="61"/>
  <c r="S179" i="61"/>
  <c r="R179" i="61"/>
  <c r="Q179" i="61"/>
  <c r="P179" i="61"/>
  <c r="O179" i="61"/>
  <c r="N179" i="61"/>
  <c r="M179" i="61"/>
  <c r="I179" i="61"/>
  <c r="R178" i="61"/>
  <c r="Q178" i="61"/>
  <c r="P178" i="61"/>
  <c r="O178" i="61"/>
  <c r="N178" i="61"/>
  <c r="M178" i="61"/>
  <c r="I178" i="61"/>
  <c r="R177" i="61"/>
  <c r="Q177" i="61"/>
  <c r="P177" i="61"/>
  <c r="O177" i="61"/>
  <c r="S177" i="61" s="1"/>
  <c r="N177" i="61"/>
  <c r="M177" i="61"/>
  <c r="I177" i="61"/>
  <c r="U176" i="61"/>
  <c r="T176" i="61"/>
  <c r="S176" i="61"/>
  <c r="R176" i="61"/>
  <c r="Q176" i="61"/>
  <c r="P176" i="61"/>
  <c r="O176" i="61"/>
  <c r="N176" i="61"/>
  <c r="M176" i="61"/>
  <c r="I176" i="61"/>
  <c r="U175" i="61"/>
  <c r="T175" i="61"/>
  <c r="S175" i="61"/>
  <c r="R175" i="61"/>
  <c r="Q175" i="61"/>
  <c r="P175" i="61"/>
  <c r="O175" i="61"/>
  <c r="N175" i="61"/>
  <c r="M175" i="61"/>
  <c r="I175" i="61"/>
  <c r="R174" i="61"/>
  <c r="Q174" i="61"/>
  <c r="P174" i="61"/>
  <c r="O174" i="61"/>
  <c r="N174" i="61"/>
  <c r="M174" i="61"/>
  <c r="I174" i="61"/>
  <c r="R173" i="61"/>
  <c r="Q173" i="61"/>
  <c r="P173" i="61"/>
  <c r="O173" i="61"/>
  <c r="S173" i="61" s="1"/>
  <c r="N173" i="61"/>
  <c r="M173" i="61"/>
  <c r="I173" i="61"/>
  <c r="U172" i="61"/>
  <c r="T172" i="61"/>
  <c r="S172" i="61"/>
  <c r="R172" i="61"/>
  <c r="Q172" i="61"/>
  <c r="P172" i="61"/>
  <c r="O172" i="61"/>
  <c r="N172" i="61"/>
  <c r="M172" i="61"/>
  <c r="I172" i="61"/>
  <c r="U171" i="61"/>
  <c r="T171" i="61"/>
  <c r="S171" i="61"/>
  <c r="R171" i="61"/>
  <c r="Q171" i="61"/>
  <c r="P171" i="61"/>
  <c r="O171" i="61"/>
  <c r="N171" i="61"/>
  <c r="M171" i="61"/>
  <c r="I171" i="61"/>
  <c r="U170" i="61"/>
  <c r="T170" i="61"/>
  <c r="S170" i="61"/>
  <c r="R170" i="61"/>
  <c r="Q170" i="61"/>
  <c r="P170" i="61"/>
  <c r="O170" i="61"/>
  <c r="N170" i="61"/>
  <c r="M170" i="61"/>
  <c r="I170" i="61"/>
  <c r="R169" i="61"/>
  <c r="Q169" i="61"/>
  <c r="P169" i="61"/>
  <c r="O169" i="61"/>
  <c r="N169" i="61"/>
  <c r="M169" i="61"/>
  <c r="I169" i="61"/>
  <c r="Z168" i="61"/>
  <c r="U168" i="61"/>
  <c r="T168" i="61"/>
  <c r="S168" i="61"/>
  <c r="R168" i="61"/>
  <c r="Q168" i="61"/>
  <c r="P168" i="61"/>
  <c r="O168" i="61"/>
  <c r="N168" i="61"/>
  <c r="M168" i="61"/>
  <c r="I168" i="61"/>
  <c r="R167" i="61"/>
  <c r="Q167" i="61"/>
  <c r="P167" i="61"/>
  <c r="O167" i="61"/>
  <c r="N167" i="61"/>
  <c r="S167" i="61" s="1"/>
  <c r="M167" i="61"/>
  <c r="I167" i="61"/>
  <c r="R166" i="61"/>
  <c r="Q166" i="61"/>
  <c r="P166" i="61"/>
  <c r="O166" i="61"/>
  <c r="N166" i="61"/>
  <c r="S166" i="61" s="1"/>
  <c r="M166" i="61"/>
  <c r="I166" i="61"/>
  <c r="Z165" i="61"/>
  <c r="R165" i="61"/>
  <c r="Q165" i="61"/>
  <c r="P165" i="61"/>
  <c r="O165" i="61"/>
  <c r="S165" i="61" s="1"/>
  <c r="N165" i="61"/>
  <c r="M165" i="61"/>
  <c r="I165" i="61"/>
  <c r="R164" i="61"/>
  <c r="Q164" i="61"/>
  <c r="P164" i="61"/>
  <c r="O164" i="61"/>
  <c r="N164" i="61"/>
  <c r="M164" i="61"/>
  <c r="I164" i="61"/>
  <c r="U163" i="61"/>
  <c r="T163" i="61"/>
  <c r="S163" i="61"/>
  <c r="R163" i="61"/>
  <c r="Q163" i="61"/>
  <c r="P163" i="61"/>
  <c r="O163" i="61"/>
  <c r="N163" i="61"/>
  <c r="M163" i="61"/>
  <c r="I163" i="61"/>
  <c r="U162" i="61"/>
  <c r="T162" i="61"/>
  <c r="S162" i="61"/>
  <c r="R162" i="61"/>
  <c r="Q162" i="61"/>
  <c r="P162" i="61"/>
  <c r="O162" i="61"/>
  <c r="N162" i="61"/>
  <c r="M162" i="61"/>
  <c r="I162" i="61"/>
  <c r="R161" i="61"/>
  <c r="Q161" i="61"/>
  <c r="P161" i="61"/>
  <c r="O161" i="61"/>
  <c r="N161" i="61"/>
  <c r="M161" i="61"/>
  <c r="I161" i="61"/>
  <c r="R160" i="61"/>
  <c r="Q160" i="61"/>
  <c r="P160" i="61"/>
  <c r="O160" i="61"/>
  <c r="N160" i="61"/>
  <c r="M160" i="61"/>
  <c r="I160" i="61"/>
  <c r="L160" i="61" s="1"/>
  <c r="U159" i="61"/>
  <c r="T159" i="61"/>
  <c r="R159" i="61"/>
  <c r="P159" i="61"/>
  <c r="N159" i="61"/>
  <c r="S159" i="61" s="1"/>
  <c r="M159" i="61"/>
  <c r="L159" i="61"/>
  <c r="K159" i="61"/>
  <c r="J159" i="61"/>
  <c r="R158" i="61"/>
  <c r="Q158" i="61"/>
  <c r="P158" i="61"/>
  <c r="O158" i="61"/>
  <c r="N158" i="61"/>
  <c r="M158" i="61"/>
  <c r="I158" i="61"/>
  <c r="R157" i="61"/>
  <c r="Q157" i="61"/>
  <c r="P157" i="61"/>
  <c r="O157" i="61"/>
  <c r="N157" i="61"/>
  <c r="M157" i="61"/>
  <c r="I157" i="61"/>
  <c r="R156" i="61"/>
  <c r="Q156" i="61"/>
  <c r="P156" i="61"/>
  <c r="O156" i="61"/>
  <c r="S156" i="61" s="1"/>
  <c r="N156" i="61"/>
  <c r="M156" i="61"/>
  <c r="I156" i="61"/>
  <c r="U155" i="61"/>
  <c r="T155" i="61"/>
  <c r="S155" i="61"/>
  <c r="R155" i="61"/>
  <c r="Q155" i="61"/>
  <c r="P155" i="61"/>
  <c r="O155" i="61"/>
  <c r="N155" i="61"/>
  <c r="M155" i="61"/>
  <c r="I155" i="61"/>
  <c r="R154" i="61"/>
  <c r="Q154" i="61"/>
  <c r="P154" i="61"/>
  <c r="O154" i="61"/>
  <c r="N154" i="61"/>
  <c r="M154" i="61"/>
  <c r="I154" i="61"/>
  <c r="R153" i="61"/>
  <c r="Q153" i="61"/>
  <c r="P153" i="61"/>
  <c r="O153" i="61"/>
  <c r="N153" i="61"/>
  <c r="M153" i="61"/>
  <c r="I153" i="61"/>
  <c r="R152" i="61"/>
  <c r="Q152" i="61"/>
  <c r="P152" i="61"/>
  <c r="O152" i="61"/>
  <c r="N152" i="61"/>
  <c r="M152" i="61"/>
  <c r="I152" i="61"/>
  <c r="R151" i="61"/>
  <c r="Q151" i="61"/>
  <c r="P151" i="61"/>
  <c r="O151" i="61"/>
  <c r="N151" i="61"/>
  <c r="M151" i="61"/>
  <c r="I151" i="61"/>
  <c r="Z150" i="61"/>
  <c r="R150" i="61"/>
  <c r="Q150" i="61"/>
  <c r="P150" i="61"/>
  <c r="O150" i="61"/>
  <c r="N150" i="61"/>
  <c r="M150" i="61"/>
  <c r="I150" i="61"/>
  <c r="Z149" i="61"/>
  <c r="R149" i="61"/>
  <c r="Q149" i="61"/>
  <c r="P149" i="61"/>
  <c r="O149" i="61"/>
  <c r="N149" i="61"/>
  <c r="M149" i="61"/>
  <c r="I149" i="61"/>
  <c r="U148" i="61"/>
  <c r="T148" i="61"/>
  <c r="S148" i="61"/>
  <c r="R148" i="61"/>
  <c r="Q148" i="61"/>
  <c r="P148" i="61"/>
  <c r="O148" i="61"/>
  <c r="N148" i="61"/>
  <c r="M148" i="61"/>
  <c r="I148" i="61"/>
  <c r="U147" i="61"/>
  <c r="T147" i="61"/>
  <c r="S147" i="61"/>
  <c r="R147" i="61"/>
  <c r="Q147" i="61"/>
  <c r="P147" i="61"/>
  <c r="O147" i="61"/>
  <c r="N147" i="61"/>
  <c r="M147" i="61"/>
  <c r="I147" i="61"/>
  <c r="U146" i="61"/>
  <c r="T146" i="61"/>
  <c r="S146" i="61"/>
  <c r="R146" i="61"/>
  <c r="Q146" i="61"/>
  <c r="P146" i="61"/>
  <c r="O146" i="61"/>
  <c r="N146" i="61"/>
  <c r="M146" i="61"/>
  <c r="I146" i="61"/>
  <c r="U145" i="61"/>
  <c r="T145" i="61"/>
  <c r="S145" i="61"/>
  <c r="R145" i="61"/>
  <c r="Q145" i="61"/>
  <c r="P145" i="61"/>
  <c r="O145" i="61"/>
  <c r="N145" i="61"/>
  <c r="M145" i="61"/>
  <c r="L145" i="61"/>
  <c r="K145" i="61"/>
  <c r="J145" i="61"/>
  <c r="U144" i="61"/>
  <c r="T144" i="61"/>
  <c r="S144" i="61"/>
  <c r="R144" i="61"/>
  <c r="Q144" i="61"/>
  <c r="P144" i="61"/>
  <c r="O144" i="61"/>
  <c r="N144" i="61"/>
  <c r="M144" i="61"/>
  <c r="L144" i="61"/>
  <c r="K144" i="61"/>
  <c r="J144" i="61"/>
  <c r="U143" i="61"/>
  <c r="T143" i="61"/>
  <c r="S143" i="61"/>
  <c r="R143" i="61"/>
  <c r="Q143" i="61"/>
  <c r="P143" i="61"/>
  <c r="O143" i="61"/>
  <c r="N143" i="61"/>
  <c r="M143" i="61"/>
  <c r="I143" i="61"/>
  <c r="U142" i="61"/>
  <c r="T142" i="61"/>
  <c r="S142" i="61"/>
  <c r="R142" i="61"/>
  <c r="Q142" i="61"/>
  <c r="P142" i="61"/>
  <c r="O142" i="61"/>
  <c r="N142" i="61"/>
  <c r="M142" i="61"/>
  <c r="I142" i="61"/>
  <c r="U141" i="61"/>
  <c r="T141" i="61"/>
  <c r="S141" i="61"/>
  <c r="R141" i="61"/>
  <c r="Q141" i="61"/>
  <c r="P141" i="61"/>
  <c r="O141" i="61"/>
  <c r="N141" i="61"/>
  <c r="M141" i="61"/>
  <c r="I141" i="61"/>
  <c r="U140" i="61"/>
  <c r="T140" i="61"/>
  <c r="S140" i="61"/>
  <c r="R140" i="61"/>
  <c r="Q140" i="61"/>
  <c r="P140" i="61"/>
  <c r="O140" i="61"/>
  <c r="N140" i="61"/>
  <c r="M140" i="61"/>
  <c r="I140" i="61"/>
  <c r="U139" i="61"/>
  <c r="T139" i="61"/>
  <c r="S139" i="61"/>
  <c r="R139" i="61"/>
  <c r="Q139" i="61"/>
  <c r="P139" i="61"/>
  <c r="O139" i="61"/>
  <c r="N139" i="61"/>
  <c r="M139" i="61"/>
  <c r="I139" i="61"/>
  <c r="U138" i="61"/>
  <c r="T138" i="61"/>
  <c r="S138" i="61"/>
  <c r="R138" i="61"/>
  <c r="Q138" i="61"/>
  <c r="P138" i="61"/>
  <c r="O138" i="61"/>
  <c r="N138" i="61"/>
  <c r="M138" i="61"/>
  <c r="I138" i="61"/>
  <c r="U137" i="61"/>
  <c r="T137" i="61"/>
  <c r="S137" i="61"/>
  <c r="R137" i="61"/>
  <c r="Q137" i="61"/>
  <c r="P137" i="61"/>
  <c r="O137" i="61"/>
  <c r="N137" i="61"/>
  <c r="M137" i="61"/>
  <c r="I137" i="61"/>
  <c r="U136" i="61"/>
  <c r="T136" i="61"/>
  <c r="S136" i="61"/>
  <c r="R136" i="61"/>
  <c r="Q136" i="61"/>
  <c r="P136" i="61"/>
  <c r="O136" i="61"/>
  <c r="N136" i="61"/>
  <c r="M136" i="61"/>
  <c r="I136" i="61"/>
  <c r="U135" i="61"/>
  <c r="T135" i="61"/>
  <c r="S135" i="61"/>
  <c r="R135" i="61"/>
  <c r="Q135" i="61"/>
  <c r="P135" i="61"/>
  <c r="O135" i="61"/>
  <c r="N135" i="61"/>
  <c r="M135" i="61"/>
  <c r="I135" i="61"/>
  <c r="R134" i="61"/>
  <c r="Q134" i="61"/>
  <c r="P134" i="61"/>
  <c r="O134" i="61"/>
  <c r="N134" i="61"/>
  <c r="M134" i="61"/>
  <c r="I134" i="61"/>
  <c r="R133" i="61"/>
  <c r="Q133" i="61"/>
  <c r="P133" i="61"/>
  <c r="O133" i="61"/>
  <c r="N133" i="61"/>
  <c r="M133" i="61"/>
  <c r="I133" i="61"/>
  <c r="R132" i="61"/>
  <c r="Q132" i="61"/>
  <c r="P132" i="61"/>
  <c r="O132" i="61"/>
  <c r="N132" i="61"/>
  <c r="M132" i="61"/>
  <c r="I132" i="61"/>
  <c r="U131" i="61"/>
  <c r="T131" i="61"/>
  <c r="S131" i="61"/>
  <c r="R131" i="61"/>
  <c r="Q131" i="61"/>
  <c r="P131" i="61"/>
  <c r="O131" i="61"/>
  <c r="N131" i="61"/>
  <c r="M131" i="61"/>
  <c r="I131" i="61"/>
  <c r="U130" i="61"/>
  <c r="T130" i="61"/>
  <c r="S130" i="61"/>
  <c r="R130" i="61"/>
  <c r="Q130" i="61"/>
  <c r="P130" i="61"/>
  <c r="O130" i="61"/>
  <c r="N130" i="61"/>
  <c r="M130" i="61"/>
  <c r="I130" i="61"/>
  <c r="T129" i="61"/>
  <c r="S129" i="61"/>
  <c r="R129" i="61"/>
  <c r="Q129" i="61"/>
  <c r="P129" i="61"/>
  <c r="O129" i="61"/>
  <c r="N129" i="61"/>
  <c r="M129" i="61"/>
  <c r="I129" i="61"/>
  <c r="U128" i="61"/>
  <c r="T128" i="61"/>
  <c r="S128" i="61"/>
  <c r="R128" i="61"/>
  <c r="Q128" i="61"/>
  <c r="P128" i="61"/>
  <c r="O128" i="61"/>
  <c r="N128" i="61"/>
  <c r="M128" i="61"/>
  <c r="I128" i="61"/>
  <c r="U127" i="61"/>
  <c r="T127" i="61"/>
  <c r="S127" i="61"/>
  <c r="R127" i="61"/>
  <c r="Q127" i="61"/>
  <c r="P127" i="61"/>
  <c r="O127" i="61"/>
  <c r="N127" i="61"/>
  <c r="M127" i="61"/>
  <c r="I127" i="61"/>
  <c r="U126" i="61"/>
  <c r="T126" i="61"/>
  <c r="S126" i="61"/>
  <c r="R126" i="61"/>
  <c r="Q126" i="61"/>
  <c r="P126" i="61"/>
  <c r="O126" i="61"/>
  <c r="N126" i="61"/>
  <c r="M126" i="61"/>
  <c r="I126" i="61"/>
  <c r="R125" i="61"/>
  <c r="Q125" i="61"/>
  <c r="P125" i="61"/>
  <c r="O125" i="61"/>
  <c r="N125" i="61"/>
  <c r="M125" i="61"/>
  <c r="I125" i="61"/>
  <c r="R124" i="61"/>
  <c r="Q124" i="61"/>
  <c r="P124" i="61"/>
  <c r="O124" i="61"/>
  <c r="N124" i="61"/>
  <c r="M124" i="61"/>
  <c r="I124" i="61"/>
  <c r="R123" i="61"/>
  <c r="Q123" i="61"/>
  <c r="P123" i="61"/>
  <c r="O123" i="61"/>
  <c r="N123" i="61"/>
  <c r="M123" i="61"/>
  <c r="I123" i="61"/>
  <c r="R122" i="61"/>
  <c r="Q122" i="61"/>
  <c r="P122" i="61"/>
  <c r="O122" i="61"/>
  <c r="N122" i="61"/>
  <c r="M122" i="61"/>
  <c r="I122" i="61"/>
  <c r="R121" i="61"/>
  <c r="Q121" i="61"/>
  <c r="P121" i="61"/>
  <c r="O121" i="61"/>
  <c r="N121" i="61"/>
  <c r="M121" i="61"/>
  <c r="I121" i="61"/>
  <c r="U120" i="61"/>
  <c r="T120" i="61"/>
  <c r="S120" i="61"/>
  <c r="R120" i="61"/>
  <c r="Q120" i="61"/>
  <c r="P120" i="61"/>
  <c r="O120" i="61"/>
  <c r="N120" i="61"/>
  <c r="M120" i="61"/>
  <c r="I120" i="61"/>
  <c r="U119" i="61"/>
  <c r="T119" i="61"/>
  <c r="S119" i="61"/>
  <c r="R119" i="61"/>
  <c r="Q119" i="61"/>
  <c r="P119" i="61"/>
  <c r="O119" i="61"/>
  <c r="N119" i="61"/>
  <c r="M119" i="61"/>
  <c r="I119" i="61"/>
  <c r="U118" i="61"/>
  <c r="T118" i="61"/>
  <c r="S118" i="61"/>
  <c r="R118" i="61"/>
  <c r="Q118" i="61"/>
  <c r="P118" i="61"/>
  <c r="O118" i="61"/>
  <c r="N118" i="61"/>
  <c r="M118" i="61"/>
  <c r="I118" i="61"/>
  <c r="U117" i="61"/>
  <c r="T117" i="61"/>
  <c r="S117" i="61"/>
  <c r="R117" i="61"/>
  <c r="Q117" i="61"/>
  <c r="P117" i="61"/>
  <c r="O117" i="61"/>
  <c r="N117" i="61"/>
  <c r="M117" i="61"/>
  <c r="I117" i="61"/>
  <c r="U116" i="61"/>
  <c r="T116" i="61"/>
  <c r="S116" i="61"/>
  <c r="R116" i="61"/>
  <c r="Q116" i="61"/>
  <c r="P116" i="61"/>
  <c r="O116" i="61"/>
  <c r="N116" i="61"/>
  <c r="M116" i="61"/>
  <c r="I116" i="61"/>
  <c r="U115" i="61"/>
  <c r="T115" i="61"/>
  <c r="S115" i="61"/>
  <c r="R115" i="61"/>
  <c r="Q115" i="61"/>
  <c r="P115" i="61"/>
  <c r="O115" i="61"/>
  <c r="N115" i="61"/>
  <c r="M115" i="61"/>
  <c r="I115" i="61"/>
  <c r="U114" i="61"/>
  <c r="T114" i="61"/>
  <c r="S114" i="61"/>
  <c r="R114" i="61"/>
  <c r="Q114" i="61"/>
  <c r="P114" i="61"/>
  <c r="O114" i="61"/>
  <c r="N114" i="61"/>
  <c r="M114" i="61"/>
  <c r="I114" i="61"/>
  <c r="U113" i="61"/>
  <c r="T113" i="61"/>
  <c r="S113" i="61"/>
  <c r="R113" i="61"/>
  <c r="Q113" i="61"/>
  <c r="P113" i="61"/>
  <c r="O113" i="61"/>
  <c r="N113" i="61"/>
  <c r="M113" i="61"/>
  <c r="I113" i="61"/>
  <c r="U112" i="61"/>
  <c r="T112" i="61"/>
  <c r="S112" i="61"/>
  <c r="R112" i="61"/>
  <c r="Q112" i="61"/>
  <c r="P112" i="61"/>
  <c r="O112" i="61"/>
  <c r="N112" i="61"/>
  <c r="M112" i="61"/>
  <c r="I112" i="61"/>
  <c r="U111" i="61"/>
  <c r="T111" i="61"/>
  <c r="S111" i="61"/>
  <c r="R111" i="61"/>
  <c r="Q111" i="61"/>
  <c r="P111" i="61"/>
  <c r="O111" i="61"/>
  <c r="N111" i="61"/>
  <c r="M111" i="61"/>
  <c r="I111" i="61"/>
  <c r="U110" i="61"/>
  <c r="T110" i="61"/>
  <c r="S110" i="61"/>
  <c r="R110" i="61"/>
  <c r="Q110" i="61"/>
  <c r="P110" i="61"/>
  <c r="O110" i="61"/>
  <c r="N110" i="61"/>
  <c r="M110" i="61"/>
  <c r="I110" i="61"/>
  <c r="U109" i="61"/>
  <c r="T109" i="61"/>
  <c r="S109" i="61"/>
  <c r="R109" i="61"/>
  <c r="Q109" i="61"/>
  <c r="P109" i="61"/>
  <c r="O109" i="61"/>
  <c r="N109" i="61"/>
  <c r="M109" i="61"/>
  <c r="I109" i="61"/>
  <c r="R108" i="61"/>
  <c r="Q108" i="61"/>
  <c r="P108" i="61"/>
  <c r="O108" i="61"/>
  <c r="N108" i="61"/>
  <c r="M108" i="61"/>
  <c r="I108" i="61"/>
  <c r="R107" i="61"/>
  <c r="Q107" i="61"/>
  <c r="P107" i="61"/>
  <c r="O107" i="61"/>
  <c r="N107" i="61"/>
  <c r="M107" i="61"/>
  <c r="I107" i="61"/>
  <c r="R106" i="61"/>
  <c r="Q106" i="61"/>
  <c r="P106" i="61"/>
  <c r="O106" i="61"/>
  <c r="N106" i="61"/>
  <c r="M106" i="61"/>
  <c r="I106" i="61"/>
  <c r="R105" i="61"/>
  <c r="Q105" i="61"/>
  <c r="P105" i="61"/>
  <c r="O105" i="61"/>
  <c r="N105" i="61"/>
  <c r="M105" i="61"/>
  <c r="I105" i="61"/>
  <c r="U104" i="61"/>
  <c r="T104" i="61"/>
  <c r="S104" i="61"/>
  <c r="R104" i="61"/>
  <c r="Q104" i="61"/>
  <c r="P104" i="61"/>
  <c r="O104" i="61"/>
  <c r="N104" i="61"/>
  <c r="M104" i="61"/>
  <c r="I104" i="61"/>
  <c r="U103" i="61"/>
  <c r="T103" i="61"/>
  <c r="S103" i="61"/>
  <c r="R103" i="61"/>
  <c r="Q103" i="61"/>
  <c r="P103" i="61"/>
  <c r="O103" i="61"/>
  <c r="N103" i="61"/>
  <c r="M103" i="61"/>
  <c r="I103" i="61"/>
  <c r="U102" i="61"/>
  <c r="T102" i="61"/>
  <c r="S102" i="61"/>
  <c r="R102" i="61"/>
  <c r="Q102" i="61"/>
  <c r="P102" i="61"/>
  <c r="O102" i="61"/>
  <c r="N102" i="61"/>
  <c r="M102" i="61"/>
  <c r="I102" i="61"/>
  <c r="U101" i="61"/>
  <c r="T101" i="61"/>
  <c r="S101" i="61"/>
  <c r="R101" i="61"/>
  <c r="Q101" i="61"/>
  <c r="P101" i="61"/>
  <c r="O101" i="61"/>
  <c r="N101" i="61"/>
  <c r="M101" i="61"/>
  <c r="I101" i="61"/>
  <c r="U100" i="61"/>
  <c r="T100" i="61"/>
  <c r="S100" i="61"/>
  <c r="R100" i="61"/>
  <c r="Q100" i="61"/>
  <c r="P100" i="61"/>
  <c r="O100" i="61"/>
  <c r="N100" i="61"/>
  <c r="M100" i="61"/>
  <c r="I100" i="61"/>
  <c r="U99" i="61"/>
  <c r="T99" i="61"/>
  <c r="S99" i="61"/>
  <c r="R99" i="61"/>
  <c r="Q99" i="61"/>
  <c r="P99" i="61"/>
  <c r="O99" i="61"/>
  <c r="N99" i="61"/>
  <c r="M99" i="61"/>
  <c r="I99" i="61"/>
  <c r="U98" i="61"/>
  <c r="T98" i="61"/>
  <c r="S98" i="61"/>
  <c r="R98" i="61"/>
  <c r="Q98" i="61"/>
  <c r="P98" i="61"/>
  <c r="O98" i="61"/>
  <c r="N98" i="61"/>
  <c r="M98" i="61"/>
  <c r="I98" i="61"/>
  <c r="U97" i="61"/>
  <c r="T97" i="61"/>
  <c r="S97" i="61"/>
  <c r="R97" i="61"/>
  <c r="Q97" i="61"/>
  <c r="P97" i="61"/>
  <c r="O97" i="61"/>
  <c r="N97" i="61"/>
  <c r="M97" i="61"/>
  <c r="I97" i="61"/>
  <c r="U96" i="61"/>
  <c r="T96" i="61"/>
  <c r="S96" i="61"/>
  <c r="R96" i="61"/>
  <c r="Q96" i="61"/>
  <c r="P96" i="61"/>
  <c r="O96" i="61"/>
  <c r="N96" i="61"/>
  <c r="M96" i="61"/>
  <c r="I96" i="61"/>
  <c r="U95" i="61"/>
  <c r="T95" i="61"/>
  <c r="S95" i="61"/>
  <c r="R95" i="61"/>
  <c r="Q95" i="61"/>
  <c r="P95" i="61"/>
  <c r="O95" i="61"/>
  <c r="N95" i="61"/>
  <c r="M95" i="61"/>
  <c r="I95" i="61"/>
  <c r="U94" i="61"/>
  <c r="T94" i="61"/>
  <c r="S94" i="61"/>
  <c r="R94" i="61"/>
  <c r="Q94" i="61"/>
  <c r="P94" i="61"/>
  <c r="O94" i="61"/>
  <c r="N94" i="61"/>
  <c r="M94" i="61"/>
  <c r="I94" i="61"/>
  <c r="U93" i="61"/>
  <c r="T93" i="61"/>
  <c r="S93" i="61"/>
  <c r="R93" i="61"/>
  <c r="Q93" i="61"/>
  <c r="P93" i="61"/>
  <c r="O93" i="61"/>
  <c r="N93" i="61"/>
  <c r="M93" i="61"/>
  <c r="I93" i="61"/>
  <c r="U92" i="61"/>
  <c r="T92" i="61"/>
  <c r="S92" i="61"/>
  <c r="R92" i="61"/>
  <c r="Q92" i="61"/>
  <c r="P92" i="61"/>
  <c r="O92" i="61"/>
  <c r="N92" i="61"/>
  <c r="M92" i="61"/>
  <c r="I92" i="61"/>
  <c r="U91" i="61"/>
  <c r="T91" i="61"/>
  <c r="S91" i="61"/>
  <c r="R91" i="61"/>
  <c r="Q91" i="61"/>
  <c r="P91" i="61"/>
  <c r="O91" i="61"/>
  <c r="N91" i="61"/>
  <c r="M91" i="61"/>
  <c r="I91" i="61"/>
  <c r="U90" i="61"/>
  <c r="T90" i="61"/>
  <c r="S90" i="61"/>
  <c r="R90" i="61"/>
  <c r="Q90" i="61"/>
  <c r="P90" i="61"/>
  <c r="O90" i="61"/>
  <c r="N90" i="61"/>
  <c r="M90" i="61"/>
  <c r="I90" i="61"/>
  <c r="U89" i="61"/>
  <c r="T89" i="61"/>
  <c r="S89" i="61"/>
  <c r="R89" i="61"/>
  <c r="Q89" i="61"/>
  <c r="P89" i="61"/>
  <c r="O89" i="61"/>
  <c r="N89" i="61"/>
  <c r="M89" i="61"/>
  <c r="I89" i="61"/>
  <c r="U88" i="61"/>
  <c r="T88" i="61"/>
  <c r="S88" i="61"/>
  <c r="R88" i="61"/>
  <c r="Q88" i="61"/>
  <c r="P88" i="61"/>
  <c r="O88" i="61"/>
  <c r="N88" i="61"/>
  <c r="M88" i="61"/>
  <c r="I88" i="61"/>
  <c r="U87" i="61"/>
  <c r="T87" i="61"/>
  <c r="S87" i="61"/>
  <c r="R87" i="61"/>
  <c r="Q87" i="61"/>
  <c r="P87" i="61"/>
  <c r="O87" i="61"/>
  <c r="N87" i="61"/>
  <c r="M87" i="61"/>
  <c r="I87" i="61"/>
  <c r="U86" i="61"/>
  <c r="T86" i="61"/>
  <c r="S86" i="61"/>
  <c r="R86" i="61"/>
  <c r="Q86" i="61"/>
  <c r="P86" i="61"/>
  <c r="O86" i="61"/>
  <c r="N86" i="61"/>
  <c r="M86" i="61"/>
  <c r="I86" i="61"/>
  <c r="U85" i="61"/>
  <c r="T85" i="61"/>
  <c r="S85" i="61"/>
  <c r="R85" i="61"/>
  <c r="Q85" i="61"/>
  <c r="P85" i="61"/>
  <c r="O85" i="61"/>
  <c r="N85" i="61"/>
  <c r="M85" i="61"/>
  <c r="I85" i="61"/>
  <c r="U84" i="61"/>
  <c r="T84" i="61"/>
  <c r="S84" i="61"/>
  <c r="R84" i="61"/>
  <c r="Q84" i="61"/>
  <c r="P84" i="61"/>
  <c r="O84" i="61"/>
  <c r="N84" i="61"/>
  <c r="M84" i="61"/>
  <c r="I84" i="61"/>
  <c r="K84" i="61" s="1"/>
  <c r="U83" i="61"/>
  <c r="T83" i="61"/>
  <c r="S83" i="61"/>
  <c r="R83" i="61"/>
  <c r="Q83" i="61"/>
  <c r="P83" i="61"/>
  <c r="O83" i="61"/>
  <c r="N83" i="61"/>
  <c r="M83" i="61"/>
  <c r="I83" i="61"/>
  <c r="U82" i="61"/>
  <c r="T82" i="61"/>
  <c r="S82" i="61"/>
  <c r="R82" i="61"/>
  <c r="Q82" i="61"/>
  <c r="P82" i="61"/>
  <c r="O82" i="61"/>
  <c r="N82" i="61"/>
  <c r="M82" i="61"/>
  <c r="I82" i="61"/>
  <c r="U81" i="61"/>
  <c r="T81" i="61"/>
  <c r="S81" i="61"/>
  <c r="R81" i="61"/>
  <c r="Q81" i="61"/>
  <c r="P81" i="61"/>
  <c r="O81" i="61"/>
  <c r="N81" i="61"/>
  <c r="M81" i="61"/>
  <c r="I81" i="61"/>
  <c r="U80" i="61"/>
  <c r="T80" i="61"/>
  <c r="S80" i="61"/>
  <c r="R80" i="61"/>
  <c r="Q80" i="61"/>
  <c r="P80" i="61"/>
  <c r="O80" i="61"/>
  <c r="N80" i="61"/>
  <c r="M80" i="61"/>
  <c r="I80" i="61"/>
  <c r="U79" i="61"/>
  <c r="T79" i="61"/>
  <c r="S79" i="61"/>
  <c r="R79" i="61"/>
  <c r="Q79" i="61"/>
  <c r="P79" i="61"/>
  <c r="O79" i="61"/>
  <c r="N79" i="61"/>
  <c r="M79" i="61"/>
  <c r="I79" i="61"/>
  <c r="U78" i="61"/>
  <c r="T78" i="61"/>
  <c r="S78" i="61"/>
  <c r="R78" i="61"/>
  <c r="Q78" i="61"/>
  <c r="P78" i="61"/>
  <c r="O78" i="61"/>
  <c r="N78" i="61"/>
  <c r="M78" i="61"/>
  <c r="I78" i="61"/>
  <c r="U77" i="61"/>
  <c r="T77" i="61"/>
  <c r="S77" i="61"/>
  <c r="R77" i="61"/>
  <c r="Q77" i="61"/>
  <c r="P77" i="61"/>
  <c r="O77" i="61"/>
  <c r="N77" i="61"/>
  <c r="M77" i="61"/>
  <c r="I77" i="61"/>
  <c r="U76" i="61"/>
  <c r="T76" i="61"/>
  <c r="S76" i="61"/>
  <c r="R76" i="61"/>
  <c r="Q76" i="61"/>
  <c r="P76" i="61"/>
  <c r="O76" i="61"/>
  <c r="N76" i="61"/>
  <c r="M76" i="61"/>
  <c r="I76" i="61"/>
  <c r="T75" i="61"/>
  <c r="S75" i="61"/>
  <c r="R75" i="61"/>
  <c r="Q75" i="61"/>
  <c r="P75" i="61"/>
  <c r="O75" i="61"/>
  <c r="N75" i="61"/>
  <c r="M75" i="61"/>
  <c r="I75" i="61"/>
  <c r="T74" i="61"/>
  <c r="S74" i="61"/>
  <c r="R74" i="61"/>
  <c r="Q74" i="61"/>
  <c r="P74" i="61"/>
  <c r="O74" i="61"/>
  <c r="N74" i="61"/>
  <c r="M74" i="61"/>
  <c r="I74" i="61"/>
  <c r="T73" i="61"/>
  <c r="S73" i="61"/>
  <c r="R73" i="61"/>
  <c r="Q73" i="61"/>
  <c r="P73" i="61"/>
  <c r="O73" i="61"/>
  <c r="N73" i="61"/>
  <c r="M73" i="61"/>
  <c r="I73" i="61"/>
  <c r="U72" i="61"/>
  <c r="T72" i="61"/>
  <c r="S72" i="61"/>
  <c r="R72" i="61"/>
  <c r="Q72" i="61"/>
  <c r="P72" i="61"/>
  <c r="O72" i="61"/>
  <c r="N72" i="61"/>
  <c r="M72" i="61"/>
  <c r="I72" i="61"/>
  <c r="T71" i="61"/>
  <c r="S71" i="61"/>
  <c r="R71" i="61"/>
  <c r="Q71" i="61"/>
  <c r="P71" i="61"/>
  <c r="O71" i="61"/>
  <c r="N71" i="61"/>
  <c r="M71" i="61"/>
  <c r="I71" i="61"/>
  <c r="T70" i="61"/>
  <c r="S70" i="61"/>
  <c r="R70" i="61"/>
  <c r="Q70" i="61"/>
  <c r="P70" i="61"/>
  <c r="O70" i="61"/>
  <c r="N70" i="61"/>
  <c r="M70" i="61"/>
  <c r="I70" i="61"/>
  <c r="T69" i="61"/>
  <c r="S69" i="61"/>
  <c r="R69" i="61"/>
  <c r="Q69" i="61"/>
  <c r="P69" i="61"/>
  <c r="O69" i="61"/>
  <c r="N69" i="61"/>
  <c r="M69" i="61"/>
  <c r="I69" i="61"/>
  <c r="U68" i="61"/>
  <c r="T68" i="61"/>
  <c r="S68" i="61"/>
  <c r="R68" i="61"/>
  <c r="Q68" i="61"/>
  <c r="P68" i="61"/>
  <c r="O68" i="61"/>
  <c r="N68" i="61"/>
  <c r="M68" i="61"/>
  <c r="I68" i="61"/>
  <c r="U67" i="61"/>
  <c r="T67" i="61"/>
  <c r="S67" i="61"/>
  <c r="R67" i="61"/>
  <c r="Q67" i="61"/>
  <c r="P67" i="61"/>
  <c r="O67" i="61"/>
  <c r="N67" i="61"/>
  <c r="M67" i="61"/>
  <c r="I67" i="61"/>
  <c r="U66" i="61"/>
  <c r="T66" i="61"/>
  <c r="S66" i="61"/>
  <c r="R66" i="61"/>
  <c r="Q66" i="61"/>
  <c r="P66" i="61"/>
  <c r="O66" i="61"/>
  <c r="N66" i="61"/>
  <c r="M66" i="61"/>
  <c r="I66" i="61"/>
  <c r="R65" i="61"/>
  <c r="Q65" i="61"/>
  <c r="P65" i="61"/>
  <c r="O65" i="61"/>
  <c r="S65" i="61" s="1"/>
  <c r="N65" i="61"/>
  <c r="M65" i="61"/>
  <c r="I65" i="61"/>
  <c r="R64" i="61"/>
  <c r="Q64" i="61"/>
  <c r="P64" i="61"/>
  <c r="O64" i="61"/>
  <c r="N64" i="61"/>
  <c r="M64" i="61"/>
  <c r="I64" i="61"/>
  <c r="R63" i="61"/>
  <c r="Q63" i="61"/>
  <c r="P63" i="61"/>
  <c r="O63" i="61"/>
  <c r="N63" i="61"/>
  <c r="M63" i="61"/>
  <c r="I63" i="61"/>
  <c r="R62" i="61"/>
  <c r="Q62" i="61"/>
  <c r="P62" i="61"/>
  <c r="O62" i="61"/>
  <c r="N62" i="61"/>
  <c r="M62" i="61"/>
  <c r="I62" i="61"/>
  <c r="R61" i="61"/>
  <c r="Q61" i="61"/>
  <c r="P61" i="61"/>
  <c r="O61" i="61"/>
  <c r="N61" i="61"/>
  <c r="M61" i="61"/>
  <c r="I61" i="61"/>
  <c r="R60" i="61"/>
  <c r="Q60" i="61"/>
  <c r="P60" i="61"/>
  <c r="O60" i="61"/>
  <c r="N60" i="61"/>
  <c r="M60" i="61"/>
  <c r="I60" i="61"/>
  <c r="R59" i="61"/>
  <c r="Q59" i="61"/>
  <c r="P59" i="61"/>
  <c r="O59" i="61"/>
  <c r="N59" i="61"/>
  <c r="M59" i="61"/>
  <c r="I59" i="61"/>
  <c r="R58" i="61"/>
  <c r="Q58" i="61"/>
  <c r="P58" i="61"/>
  <c r="O58" i="61"/>
  <c r="N58" i="61"/>
  <c r="M58" i="61"/>
  <c r="I58" i="61"/>
  <c r="U57" i="61"/>
  <c r="T57" i="61"/>
  <c r="S57" i="61"/>
  <c r="R57" i="61"/>
  <c r="Q57" i="61"/>
  <c r="P57" i="61"/>
  <c r="O57" i="61"/>
  <c r="N57" i="61"/>
  <c r="M57" i="61"/>
  <c r="I57" i="61"/>
  <c r="U56" i="61"/>
  <c r="T56" i="61"/>
  <c r="S56" i="61"/>
  <c r="R56" i="61"/>
  <c r="Q56" i="61"/>
  <c r="P56" i="61"/>
  <c r="O56" i="61"/>
  <c r="N56" i="61"/>
  <c r="M56" i="61"/>
  <c r="I56" i="61"/>
  <c r="U55" i="61"/>
  <c r="T55" i="61"/>
  <c r="S55" i="61"/>
  <c r="R55" i="61"/>
  <c r="Q55" i="61"/>
  <c r="P55" i="61"/>
  <c r="O55" i="61"/>
  <c r="N55" i="61"/>
  <c r="M55" i="61"/>
  <c r="I55" i="61"/>
  <c r="U54" i="61"/>
  <c r="T54" i="61"/>
  <c r="S54" i="61"/>
  <c r="R54" i="61"/>
  <c r="Q54" i="61"/>
  <c r="P54" i="61"/>
  <c r="O54" i="61"/>
  <c r="N54" i="61"/>
  <c r="M54" i="61"/>
  <c r="I54" i="61"/>
  <c r="U53" i="61"/>
  <c r="T53" i="61"/>
  <c r="S53" i="61"/>
  <c r="R53" i="61"/>
  <c r="Q53" i="61"/>
  <c r="P53" i="61"/>
  <c r="O53" i="61"/>
  <c r="N53" i="61"/>
  <c r="M53" i="61"/>
  <c r="I53" i="61"/>
  <c r="U52" i="61"/>
  <c r="T52" i="61"/>
  <c r="S52" i="61"/>
  <c r="R52" i="61"/>
  <c r="Q52" i="61"/>
  <c r="P52" i="61"/>
  <c r="O52" i="61"/>
  <c r="N52" i="61"/>
  <c r="M52" i="61"/>
  <c r="I52" i="61"/>
  <c r="U51" i="61"/>
  <c r="T51" i="61"/>
  <c r="S51" i="61"/>
  <c r="R51" i="61"/>
  <c r="Q51" i="61"/>
  <c r="P51" i="61"/>
  <c r="O51" i="61"/>
  <c r="N51" i="61"/>
  <c r="M51" i="61"/>
  <c r="I51" i="61"/>
  <c r="R50" i="61"/>
  <c r="Q50" i="61"/>
  <c r="P50" i="61"/>
  <c r="O50" i="61"/>
  <c r="N50" i="61"/>
  <c r="M50" i="61"/>
  <c r="I50" i="61"/>
  <c r="R49" i="61"/>
  <c r="Q49" i="61"/>
  <c r="P49" i="61"/>
  <c r="O49" i="61"/>
  <c r="S49" i="61" s="1"/>
  <c r="N49" i="61"/>
  <c r="M49" i="61"/>
  <c r="I49" i="61"/>
  <c r="U48" i="61"/>
  <c r="T48" i="61"/>
  <c r="S48" i="61"/>
  <c r="R48" i="61"/>
  <c r="Q48" i="61"/>
  <c r="P48" i="61"/>
  <c r="O48" i="61"/>
  <c r="N48" i="61"/>
  <c r="M48" i="61"/>
  <c r="I48" i="61"/>
  <c r="U47" i="61"/>
  <c r="T47" i="61"/>
  <c r="S47" i="61"/>
  <c r="R47" i="61"/>
  <c r="Q47" i="61"/>
  <c r="P47" i="61"/>
  <c r="O47" i="61"/>
  <c r="N47" i="61"/>
  <c r="M47" i="61"/>
  <c r="I47" i="61"/>
  <c r="R46" i="61"/>
  <c r="Q46" i="61"/>
  <c r="P46" i="61"/>
  <c r="O46" i="61"/>
  <c r="N46" i="61"/>
  <c r="M46" i="61"/>
  <c r="I46" i="61"/>
  <c r="R45" i="61"/>
  <c r="Q45" i="61"/>
  <c r="P45" i="61"/>
  <c r="O45" i="61"/>
  <c r="N45" i="61"/>
  <c r="M45" i="61"/>
  <c r="I45" i="61"/>
  <c r="R44" i="61"/>
  <c r="Q44" i="61"/>
  <c r="P44" i="61"/>
  <c r="O44" i="61"/>
  <c r="N44" i="61"/>
  <c r="M44" i="61"/>
  <c r="I44" i="61"/>
  <c r="U43" i="61"/>
  <c r="T43" i="61"/>
  <c r="S43" i="61"/>
  <c r="R43" i="61"/>
  <c r="Q43" i="61"/>
  <c r="P43" i="61"/>
  <c r="O43" i="61"/>
  <c r="N43" i="61"/>
  <c r="M43" i="61"/>
  <c r="I43" i="61"/>
  <c r="U42" i="61"/>
  <c r="T42" i="61"/>
  <c r="S42" i="61"/>
  <c r="R42" i="61"/>
  <c r="Q42" i="61"/>
  <c r="P42" i="61"/>
  <c r="O42" i="61"/>
  <c r="N42" i="61"/>
  <c r="M42" i="61"/>
  <c r="I42" i="61"/>
  <c r="R41" i="61"/>
  <c r="Q41" i="61"/>
  <c r="P41" i="61"/>
  <c r="O41" i="61"/>
  <c r="N41" i="61"/>
  <c r="M41" i="61"/>
  <c r="I41" i="61"/>
  <c r="R40" i="61"/>
  <c r="Q40" i="61"/>
  <c r="P40" i="61"/>
  <c r="O40" i="61"/>
  <c r="N40" i="61"/>
  <c r="M40" i="61"/>
  <c r="I40" i="61"/>
  <c r="U39" i="61"/>
  <c r="T39" i="61"/>
  <c r="S39" i="61"/>
  <c r="R39" i="61"/>
  <c r="Q39" i="61"/>
  <c r="P39" i="61"/>
  <c r="O39" i="61"/>
  <c r="N39" i="61"/>
  <c r="M39" i="61"/>
  <c r="I39" i="61"/>
  <c r="R38" i="61"/>
  <c r="Q38" i="61"/>
  <c r="P38" i="61"/>
  <c r="O38" i="61"/>
  <c r="N38" i="61"/>
  <c r="M38" i="61"/>
  <c r="I38" i="61"/>
  <c r="R37" i="61"/>
  <c r="Q37" i="61"/>
  <c r="P37" i="61"/>
  <c r="O37" i="61"/>
  <c r="N37" i="61"/>
  <c r="M37" i="61"/>
  <c r="I37" i="61"/>
  <c r="R36" i="61"/>
  <c r="Q36" i="61"/>
  <c r="P36" i="61"/>
  <c r="O36" i="61"/>
  <c r="N36" i="61"/>
  <c r="M36" i="61"/>
  <c r="I36" i="61"/>
  <c r="U35" i="61"/>
  <c r="T35" i="61"/>
  <c r="S35" i="61"/>
  <c r="R35" i="61"/>
  <c r="Q35" i="61"/>
  <c r="P35" i="61"/>
  <c r="O35" i="61"/>
  <c r="N35" i="61"/>
  <c r="M35" i="61"/>
  <c r="I35" i="61"/>
  <c r="U34" i="61"/>
  <c r="T34" i="61"/>
  <c r="S34" i="61"/>
  <c r="R34" i="61"/>
  <c r="Q34" i="61"/>
  <c r="P34" i="61"/>
  <c r="O34" i="61"/>
  <c r="N34" i="61"/>
  <c r="M34" i="61"/>
  <c r="I34" i="61"/>
  <c r="U33" i="61"/>
  <c r="T33" i="61"/>
  <c r="S33" i="61"/>
  <c r="R33" i="61"/>
  <c r="Q33" i="61"/>
  <c r="P33" i="61"/>
  <c r="O33" i="61"/>
  <c r="N33" i="61"/>
  <c r="M33" i="61"/>
  <c r="I33" i="61"/>
  <c r="U32" i="61"/>
  <c r="T32" i="61"/>
  <c r="S32" i="61"/>
  <c r="R32" i="61"/>
  <c r="Q32" i="61"/>
  <c r="P32" i="61"/>
  <c r="O32" i="61"/>
  <c r="N32" i="61"/>
  <c r="M32" i="61"/>
  <c r="I32" i="61"/>
  <c r="U31" i="61"/>
  <c r="T31" i="61"/>
  <c r="S31" i="61"/>
  <c r="R31" i="61"/>
  <c r="Q31" i="61"/>
  <c r="P31" i="61"/>
  <c r="O31" i="61"/>
  <c r="N31" i="61"/>
  <c r="M31" i="61"/>
  <c r="I31" i="61"/>
  <c r="U30" i="61"/>
  <c r="T30" i="61"/>
  <c r="S30" i="61"/>
  <c r="R30" i="61"/>
  <c r="Q30" i="61"/>
  <c r="P30" i="61"/>
  <c r="O30" i="61"/>
  <c r="N30" i="61"/>
  <c r="M30" i="61"/>
  <c r="I30" i="61"/>
  <c r="U29" i="61"/>
  <c r="T29" i="61"/>
  <c r="S29" i="61"/>
  <c r="R29" i="61"/>
  <c r="Q29" i="61"/>
  <c r="P29" i="61"/>
  <c r="O29" i="61"/>
  <c r="N29" i="61"/>
  <c r="M29" i="61"/>
  <c r="I29" i="61"/>
  <c r="U28" i="61"/>
  <c r="T28" i="61"/>
  <c r="S28" i="61"/>
  <c r="R28" i="61"/>
  <c r="Q28" i="61"/>
  <c r="P28" i="61"/>
  <c r="O28" i="61"/>
  <c r="N28" i="61"/>
  <c r="M28" i="61"/>
  <c r="I28" i="61"/>
  <c r="U27" i="61"/>
  <c r="T27" i="61"/>
  <c r="S27" i="61"/>
  <c r="R27" i="61"/>
  <c r="Q27" i="61"/>
  <c r="P27" i="61"/>
  <c r="O27" i="61"/>
  <c r="N27" i="61"/>
  <c r="M27" i="61"/>
  <c r="I27" i="61"/>
  <c r="U26" i="61"/>
  <c r="T26" i="61"/>
  <c r="S26" i="61"/>
  <c r="R26" i="61"/>
  <c r="Q26" i="61"/>
  <c r="P26" i="61"/>
  <c r="O26" i="61"/>
  <c r="N26" i="61"/>
  <c r="M26" i="61"/>
  <c r="I26" i="61"/>
  <c r="U25" i="61"/>
  <c r="T25" i="61"/>
  <c r="S25" i="61"/>
  <c r="R25" i="61"/>
  <c r="Q25" i="61"/>
  <c r="P25" i="61"/>
  <c r="O25" i="61"/>
  <c r="N25" i="61"/>
  <c r="M25" i="61"/>
  <c r="I25" i="61"/>
  <c r="U24" i="61"/>
  <c r="T24" i="61"/>
  <c r="S24" i="61"/>
  <c r="R24" i="61"/>
  <c r="Q24" i="61"/>
  <c r="P24" i="61"/>
  <c r="O24" i="61"/>
  <c r="N24" i="61"/>
  <c r="M24" i="61"/>
  <c r="I24" i="61"/>
  <c r="U23" i="61"/>
  <c r="T23" i="61"/>
  <c r="S23" i="61"/>
  <c r="R23" i="61"/>
  <c r="Q23" i="61"/>
  <c r="P23" i="61"/>
  <c r="O23" i="61"/>
  <c r="N23" i="61"/>
  <c r="M23" i="61"/>
  <c r="I23" i="61"/>
  <c r="U22" i="61"/>
  <c r="T22" i="61"/>
  <c r="S22" i="61"/>
  <c r="R22" i="61"/>
  <c r="Q22" i="61"/>
  <c r="P22" i="61"/>
  <c r="O22" i="61"/>
  <c r="N22" i="61"/>
  <c r="M22" i="61"/>
  <c r="I22" i="61"/>
  <c r="U21" i="61"/>
  <c r="T21" i="61"/>
  <c r="S21" i="61"/>
  <c r="R21" i="61"/>
  <c r="Q21" i="61"/>
  <c r="P21" i="61"/>
  <c r="O21" i="61"/>
  <c r="N21" i="61"/>
  <c r="M21" i="61"/>
  <c r="I21" i="61"/>
  <c r="U20" i="61"/>
  <c r="T20" i="61"/>
  <c r="S20" i="61"/>
  <c r="R20" i="61"/>
  <c r="Q20" i="61"/>
  <c r="P20" i="61"/>
  <c r="O20" i="61"/>
  <c r="N20" i="61"/>
  <c r="M20" i="61"/>
  <c r="I20" i="61"/>
  <c r="U19" i="61"/>
  <c r="T19" i="61"/>
  <c r="S19" i="61"/>
  <c r="R19" i="61"/>
  <c r="Q19" i="61"/>
  <c r="P19" i="61"/>
  <c r="O19" i="61"/>
  <c r="N19" i="61"/>
  <c r="M19" i="61"/>
  <c r="I19" i="61"/>
  <c r="R18" i="61"/>
  <c r="Q18" i="61"/>
  <c r="P18" i="61"/>
  <c r="O18" i="61"/>
  <c r="S18" i="61" s="1"/>
  <c r="N18" i="61"/>
  <c r="M18" i="61"/>
  <c r="I18" i="61"/>
  <c r="R17" i="61"/>
  <c r="Q17" i="61"/>
  <c r="P17" i="61"/>
  <c r="O17" i="61"/>
  <c r="S17" i="61" s="1"/>
  <c r="N17" i="61"/>
  <c r="M17" i="61"/>
  <c r="I17" i="61"/>
  <c r="R16" i="61"/>
  <c r="Q16" i="61"/>
  <c r="P16" i="61"/>
  <c r="O16" i="61"/>
  <c r="N16" i="61"/>
  <c r="M16" i="61"/>
  <c r="I16" i="61"/>
  <c r="U15" i="61"/>
  <c r="T15" i="61"/>
  <c r="S15" i="61"/>
  <c r="R15" i="61"/>
  <c r="Q15" i="61"/>
  <c r="P15" i="61"/>
  <c r="O15" i="61"/>
  <c r="N15" i="61"/>
  <c r="M15" i="61"/>
  <c r="I15" i="61"/>
  <c r="U14" i="61"/>
  <c r="T14" i="61"/>
  <c r="S14" i="61"/>
  <c r="R14" i="61"/>
  <c r="Q14" i="61"/>
  <c r="P14" i="61"/>
  <c r="O14" i="61"/>
  <c r="N14" i="61"/>
  <c r="M14" i="61"/>
  <c r="I14" i="61"/>
  <c r="U13" i="61"/>
  <c r="T13" i="61"/>
  <c r="S13" i="61"/>
  <c r="R13" i="61"/>
  <c r="Q13" i="61"/>
  <c r="P13" i="61"/>
  <c r="O13" i="61"/>
  <c r="N13" i="61"/>
  <c r="M13" i="61"/>
  <c r="I13" i="61"/>
  <c r="T12" i="61"/>
  <c r="S12" i="61"/>
  <c r="R12" i="61"/>
  <c r="Q12" i="61"/>
  <c r="P12" i="61"/>
  <c r="O12" i="61"/>
  <c r="N12" i="61"/>
  <c r="M12" i="61"/>
  <c r="I12" i="61"/>
  <c r="U11" i="61"/>
  <c r="T11" i="61"/>
  <c r="S11" i="61"/>
  <c r="R11" i="61"/>
  <c r="Q11" i="61"/>
  <c r="P11" i="61"/>
  <c r="O11" i="61"/>
  <c r="N11" i="61"/>
  <c r="M11" i="61"/>
  <c r="I11" i="61"/>
  <c r="T10" i="61"/>
  <c r="S10" i="61"/>
  <c r="R10" i="61"/>
  <c r="Q10" i="61"/>
  <c r="P10" i="61"/>
  <c r="O10" i="61"/>
  <c r="N10" i="61"/>
  <c r="M10" i="61"/>
  <c r="I10" i="61"/>
  <c r="U9" i="61"/>
  <c r="T9" i="61"/>
  <c r="S9" i="61"/>
  <c r="R9" i="61"/>
  <c r="Q9" i="61"/>
  <c r="P9" i="61"/>
  <c r="O9" i="61"/>
  <c r="N9" i="61"/>
  <c r="M9" i="61"/>
  <c r="I9" i="61"/>
  <c r="T8" i="61"/>
  <c r="S8" i="61"/>
  <c r="R8" i="61"/>
  <c r="Q8" i="61"/>
  <c r="P8" i="61"/>
  <c r="O8" i="61"/>
  <c r="N8" i="61"/>
  <c r="M8" i="61"/>
  <c r="I8" i="61"/>
  <c r="G28" i="60"/>
  <c r="H28" i="60" s="1"/>
  <c r="I27" i="60"/>
  <c r="G27" i="60"/>
  <c r="H27" i="60" s="1"/>
  <c r="G26" i="60"/>
  <c r="H26" i="60" s="1"/>
  <c r="I25" i="60"/>
  <c r="G25" i="60"/>
  <c r="H25" i="60" s="1"/>
  <c r="G24" i="60"/>
  <c r="H24" i="60" s="1"/>
  <c r="G23" i="60"/>
  <c r="H23" i="60" s="1"/>
  <c r="J22" i="60"/>
  <c r="I21" i="60"/>
  <c r="G21" i="60"/>
  <c r="H21" i="60" s="1"/>
  <c r="I20" i="60"/>
  <c r="G20" i="60"/>
  <c r="H20" i="60" s="1"/>
  <c r="I19" i="60"/>
  <c r="G19" i="60"/>
  <c r="H19" i="60" s="1"/>
  <c r="I18" i="60"/>
  <c r="G18" i="60"/>
  <c r="H18" i="60" s="1"/>
  <c r="I17" i="60"/>
  <c r="G17" i="60"/>
  <c r="H17" i="60" s="1"/>
  <c r="I16" i="60"/>
  <c r="G16" i="60"/>
  <c r="H16" i="60" s="1"/>
  <c r="J15" i="60"/>
  <c r="I14" i="60"/>
  <c r="G14" i="60"/>
  <c r="H14" i="60" s="1"/>
  <c r="I13" i="60"/>
  <c r="G13" i="60"/>
  <c r="H13" i="60" s="1"/>
  <c r="I12" i="60"/>
  <c r="G12" i="60"/>
  <c r="H12" i="60" s="1"/>
  <c r="I11" i="60"/>
  <c r="G11" i="60"/>
  <c r="H11" i="60" s="1"/>
  <c r="I10" i="60"/>
  <c r="G10" i="60"/>
  <c r="H10" i="60" s="1"/>
  <c r="I9" i="60"/>
  <c r="G9" i="60"/>
  <c r="H9" i="60" s="1"/>
  <c r="F13" i="59"/>
  <c r="H13" i="59" s="1"/>
  <c r="G13" i="59"/>
  <c r="G12" i="59"/>
  <c r="F12" i="59"/>
  <c r="H12" i="59" s="1"/>
  <c r="G11" i="59"/>
  <c r="F11" i="59"/>
  <c r="H11" i="59" s="1"/>
  <c r="G10" i="59"/>
  <c r="F10" i="59"/>
  <c r="H10" i="59" s="1"/>
  <c r="H21" i="59" l="1"/>
  <c r="I20" i="59"/>
  <c r="J20" i="59" s="1"/>
  <c r="F32" i="59"/>
  <c r="F33" i="59"/>
  <c r="H33" i="59" s="1"/>
  <c r="I33" i="59" s="1"/>
  <c r="H32" i="59"/>
  <c r="I31" i="59"/>
  <c r="J31" i="59" s="1"/>
  <c r="I30" i="59"/>
  <c r="J30" i="59" s="1"/>
  <c r="I29" i="59"/>
  <c r="J29" i="59" s="1"/>
  <c r="I28" i="59"/>
  <c r="J28" i="59" s="1"/>
  <c r="S45" i="61"/>
  <c r="S107" i="61"/>
  <c r="S108" i="61"/>
  <c r="J27" i="59"/>
  <c r="I27" i="59"/>
  <c r="S44" i="61"/>
  <c r="V145" i="61"/>
  <c r="H22" i="60"/>
  <c r="V144" i="61"/>
  <c r="S105" i="61"/>
  <c r="I26" i="59"/>
  <c r="J26" i="59" s="1"/>
  <c r="S50" i="61"/>
  <c r="S58" i="61"/>
  <c r="F24" i="59"/>
  <c r="H24" i="59" s="1"/>
  <c r="H15" i="60"/>
  <c r="J30" i="60"/>
  <c r="S41" i="61"/>
  <c r="S106" i="61"/>
  <c r="S181" i="61"/>
  <c r="H29" i="60"/>
  <c r="V159" i="61"/>
  <c r="S37" i="61"/>
  <c r="S46" i="61"/>
  <c r="S195" i="61"/>
  <c r="S40" i="61"/>
  <c r="S157" i="61"/>
  <c r="S122" i="61"/>
  <c r="S60" i="61"/>
  <c r="S38" i="61"/>
  <c r="S64" i="61"/>
  <c r="S182" i="61"/>
  <c r="S154" i="61"/>
  <c r="S152" i="61"/>
  <c r="S125" i="61"/>
  <c r="S123" i="61"/>
  <c r="S62" i="61"/>
  <c r="S61" i="61"/>
  <c r="S196" i="61"/>
  <c r="S158" i="61"/>
  <c r="S124" i="61"/>
  <c r="S178" i="61"/>
  <c r="S174" i="61"/>
  <c r="S161" i="61"/>
  <c r="S153" i="61"/>
  <c r="S59" i="61"/>
  <c r="S164" i="61"/>
  <c r="S160" i="61"/>
  <c r="S63" i="61"/>
  <c r="S36" i="61"/>
  <c r="I25" i="59"/>
  <c r="J25" i="59" s="1"/>
  <c r="S151" i="61"/>
  <c r="S193" i="61"/>
  <c r="S189" i="61"/>
  <c r="S186" i="61"/>
  <c r="S194" i="61"/>
  <c r="S192" i="61"/>
  <c r="S190" i="61"/>
  <c r="S191" i="61"/>
  <c r="S134" i="61"/>
  <c r="S150" i="61"/>
  <c r="I23" i="59"/>
  <c r="J23" i="59" s="1"/>
  <c r="I22" i="59"/>
  <c r="J22" i="59" s="1"/>
  <c r="S132" i="61"/>
  <c r="S121" i="61"/>
  <c r="P197" i="61"/>
  <c r="N197" i="61"/>
  <c r="R197" i="61"/>
  <c r="M197" i="61"/>
  <c r="S133" i="61"/>
  <c r="S169" i="61"/>
  <c r="S149" i="61"/>
  <c r="I21" i="59"/>
  <c r="J21" i="59" s="1"/>
  <c r="H15" i="59"/>
  <c r="I15" i="59" s="1"/>
  <c r="J15" i="59" s="1"/>
  <c r="I19" i="59"/>
  <c r="J19" i="59" s="1"/>
  <c r="I18" i="59"/>
  <c r="J18" i="59" s="1"/>
  <c r="I17" i="59"/>
  <c r="J17" i="59" s="1"/>
  <c r="I16" i="59"/>
  <c r="J16" i="59" s="1"/>
  <c r="H14" i="59"/>
  <c r="I14" i="59" s="1"/>
  <c r="J14" i="59" s="1"/>
  <c r="U196" i="61"/>
  <c r="T196" i="61"/>
  <c r="K196" i="61"/>
  <c r="J196" i="61"/>
  <c r="V196" i="61" s="1"/>
  <c r="L196" i="61"/>
  <c r="T195" i="61"/>
  <c r="U195" i="61"/>
  <c r="L195" i="61"/>
  <c r="K195" i="61"/>
  <c r="J195" i="61"/>
  <c r="V195" i="61" s="1"/>
  <c r="T194" i="61"/>
  <c r="U194" i="61"/>
  <c r="K194" i="61"/>
  <c r="J194" i="61"/>
  <c r="V194" i="61" s="1"/>
  <c r="L194" i="61"/>
  <c r="U193" i="61"/>
  <c r="T193" i="61"/>
  <c r="J193" i="61"/>
  <c r="V193" i="61" s="1"/>
  <c r="K193" i="61"/>
  <c r="L193" i="61"/>
  <c r="U192" i="61"/>
  <c r="T192" i="61"/>
  <c r="L192" i="61"/>
  <c r="J192" i="61"/>
  <c r="V192" i="61" s="1"/>
  <c r="K192" i="61"/>
  <c r="U191" i="61"/>
  <c r="T191" i="61"/>
  <c r="J191" i="61"/>
  <c r="V191" i="61" s="1"/>
  <c r="L191" i="61"/>
  <c r="K191" i="61"/>
  <c r="T190" i="61"/>
  <c r="U190" i="61"/>
  <c r="K190" i="61"/>
  <c r="J190" i="61"/>
  <c r="V190" i="61" s="1"/>
  <c r="L190" i="61"/>
  <c r="T189" i="61"/>
  <c r="U189" i="61"/>
  <c r="L189" i="61"/>
  <c r="J189" i="61"/>
  <c r="V189" i="61" s="1"/>
  <c r="K189" i="61"/>
  <c r="J188" i="61"/>
  <c r="K188" i="61"/>
  <c r="L188" i="61"/>
  <c r="J187" i="61"/>
  <c r="K187" i="61"/>
  <c r="L187" i="61"/>
  <c r="U186" i="61"/>
  <c r="T186" i="61"/>
  <c r="J186" i="61"/>
  <c r="V186" i="61" s="1"/>
  <c r="K186" i="61"/>
  <c r="L186" i="61"/>
  <c r="L185" i="61"/>
  <c r="K185" i="61"/>
  <c r="J185" i="61"/>
  <c r="J184" i="61"/>
  <c r="K184" i="61"/>
  <c r="L184" i="61"/>
  <c r="K183" i="61"/>
  <c r="J183" i="61"/>
  <c r="L183" i="61"/>
  <c r="U182" i="61"/>
  <c r="T182" i="61"/>
  <c r="K182" i="61"/>
  <c r="J182" i="61"/>
  <c r="V182" i="61" s="1"/>
  <c r="L182" i="61"/>
  <c r="T181" i="61"/>
  <c r="U181" i="61"/>
  <c r="L181" i="61"/>
  <c r="K181" i="61"/>
  <c r="J181" i="61"/>
  <c r="V181" i="61" s="1"/>
  <c r="U180" i="61"/>
  <c r="T180" i="61"/>
  <c r="L180" i="61"/>
  <c r="K180" i="61"/>
  <c r="J180" i="61"/>
  <c r="V180" i="61" s="1"/>
  <c r="L179" i="61"/>
  <c r="K179" i="61"/>
  <c r="J179" i="61"/>
  <c r="T178" i="61"/>
  <c r="U178" i="61"/>
  <c r="J178" i="61"/>
  <c r="V178" i="61" s="1"/>
  <c r="L178" i="61"/>
  <c r="K178" i="61"/>
  <c r="T177" i="61"/>
  <c r="U177" i="61"/>
  <c r="L177" i="61"/>
  <c r="J177" i="61"/>
  <c r="V177" i="61" s="1"/>
  <c r="K177" i="61"/>
  <c r="K176" i="61"/>
  <c r="J176" i="61"/>
  <c r="L176" i="61"/>
  <c r="L175" i="61"/>
  <c r="K175" i="61"/>
  <c r="J175" i="61"/>
  <c r="U174" i="61"/>
  <c r="T174" i="61"/>
  <c r="K174" i="61"/>
  <c r="J174" i="61"/>
  <c r="V174" i="61" s="1"/>
  <c r="L174" i="61"/>
  <c r="U173" i="61"/>
  <c r="T173" i="61"/>
  <c r="L173" i="61"/>
  <c r="J173" i="61"/>
  <c r="V173" i="61" s="1"/>
  <c r="K173" i="61"/>
  <c r="J172" i="61"/>
  <c r="K172" i="61"/>
  <c r="L172" i="61"/>
  <c r="K171" i="61"/>
  <c r="J171" i="61"/>
  <c r="L171" i="61"/>
  <c r="L170" i="61"/>
  <c r="J170" i="61"/>
  <c r="K170" i="61"/>
  <c r="U169" i="61"/>
  <c r="T169" i="61"/>
  <c r="L169" i="61"/>
  <c r="K169" i="61"/>
  <c r="J169" i="61"/>
  <c r="V169" i="61" s="1"/>
  <c r="X168" i="61"/>
  <c r="Y168" i="61" s="1"/>
  <c r="K168" i="61"/>
  <c r="J168" i="61"/>
  <c r="L168" i="61"/>
  <c r="U167" i="61"/>
  <c r="X167" i="61"/>
  <c r="Y167" i="61" s="1"/>
  <c r="T167" i="61"/>
  <c r="L167" i="61"/>
  <c r="K167" i="61"/>
  <c r="J167" i="61"/>
  <c r="V167" i="61" s="1"/>
  <c r="X166" i="61"/>
  <c r="Y166" i="61" s="1"/>
  <c r="U166" i="61"/>
  <c r="T166" i="61"/>
  <c r="L166" i="61"/>
  <c r="K166" i="61"/>
  <c r="J166" i="61"/>
  <c r="V166" i="61" s="1"/>
  <c r="X165" i="61"/>
  <c r="Y165" i="61" s="1"/>
  <c r="U165" i="61"/>
  <c r="T165" i="61"/>
  <c r="K165" i="61"/>
  <c r="L165" i="61"/>
  <c r="J165" i="61"/>
  <c r="V165" i="61" s="1"/>
  <c r="X164" i="61"/>
  <c r="Y164" i="61" s="1"/>
  <c r="U164" i="61"/>
  <c r="T164" i="61"/>
  <c r="L164" i="61"/>
  <c r="K164" i="61"/>
  <c r="J164" i="61"/>
  <c r="V164" i="61" s="1"/>
  <c r="X163" i="61"/>
  <c r="Y163" i="61" s="1"/>
  <c r="L163" i="61"/>
  <c r="K163" i="61"/>
  <c r="J163" i="61"/>
  <c r="X162" i="61"/>
  <c r="Y162" i="61" s="1"/>
  <c r="L162" i="61"/>
  <c r="K162" i="61"/>
  <c r="J162" i="61"/>
  <c r="X161" i="61"/>
  <c r="Y161" i="61" s="1"/>
  <c r="U161" i="61"/>
  <c r="T161" i="61"/>
  <c r="L161" i="61"/>
  <c r="K161" i="61"/>
  <c r="J161" i="61"/>
  <c r="V161" i="61" s="1"/>
  <c r="U160" i="61"/>
  <c r="X160" i="61"/>
  <c r="Y160" i="61" s="1"/>
  <c r="T160" i="61"/>
  <c r="K160" i="61"/>
  <c r="J160" i="61"/>
  <c r="V160" i="61" s="1"/>
  <c r="X158" i="61"/>
  <c r="Y158" i="61" s="1"/>
  <c r="U158" i="61"/>
  <c r="T158" i="61"/>
  <c r="L158" i="61"/>
  <c r="K158" i="61"/>
  <c r="J158" i="61"/>
  <c r="V158" i="61" s="1"/>
  <c r="X157" i="61"/>
  <c r="Y157" i="61" s="1"/>
  <c r="U157" i="61"/>
  <c r="T157" i="61"/>
  <c r="J157" i="61"/>
  <c r="V157" i="61" s="1"/>
  <c r="L157" i="61"/>
  <c r="K157" i="61"/>
  <c r="X156" i="61"/>
  <c r="Y156" i="61" s="1"/>
  <c r="T156" i="61"/>
  <c r="U156" i="61"/>
  <c r="J156" i="61"/>
  <c r="V156" i="61" s="1"/>
  <c r="L156" i="61"/>
  <c r="K156" i="61"/>
  <c r="X155" i="61"/>
  <c r="Y155" i="61" s="1"/>
  <c r="L155" i="61"/>
  <c r="K155" i="61"/>
  <c r="J155" i="61"/>
  <c r="V155" i="61" s="1"/>
  <c r="U154" i="61"/>
  <c r="X154" i="61"/>
  <c r="Y154" i="61" s="1"/>
  <c r="T154" i="61"/>
  <c r="J154" i="61"/>
  <c r="V154" i="61" s="1"/>
  <c r="K154" i="61"/>
  <c r="L154" i="61"/>
  <c r="X153" i="61"/>
  <c r="Y153" i="61" s="1"/>
  <c r="T153" i="61"/>
  <c r="U153" i="61"/>
  <c r="J153" i="61"/>
  <c r="V153" i="61" s="1"/>
  <c r="K153" i="61"/>
  <c r="L153" i="61"/>
  <c r="X152" i="61"/>
  <c r="Y152" i="61" s="1"/>
  <c r="T152" i="61"/>
  <c r="U152" i="61"/>
  <c r="L152" i="61"/>
  <c r="K152" i="61"/>
  <c r="J152" i="61"/>
  <c r="V152" i="61" s="1"/>
  <c r="T151" i="61"/>
  <c r="U151" i="61"/>
  <c r="X151" i="61"/>
  <c r="Y151" i="61" s="1"/>
  <c r="L151" i="61"/>
  <c r="K151" i="61"/>
  <c r="J151" i="61"/>
  <c r="V151" i="61" s="1"/>
  <c r="T150" i="61"/>
  <c r="U150" i="61"/>
  <c r="X150" i="61"/>
  <c r="Y150" i="61" s="1"/>
  <c r="J150" i="61"/>
  <c r="V150" i="61" s="1"/>
  <c r="K150" i="61"/>
  <c r="L150" i="61"/>
  <c r="U149" i="61"/>
  <c r="X149" i="61"/>
  <c r="Y149" i="61" s="1"/>
  <c r="T149" i="61"/>
  <c r="L149" i="61"/>
  <c r="K149" i="61"/>
  <c r="J149" i="61"/>
  <c r="V149" i="61" s="1"/>
  <c r="L148" i="61"/>
  <c r="K148" i="61"/>
  <c r="J148" i="61"/>
  <c r="J147" i="61"/>
  <c r="K147" i="61"/>
  <c r="L147" i="61"/>
  <c r="L146" i="61"/>
  <c r="J146" i="61"/>
  <c r="K146" i="61"/>
  <c r="L143" i="61"/>
  <c r="J143" i="61"/>
  <c r="V143" i="61" s="1"/>
  <c r="K143" i="61"/>
  <c r="L142" i="61"/>
  <c r="J142" i="61"/>
  <c r="K142" i="61"/>
  <c r="L141" i="61"/>
  <c r="K141" i="61"/>
  <c r="J141" i="61"/>
  <c r="J140" i="61"/>
  <c r="L140" i="61"/>
  <c r="K140" i="61"/>
  <c r="K139" i="61"/>
  <c r="L139" i="61"/>
  <c r="J139" i="61"/>
  <c r="J138" i="61"/>
  <c r="K138" i="61"/>
  <c r="L138" i="61"/>
  <c r="L137" i="61"/>
  <c r="K137" i="61"/>
  <c r="J137" i="61"/>
  <c r="L136" i="61"/>
  <c r="K136" i="61"/>
  <c r="J136" i="61"/>
  <c r="L135" i="61"/>
  <c r="K135" i="61"/>
  <c r="J135" i="61"/>
  <c r="V135" i="61" s="1"/>
  <c r="T134" i="61"/>
  <c r="U134" i="61"/>
  <c r="J134" i="61"/>
  <c r="V134" i="61" s="1"/>
  <c r="L134" i="61"/>
  <c r="K134" i="61"/>
  <c r="T133" i="61"/>
  <c r="U133" i="61"/>
  <c r="K133" i="61"/>
  <c r="L133" i="61"/>
  <c r="J133" i="61"/>
  <c r="V133" i="61" s="1"/>
  <c r="U132" i="61"/>
  <c r="T132" i="61"/>
  <c r="J132" i="61"/>
  <c r="V132" i="61" s="1"/>
  <c r="K132" i="61"/>
  <c r="L132" i="61"/>
  <c r="K131" i="61"/>
  <c r="L131" i="61"/>
  <c r="J131" i="61"/>
  <c r="K130" i="61"/>
  <c r="L130" i="61"/>
  <c r="J130" i="61"/>
  <c r="L129" i="61"/>
  <c r="K129" i="61"/>
  <c r="J129" i="61"/>
  <c r="V129" i="61" s="1"/>
  <c r="L128" i="61"/>
  <c r="K128" i="61"/>
  <c r="J128" i="61"/>
  <c r="K127" i="61"/>
  <c r="J127" i="61"/>
  <c r="L127" i="61"/>
  <c r="L126" i="61"/>
  <c r="J126" i="61"/>
  <c r="K126" i="61"/>
  <c r="U125" i="61"/>
  <c r="T125" i="61"/>
  <c r="L125" i="61"/>
  <c r="K125" i="61"/>
  <c r="J125" i="61"/>
  <c r="V125" i="61" s="1"/>
  <c r="U124" i="61"/>
  <c r="T124" i="61"/>
  <c r="J124" i="61"/>
  <c r="V124" i="61" s="1"/>
  <c r="K124" i="61"/>
  <c r="L124" i="61"/>
  <c r="T123" i="61"/>
  <c r="U123" i="61"/>
  <c r="J123" i="61"/>
  <c r="V123" i="61" s="1"/>
  <c r="L123" i="61"/>
  <c r="K123" i="61"/>
  <c r="T122" i="61"/>
  <c r="U122" i="61"/>
  <c r="J122" i="61"/>
  <c r="V122" i="61" s="1"/>
  <c r="K122" i="61"/>
  <c r="L122" i="61"/>
  <c r="T121" i="61"/>
  <c r="U121" i="61"/>
  <c r="J121" i="61"/>
  <c r="V121" i="61" s="1"/>
  <c r="K121" i="61"/>
  <c r="L121" i="61"/>
  <c r="J120" i="61"/>
  <c r="K120" i="61"/>
  <c r="L120" i="61"/>
  <c r="L119" i="61"/>
  <c r="J119" i="61"/>
  <c r="K119" i="61"/>
  <c r="L118" i="61"/>
  <c r="K118" i="61"/>
  <c r="J118" i="61"/>
  <c r="J117" i="61"/>
  <c r="K117" i="61"/>
  <c r="L117" i="61"/>
  <c r="J116" i="61"/>
  <c r="K116" i="61"/>
  <c r="L116" i="61"/>
  <c r="J115" i="61"/>
  <c r="K115" i="61"/>
  <c r="L115" i="61"/>
  <c r="J114" i="61"/>
  <c r="K114" i="61"/>
  <c r="L114" i="61"/>
  <c r="J113" i="61"/>
  <c r="K113" i="61"/>
  <c r="L113" i="61"/>
  <c r="L112" i="61"/>
  <c r="K112" i="61"/>
  <c r="J112" i="61"/>
  <c r="L111" i="61"/>
  <c r="K111" i="61"/>
  <c r="J111" i="61"/>
  <c r="K110" i="61"/>
  <c r="L110" i="61"/>
  <c r="J110" i="61"/>
  <c r="V110" i="61" s="1"/>
  <c r="L109" i="61"/>
  <c r="K109" i="61"/>
  <c r="J109" i="61"/>
  <c r="U108" i="61"/>
  <c r="T108" i="61"/>
  <c r="L108" i="61"/>
  <c r="K108" i="61"/>
  <c r="J108" i="61"/>
  <c r="V108" i="61" s="1"/>
  <c r="U107" i="61"/>
  <c r="T107" i="61"/>
  <c r="K107" i="61"/>
  <c r="L107" i="61"/>
  <c r="J107" i="61"/>
  <c r="V107" i="61" s="1"/>
  <c r="T106" i="61"/>
  <c r="U106" i="61"/>
  <c r="L106" i="61"/>
  <c r="K106" i="61"/>
  <c r="J106" i="61"/>
  <c r="V106" i="61" s="1"/>
  <c r="U105" i="61"/>
  <c r="T105" i="61"/>
  <c r="K105" i="61"/>
  <c r="L105" i="61"/>
  <c r="J105" i="61"/>
  <c r="V105" i="61" s="1"/>
  <c r="L104" i="61"/>
  <c r="J104" i="61"/>
  <c r="K104" i="61"/>
  <c r="J103" i="61"/>
  <c r="L103" i="61"/>
  <c r="K103" i="61"/>
  <c r="L102" i="61"/>
  <c r="J102" i="61"/>
  <c r="K102" i="61"/>
  <c r="L101" i="61"/>
  <c r="K101" i="61"/>
  <c r="J101" i="61"/>
  <c r="L100" i="61"/>
  <c r="K100" i="61"/>
  <c r="J100" i="61"/>
  <c r="L99" i="61"/>
  <c r="K99" i="61"/>
  <c r="J99" i="61"/>
  <c r="L98" i="61"/>
  <c r="K98" i="61"/>
  <c r="J98" i="61"/>
  <c r="J97" i="61"/>
  <c r="K97" i="61"/>
  <c r="L97" i="61"/>
  <c r="J96" i="61"/>
  <c r="K96" i="61"/>
  <c r="L96" i="61"/>
  <c r="K95" i="61"/>
  <c r="J95" i="61"/>
  <c r="L95" i="61"/>
  <c r="J94" i="61"/>
  <c r="L94" i="61"/>
  <c r="K94" i="61"/>
  <c r="J93" i="61"/>
  <c r="L93" i="61"/>
  <c r="K93" i="61"/>
  <c r="K92" i="61"/>
  <c r="J92" i="61"/>
  <c r="L92" i="61"/>
  <c r="L91" i="61"/>
  <c r="K91" i="61"/>
  <c r="J91" i="61"/>
  <c r="L90" i="61"/>
  <c r="K90" i="61"/>
  <c r="J90" i="61"/>
  <c r="J89" i="61"/>
  <c r="L89" i="61"/>
  <c r="K89" i="61"/>
  <c r="J88" i="61"/>
  <c r="L88" i="61"/>
  <c r="K88" i="61"/>
  <c r="J87" i="61"/>
  <c r="K87" i="61"/>
  <c r="L87" i="61"/>
  <c r="J86" i="61"/>
  <c r="L86" i="61"/>
  <c r="K86" i="61"/>
  <c r="J85" i="61"/>
  <c r="K85" i="61"/>
  <c r="L85" i="61"/>
  <c r="L84" i="61"/>
  <c r="J84" i="61"/>
  <c r="L83" i="61"/>
  <c r="K83" i="61"/>
  <c r="J83" i="61"/>
  <c r="L82" i="61"/>
  <c r="K82" i="61"/>
  <c r="J82" i="61"/>
  <c r="L81" i="61"/>
  <c r="K81" i="61"/>
  <c r="J81" i="61"/>
  <c r="L80" i="61"/>
  <c r="K80" i="61"/>
  <c r="J80" i="61"/>
  <c r="L79" i="61"/>
  <c r="K79" i="61"/>
  <c r="J79" i="61"/>
  <c r="V79" i="61" s="1"/>
  <c r="L78" i="61"/>
  <c r="K78" i="61"/>
  <c r="J78" i="61"/>
  <c r="J77" i="61"/>
  <c r="K77" i="61"/>
  <c r="L77" i="61"/>
  <c r="J76" i="61"/>
  <c r="K76" i="61"/>
  <c r="L76" i="61"/>
  <c r="K75" i="61"/>
  <c r="L75" i="61"/>
  <c r="V75" i="61" s="1"/>
  <c r="L74" i="61"/>
  <c r="V74" i="61" s="1"/>
  <c r="K74" i="61"/>
  <c r="K73" i="61"/>
  <c r="L73" i="61"/>
  <c r="V73" i="61" s="1"/>
  <c r="K72" i="61"/>
  <c r="J72" i="61"/>
  <c r="L72" i="61"/>
  <c r="K71" i="61"/>
  <c r="L71" i="61"/>
  <c r="J71" i="61"/>
  <c r="L70" i="61"/>
  <c r="K70" i="61"/>
  <c r="J70" i="61"/>
  <c r="V70" i="61" s="1"/>
  <c r="L69" i="61"/>
  <c r="J69" i="61"/>
  <c r="K69" i="61"/>
  <c r="K68" i="61"/>
  <c r="L68" i="61"/>
  <c r="J68" i="61"/>
  <c r="J67" i="61"/>
  <c r="L67" i="61"/>
  <c r="K67" i="61"/>
  <c r="K66" i="61"/>
  <c r="L66" i="61"/>
  <c r="J66" i="61"/>
  <c r="U65" i="61"/>
  <c r="T65" i="61"/>
  <c r="J65" i="61"/>
  <c r="V65" i="61" s="1"/>
  <c r="K65" i="61"/>
  <c r="L65" i="61"/>
  <c r="T64" i="61"/>
  <c r="U64" i="61"/>
  <c r="K64" i="61"/>
  <c r="L64" i="61"/>
  <c r="J64" i="61"/>
  <c r="V64" i="61" s="1"/>
  <c r="T63" i="61"/>
  <c r="U63" i="61"/>
  <c r="J63" i="61"/>
  <c r="V63" i="61" s="1"/>
  <c r="K63" i="61"/>
  <c r="L63" i="61"/>
  <c r="T62" i="61"/>
  <c r="U62" i="61"/>
  <c r="K62" i="61"/>
  <c r="L62" i="61"/>
  <c r="J62" i="61"/>
  <c r="V62" i="61" s="1"/>
  <c r="T61" i="61"/>
  <c r="U61" i="61"/>
  <c r="L61" i="61"/>
  <c r="K61" i="61"/>
  <c r="J61" i="61"/>
  <c r="V61" i="61" s="1"/>
  <c r="U60" i="61"/>
  <c r="T60" i="61"/>
  <c r="L60" i="61"/>
  <c r="K60" i="61"/>
  <c r="J60" i="61"/>
  <c r="V60" i="61" s="1"/>
  <c r="U59" i="61"/>
  <c r="T59" i="61"/>
  <c r="K59" i="61"/>
  <c r="L59" i="61"/>
  <c r="J59" i="61"/>
  <c r="V59" i="61" s="1"/>
  <c r="U58" i="61"/>
  <c r="T58" i="61"/>
  <c r="L58" i="61"/>
  <c r="K58" i="61"/>
  <c r="J58" i="61"/>
  <c r="V58" i="61" s="1"/>
  <c r="L57" i="61"/>
  <c r="K57" i="61"/>
  <c r="J57" i="61"/>
  <c r="L56" i="61"/>
  <c r="K56" i="61"/>
  <c r="J56" i="61"/>
  <c r="L55" i="61"/>
  <c r="K55" i="61"/>
  <c r="J55" i="61"/>
  <c r="L54" i="61"/>
  <c r="K54" i="61"/>
  <c r="J54" i="61"/>
  <c r="L53" i="61"/>
  <c r="K53" i="61"/>
  <c r="J53" i="61"/>
  <c r="L52" i="61"/>
  <c r="K52" i="61"/>
  <c r="J52" i="61"/>
  <c r="L51" i="61"/>
  <c r="K51" i="61"/>
  <c r="J51" i="61"/>
  <c r="V51" i="61" s="1"/>
  <c r="U50" i="61"/>
  <c r="T50" i="61"/>
  <c r="L50" i="61"/>
  <c r="K50" i="61"/>
  <c r="J50" i="61"/>
  <c r="V50" i="61" s="1"/>
  <c r="U49" i="61"/>
  <c r="T49" i="61"/>
  <c r="L49" i="61"/>
  <c r="K49" i="61"/>
  <c r="J49" i="61"/>
  <c r="V49" i="61" s="1"/>
  <c r="L48" i="61"/>
  <c r="J48" i="61"/>
  <c r="K48" i="61"/>
  <c r="J47" i="61"/>
  <c r="K47" i="61"/>
  <c r="L47" i="61"/>
  <c r="T46" i="61"/>
  <c r="U46" i="61"/>
  <c r="J46" i="61"/>
  <c r="V46" i="61" s="1"/>
  <c r="K46" i="61"/>
  <c r="L46" i="61"/>
  <c r="U45" i="61"/>
  <c r="T45" i="61"/>
  <c r="L45" i="61"/>
  <c r="K45" i="61"/>
  <c r="J45" i="61"/>
  <c r="V45" i="61" s="1"/>
  <c r="T44" i="61"/>
  <c r="U44" i="61"/>
  <c r="K44" i="61"/>
  <c r="L44" i="61"/>
  <c r="J44" i="61"/>
  <c r="V44" i="61" s="1"/>
  <c r="L43" i="61"/>
  <c r="K43" i="61"/>
  <c r="J43" i="61"/>
  <c r="K42" i="61"/>
  <c r="L42" i="61"/>
  <c r="J42" i="61"/>
  <c r="T41" i="61"/>
  <c r="U41" i="61"/>
  <c r="L41" i="61"/>
  <c r="K41" i="61"/>
  <c r="J41" i="61"/>
  <c r="V41" i="61" s="1"/>
  <c r="T40" i="61"/>
  <c r="U40" i="61"/>
  <c r="L40" i="61"/>
  <c r="J40" i="61"/>
  <c r="V40" i="61" s="1"/>
  <c r="K40" i="61"/>
  <c r="L39" i="61"/>
  <c r="K39" i="61"/>
  <c r="J39" i="61"/>
  <c r="U38" i="61"/>
  <c r="T38" i="61"/>
  <c r="K38" i="61"/>
  <c r="J38" i="61"/>
  <c r="V38" i="61" s="1"/>
  <c r="L38" i="61"/>
  <c r="T37" i="61"/>
  <c r="U37" i="61"/>
  <c r="K37" i="61"/>
  <c r="L37" i="61"/>
  <c r="J37" i="61"/>
  <c r="V37" i="61" s="1"/>
  <c r="U36" i="61"/>
  <c r="T36" i="61"/>
  <c r="K36" i="61"/>
  <c r="J36" i="61"/>
  <c r="V36" i="61" s="1"/>
  <c r="L36" i="61"/>
  <c r="J35" i="61"/>
  <c r="K35" i="61"/>
  <c r="L35" i="61"/>
  <c r="K34" i="61"/>
  <c r="J34" i="61"/>
  <c r="L34" i="61"/>
  <c r="J33" i="61"/>
  <c r="K33" i="61"/>
  <c r="L33" i="61"/>
  <c r="J32" i="61"/>
  <c r="K32" i="61"/>
  <c r="L32" i="61"/>
  <c r="L31" i="61"/>
  <c r="K31" i="61"/>
  <c r="J31" i="61"/>
  <c r="J30" i="61"/>
  <c r="K30" i="61"/>
  <c r="L30" i="61"/>
  <c r="J29" i="61"/>
  <c r="K29" i="61"/>
  <c r="L29" i="61"/>
  <c r="J28" i="61"/>
  <c r="L28" i="61"/>
  <c r="K28" i="61"/>
  <c r="J27" i="61"/>
  <c r="K27" i="61"/>
  <c r="L27" i="61"/>
  <c r="L26" i="61"/>
  <c r="K26" i="61"/>
  <c r="J26" i="61"/>
  <c r="V26" i="61" s="1"/>
  <c r="L25" i="61"/>
  <c r="J25" i="61"/>
  <c r="K25" i="61"/>
  <c r="K24" i="61"/>
  <c r="J24" i="61"/>
  <c r="L24" i="61"/>
  <c r="L23" i="61"/>
  <c r="K23" i="61"/>
  <c r="J23" i="61"/>
  <c r="J22" i="61"/>
  <c r="K22" i="61"/>
  <c r="L22" i="61"/>
  <c r="L21" i="61"/>
  <c r="K21" i="61"/>
  <c r="J21" i="61"/>
  <c r="L20" i="61"/>
  <c r="K20" i="61"/>
  <c r="J20" i="61"/>
  <c r="L19" i="61"/>
  <c r="J19" i="61"/>
  <c r="K19" i="61"/>
  <c r="T18" i="61"/>
  <c r="U18" i="61"/>
  <c r="L18" i="61"/>
  <c r="K18" i="61"/>
  <c r="J18" i="61"/>
  <c r="V18" i="61" s="1"/>
  <c r="U17" i="61"/>
  <c r="T17" i="61"/>
  <c r="L17" i="61"/>
  <c r="J17" i="61"/>
  <c r="V17" i="61" s="1"/>
  <c r="K17" i="61"/>
  <c r="U16" i="61"/>
  <c r="T16" i="61"/>
  <c r="Q197" i="61"/>
  <c r="S16" i="61"/>
  <c r="O197" i="61"/>
  <c r="K16" i="61"/>
  <c r="I197" i="61"/>
  <c r="L16" i="61"/>
  <c r="J16" i="61"/>
  <c r="L15" i="61"/>
  <c r="J15" i="61"/>
  <c r="V15" i="61" s="1"/>
  <c r="K15" i="61"/>
  <c r="J14" i="61"/>
  <c r="K14" i="61"/>
  <c r="L14" i="61"/>
  <c r="J13" i="61"/>
  <c r="K13" i="61"/>
  <c r="L13" i="61"/>
  <c r="K12" i="61"/>
  <c r="L12" i="61"/>
  <c r="V12" i="61" s="1"/>
  <c r="K11" i="61"/>
  <c r="L11" i="61"/>
  <c r="J11" i="61"/>
  <c r="V11" i="61" s="1"/>
  <c r="J10" i="61"/>
  <c r="L10" i="61"/>
  <c r="K10" i="61"/>
  <c r="J9" i="61"/>
  <c r="K9" i="61"/>
  <c r="L9" i="61"/>
  <c r="J8" i="61"/>
  <c r="K8" i="61"/>
  <c r="L8" i="61"/>
  <c r="I13" i="59"/>
  <c r="J13" i="59" s="1"/>
  <c r="I12" i="59"/>
  <c r="J12" i="59" s="1"/>
  <c r="I11" i="59"/>
  <c r="J11" i="59" s="1"/>
  <c r="I10" i="59"/>
  <c r="J10" i="59" s="1"/>
  <c r="H16" i="35"/>
  <c r="H15" i="35"/>
  <c r="H14" i="35"/>
  <c r="H13" i="35"/>
  <c r="G20" i="42"/>
  <c r="I26" i="58"/>
  <c r="I33" i="58"/>
  <c r="I34" i="58" s="1"/>
  <c r="V179" i="61" l="1"/>
  <c r="V54" i="61"/>
  <c r="V128" i="61"/>
  <c r="V162" i="61"/>
  <c r="V175" i="61"/>
  <c r="V102" i="61"/>
  <c r="V21" i="61"/>
  <c r="V82" i="61"/>
  <c r="J33" i="59"/>
  <c r="V72" i="61"/>
  <c r="V42" i="61"/>
  <c r="V28" i="61"/>
  <c r="V126" i="61"/>
  <c r="V146" i="61"/>
  <c r="I32" i="59"/>
  <c r="J32" i="59" s="1"/>
  <c r="V47" i="61"/>
  <c r="V119" i="61"/>
  <c r="V148" i="61"/>
  <c r="V27" i="61"/>
  <c r="V69" i="61"/>
  <c r="V142" i="61"/>
  <c r="V34" i="61"/>
  <c r="V76" i="61"/>
  <c r="V55" i="61"/>
  <c r="V39" i="61"/>
  <c r="V43" i="61"/>
  <c r="V66" i="61"/>
  <c r="V83" i="61"/>
  <c r="V25" i="61"/>
  <c r="V78" i="61"/>
  <c r="V163" i="61"/>
  <c r="V185" i="61"/>
  <c r="V53" i="61"/>
  <c r="V57" i="61"/>
  <c r="V101" i="61"/>
  <c r="V118" i="61"/>
  <c r="I24" i="59"/>
  <c r="J24" i="59" s="1"/>
  <c r="V20" i="61"/>
  <c r="V24" i="61"/>
  <c r="V68" i="61"/>
  <c r="V81" i="61"/>
  <c r="V131" i="61"/>
  <c r="V137" i="61"/>
  <c r="V141" i="61"/>
  <c r="V168" i="61"/>
  <c r="L197" i="61"/>
  <c r="V90" i="61"/>
  <c r="V98" i="61"/>
  <c r="V111" i="61"/>
  <c r="V48" i="61"/>
  <c r="V91" i="61"/>
  <c r="V99" i="61"/>
  <c r="V112" i="61"/>
  <c r="V139" i="61"/>
  <c r="S197" i="61"/>
  <c r="V30" i="61"/>
  <c r="V22" i="61"/>
  <c r="V23" i="61"/>
  <c r="V31" i="61"/>
  <c r="V52" i="61"/>
  <c r="V56" i="61"/>
  <c r="V100" i="61"/>
  <c r="V109" i="61"/>
  <c r="K197" i="61"/>
  <c r="V14" i="61"/>
  <c r="V19" i="61"/>
  <c r="V71" i="61"/>
  <c r="V80" i="61"/>
  <c r="V84" i="61"/>
  <c r="V104" i="61"/>
  <c r="V130" i="61"/>
  <c r="V136" i="61"/>
  <c r="V170" i="61"/>
  <c r="T197" i="61"/>
  <c r="U197" i="61"/>
  <c r="V9" i="61"/>
  <c r="V33" i="61"/>
  <c r="V103" i="61"/>
  <c r="V97" i="61"/>
  <c r="V96" i="61"/>
  <c r="V95" i="61"/>
  <c r="V94" i="61"/>
  <c r="V93" i="61"/>
  <c r="V92" i="61"/>
  <c r="V89" i="61"/>
  <c r="V88" i="61"/>
  <c r="V87" i="61"/>
  <c r="V86" i="61"/>
  <c r="V85" i="61"/>
  <c r="V77" i="61"/>
  <c r="V67" i="61"/>
  <c r="V10" i="61"/>
  <c r="V8" i="61"/>
  <c r="V188" i="61"/>
  <c r="V187" i="61"/>
  <c r="V184" i="61"/>
  <c r="V183" i="61"/>
  <c r="V176" i="61"/>
  <c r="V172" i="61"/>
  <c r="V171" i="61"/>
  <c r="V147" i="61"/>
  <c r="V140" i="61"/>
  <c r="V138" i="61"/>
  <c r="V127" i="61"/>
  <c r="V120" i="61"/>
  <c r="V117" i="61"/>
  <c r="V116" i="61"/>
  <c r="V115" i="61"/>
  <c r="V114" i="61"/>
  <c r="V113" i="61"/>
  <c r="V35" i="61"/>
  <c r="V32" i="61"/>
  <c r="V29" i="61"/>
  <c r="V13" i="61"/>
  <c r="J197" i="61"/>
  <c r="V16" i="61"/>
  <c r="C4" i="50" l="1"/>
  <c r="D19" i="57"/>
  <c r="E18" i="57"/>
  <c r="D18" i="57"/>
  <c r="E3" i="57"/>
  <c r="F3" i="57"/>
  <c r="G3" i="57"/>
  <c r="H3" i="57"/>
  <c r="D3" i="57"/>
  <c r="D26" i="58"/>
  <c r="D27" i="58" s="1"/>
  <c r="C25" i="58"/>
  <c r="C26" i="58" s="1"/>
  <c r="C27" i="58" s="1"/>
  <c r="D17" i="58" l="1"/>
  <c r="F17" i="58" s="1"/>
  <c r="G17" i="58" s="1"/>
  <c r="M18" i="42"/>
  <c r="L33" i="49" l="1"/>
  <c r="L33" i="58"/>
  <c r="L37" i="58" s="1"/>
  <c r="J36" i="58"/>
  <c r="M33" i="58"/>
  <c r="M34" i="58" s="1"/>
  <c r="K33" i="58"/>
  <c r="K37" i="58" s="1"/>
  <c r="J33" i="58"/>
  <c r="I37" i="58"/>
  <c r="F29" i="58"/>
  <c r="J26" i="58"/>
  <c r="H26" i="58"/>
  <c r="G26" i="58"/>
  <c r="F26" i="58"/>
  <c r="E26" i="58"/>
  <c r="E27" i="58" s="1"/>
  <c r="B26" i="58"/>
  <c r="B27" i="58" s="1"/>
  <c r="L22" i="58"/>
  <c r="N19" i="58"/>
  <c r="N20" i="58" s="1"/>
  <c r="F19" i="58"/>
  <c r="L18" i="58"/>
  <c r="D18" i="58"/>
  <c r="E18" i="58" s="1"/>
  <c r="E19" i="58" s="1"/>
  <c r="D16" i="58"/>
  <c r="F16" i="58" s="1"/>
  <c r="G16" i="58" s="1"/>
  <c r="D15" i="58"/>
  <c r="F15" i="58" s="1"/>
  <c r="G15" i="58" s="1"/>
  <c r="D14" i="58"/>
  <c r="F14" i="58" s="1"/>
  <c r="G14" i="58" s="1"/>
  <c r="D13" i="58"/>
  <c r="F13" i="58" s="1"/>
  <c r="G13" i="58" s="1"/>
  <c r="D12" i="58"/>
  <c r="F12" i="58" s="1"/>
  <c r="G12" i="58" s="1"/>
  <c r="D11" i="58"/>
  <c r="D10" i="58"/>
  <c r="D9" i="58"/>
  <c r="D8" i="58"/>
  <c r="D7" i="58"/>
  <c r="F7" i="58" s="1"/>
  <c r="G7" i="58" s="1"/>
  <c r="F9" i="58" l="1"/>
  <c r="G9" i="58" s="1"/>
  <c r="F10" i="58"/>
  <c r="G10" i="58" s="1"/>
  <c r="F11" i="58"/>
  <c r="G11" i="58" s="1"/>
  <c r="F8" i="58"/>
  <c r="G8" i="58" s="1"/>
  <c r="J37" i="58"/>
  <c r="J34" i="58"/>
  <c r="N35" i="58" s="1"/>
  <c r="K34" i="58"/>
  <c r="M37" i="58"/>
  <c r="L34" i="58"/>
  <c r="N34" i="58" l="1"/>
  <c r="I35" i="58" s="1"/>
  <c r="K9" i="47"/>
  <c r="I19" i="57"/>
  <c r="I18" i="57"/>
  <c r="I16" i="57"/>
  <c r="I14" i="57"/>
  <c r="I11" i="57"/>
  <c r="I9" i="57"/>
  <c r="I7" i="57"/>
  <c r="I12" i="57" s="1"/>
  <c r="I6" i="57"/>
  <c r="I5" i="57"/>
  <c r="I4" i="57"/>
  <c r="F37" i="56" l="1"/>
  <c r="K33" i="56"/>
  <c r="F33" i="56" s="1"/>
  <c r="K32" i="56"/>
  <c r="F32" i="56" s="1"/>
  <c r="H37" i="56" l="1"/>
  <c r="J37" i="56" s="1"/>
  <c r="H32" i="56"/>
  <c r="J32" i="56" s="1"/>
  <c r="H33" i="56"/>
  <c r="J33" i="56" s="1"/>
  <c r="E29" i="56"/>
  <c r="K29" i="56" s="1"/>
  <c r="F29" i="56" s="1"/>
  <c r="E17" i="56"/>
  <c r="K17" i="56" s="1"/>
  <c r="F17" i="56" s="1"/>
  <c r="E18" i="56"/>
  <c r="K18" i="56" s="1"/>
  <c r="E31" i="56"/>
  <c r="K31" i="56" s="1"/>
  <c r="F31" i="56" s="1"/>
  <c r="E19" i="56"/>
  <c r="K19" i="56" s="1"/>
  <c r="F19" i="56" s="1"/>
  <c r="E32" i="56"/>
  <c r="G32" i="56" s="1"/>
  <c r="I32" i="56" s="1"/>
  <c r="E20" i="56"/>
  <c r="K20" i="56" s="1"/>
  <c r="F20" i="56" s="1"/>
  <c r="E33" i="56"/>
  <c r="G33" i="56" s="1"/>
  <c r="I33" i="56" s="1"/>
  <c r="E21" i="56"/>
  <c r="K21" i="56" s="1"/>
  <c r="F21" i="56" s="1"/>
  <c r="E34" i="56"/>
  <c r="K34" i="56" s="1"/>
  <c r="F34" i="56" s="1"/>
  <c r="E22" i="56"/>
  <c r="K22" i="56" s="1"/>
  <c r="F22" i="56" s="1"/>
  <c r="E23" i="56"/>
  <c r="K23" i="56" s="1"/>
  <c r="F23" i="56" s="1"/>
  <c r="E35" i="56"/>
  <c r="K35" i="56" s="1"/>
  <c r="F35" i="56" s="1"/>
  <c r="E36" i="56"/>
  <c r="K36" i="56" s="1"/>
  <c r="F36" i="56" s="1"/>
  <c r="E24" i="56"/>
  <c r="K24" i="56" s="1"/>
  <c r="F24" i="56" s="1"/>
  <c r="E25" i="56"/>
  <c r="K25" i="56" s="1"/>
  <c r="F25" i="56" s="1"/>
  <c r="E13" i="56"/>
  <c r="K13" i="56" s="1"/>
  <c r="F13" i="56" s="1"/>
  <c r="E12" i="56"/>
  <c r="K12" i="56" s="1"/>
  <c r="F12" i="56" s="1"/>
  <c r="E11" i="56"/>
  <c r="K11" i="56" s="1"/>
  <c r="F11" i="56" s="1"/>
  <c r="E10" i="56"/>
  <c r="K10" i="56" s="1"/>
  <c r="F10" i="56" s="1"/>
  <c r="E9" i="56"/>
  <c r="K9" i="56" s="1"/>
  <c r="F9" i="56" s="1"/>
  <c r="E8" i="56"/>
  <c r="K8" i="56" s="1"/>
  <c r="F8" i="56" s="1"/>
  <c r="E7" i="56"/>
  <c r="K7" i="56" s="1"/>
  <c r="F7" i="56" s="1"/>
  <c r="E6" i="56"/>
  <c r="K6" i="56" s="1"/>
  <c r="F6" i="56" s="1"/>
  <c r="E5" i="56"/>
  <c r="K5" i="56" s="1"/>
  <c r="F5" i="56" s="1"/>
  <c r="H34" i="56" l="1"/>
  <c r="J34" i="56" s="1"/>
  <c r="H31" i="56"/>
  <c r="J31" i="56" s="1"/>
  <c r="H29" i="56"/>
  <c r="J29" i="56" s="1"/>
  <c r="H36" i="56"/>
  <c r="J36" i="56" s="1"/>
  <c r="H35" i="56"/>
  <c r="J35" i="56" s="1"/>
  <c r="H23" i="56"/>
  <c r="J23" i="56" s="1"/>
  <c r="H22" i="56"/>
  <c r="J22" i="56"/>
  <c r="H20" i="56"/>
  <c r="J20" i="56" s="1"/>
  <c r="H21" i="56"/>
  <c r="J21" i="56" s="1"/>
  <c r="H19" i="56"/>
  <c r="J19" i="56" s="1"/>
  <c r="H25" i="56"/>
  <c r="J25" i="56" s="1"/>
  <c r="H24" i="56"/>
  <c r="J24" i="56" s="1"/>
  <c r="K30" i="56"/>
  <c r="F30" i="56" s="1"/>
  <c r="F18" i="56"/>
  <c r="H17" i="56"/>
  <c r="J17" i="56" s="1"/>
  <c r="H11" i="56"/>
  <c r="J11" i="56" s="1"/>
  <c r="H6" i="56"/>
  <c r="J6" i="56" s="1"/>
  <c r="H8" i="56"/>
  <c r="J8" i="56" s="1"/>
  <c r="H10" i="56"/>
  <c r="J10" i="56" s="1"/>
  <c r="H7" i="56"/>
  <c r="J7" i="56" s="1"/>
  <c r="H12" i="56"/>
  <c r="J12" i="56" s="1"/>
  <c r="H13" i="56"/>
  <c r="J13" i="56" s="1"/>
  <c r="H9" i="56"/>
  <c r="J9" i="56" s="1"/>
  <c r="H5" i="56"/>
  <c r="J5" i="56" s="1"/>
  <c r="G22" i="56"/>
  <c r="I22" i="56" s="1"/>
  <c r="G36" i="56"/>
  <c r="I36" i="56" s="1"/>
  <c r="G35" i="56"/>
  <c r="I35" i="56" s="1"/>
  <c r="G17" i="56"/>
  <c r="I17" i="56" s="1"/>
  <c r="G25" i="56"/>
  <c r="I25" i="56" s="1"/>
  <c r="G12" i="56"/>
  <c r="I12" i="56" s="1"/>
  <c r="G9" i="56"/>
  <c r="I9" i="56" s="1"/>
  <c r="G6" i="56"/>
  <c r="I6" i="56" s="1"/>
  <c r="G19" i="56"/>
  <c r="I19" i="56" s="1"/>
  <c r="G10" i="56"/>
  <c r="I10" i="56" s="1"/>
  <c r="G5" i="56"/>
  <c r="I5" i="56" s="1"/>
  <c r="G8" i="56"/>
  <c r="I8" i="56" s="1"/>
  <c r="G24" i="56"/>
  <c r="I24" i="56" s="1"/>
  <c r="G29" i="56"/>
  <c r="I29" i="56" s="1"/>
  <c r="E37" i="56"/>
  <c r="G37" i="56" s="1"/>
  <c r="G7" i="56"/>
  <c r="I7" i="56" s="1"/>
  <c r="G23" i="56"/>
  <c r="I23" i="56" s="1"/>
  <c r="G11" i="56"/>
  <c r="I11" i="56" s="1"/>
  <c r="E30" i="56"/>
  <c r="G21" i="56"/>
  <c r="I21" i="56" s="1"/>
  <c r="G20" i="56"/>
  <c r="I20" i="56" s="1"/>
  <c r="G34" i="56"/>
  <c r="I34" i="56" s="1"/>
  <c r="G18" i="56"/>
  <c r="I18" i="56" s="1"/>
  <c r="G13" i="56"/>
  <c r="I13" i="56" s="1"/>
  <c r="G31" i="56"/>
  <c r="I31" i="56" s="1"/>
  <c r="D18" i="49"/>
  <c r="E18" i="49" s="1"/>
  <c r="H30" i="56" l="1"/>
  <c r="J30" i="56" s="1"/>
  <c r="H18" i="56"/>
  <c r="J18" i="56" s="1"/>
  <c r="I37" i="56"/>
  <c r="G30" i="56"/>
  <c r="I30" i="56" s="1"/>
  <c r="L25" i="42" l="1"/>
  <c r="M25" i="42" s="1"/>
  <c r="L26" i="42"/>
  <c r="M26" i="42" s="1"/>
  <c r="K25" i="42"/>
  <c r="K26" i="42" s="1"/>
  <c r="K27" i="42" l="1"/>
  <c r="K28" i="42" s="1"/>
  <c r="J36" i="49" l="1"/>
  <c r="I9" i="13" l="1"/>
  <c r="N19" i="42"/>
  <c r="N20" i="42" s="1"/>
  <c r="G7" i="42" l="1"/>
  <c r="D7" i="42"/>
  <c r="F7" i="42" s="1"/>
  <c r="K33" i="49"/>
  <c r="J33" i="49"/>
  <c r="E21" i="42" l="1"/>
  <c r="F4" i="55" l="1"/>
  <c r="E26" i="55" s="1"/>
  <c r="G26" i="55" s="1"/>
  <c r="H26" i="55" s="1"/>
  <c r="E22" i="55"/>
  <c r="G22" i="55" s="1"/>
  <c r="I15" i="55" s="1"/>
  <c r="K31" i="55" s="1"/>
  <c r="E21" i="55"/>
  <c r="F21" i="55" s="1"/>
  <c r="I10" i="55" s="1"/>
  <c r="K28" i="55" s="1"/>
  <c r="E28" i="55" l="1"/>
  <c r="G28" i="55" s="1"/>
  <c r="G21" i="55"/>
  <c r="I12" i="55" s="1"/>
  <c r="K29" i="55" s="1"/>
  <c r="E30" i="55"/>
  <c r="G30" i="55" s="1"/>
  <c r="H30" i="55" s="1"/>
  <c r="F22" i="55"/>
  <c r="I14" i="55" s="1"/>
  <c r="K30" i="55" s="1"/>
  <c r="H28" i="55" l="1"/>
  <c r="L29" i="55"/>
  <c r="H4" i="55"/>
  <c r="I26" i="55" s="1"/>
  <c r="F18" i="55"/>
  <c r="H18" i="55" s="1"/>
  <c r="F17" i="55"/>
  <c r="E32" i="55" s="1"/>
  <c r="G32" i="55" s="1"/>
  <c r="H32" i="55" s="1"/>
  <c r="F16" i="55"/>
  <c r="H16" i="55" s="1"/>
  <c r="F15" i="55"/>
  <c r="H15" i="55" s="1"/>
  <c r="I31" i="55" s="1"/>
  <c r="F14" i="55"/>
  <c r="H14" i="55" s="1"/>
  <c r="I30" i="55" s="1"/>
  <c r="F13" i="55"/>
  <c r="H13" i="55" s="1"/>
  <c r="F12" i="55"/>
  <c r="H12" i="55" s="1"/>
  <c r="I29" i="55" s="1"/>
  <c r="F11" i="55"/>
  <c r="H11" i="55" s="1"/>
  <c r="F10" i="55"/>
  <c r="H10" i="55" s="1"/>
  <c r="I28" i="55" s="1"/>
  <c r="F9" i="55"/>
  <c r="H9" i="55" s="1"/>
  <c r="F8" i="55"/>
  <c r="H8" i="55" s="1"/>
  <c r="F7" i="55"/>
  <c r="E27" i="55" s="1"/>
  <c r="G27" i="55" s="1"/>
  <c r="H27" i="55" s="1"/>
  <c r="F6" i="55"/>
  <c r="H6" i="55" s="1"/>
  <c r="F5" i="55"/>
  <c r="H5" i="55" s="1"/>
  <c r="F3" i="55"/>
  <c r="H3" i="55" s="1"/>
  <c r="H7" i="55" l="1"/>
  <c r="I27" i="55" s="1"/>
  <c r="H17" i="55"/>
  <c r="I32" i="55" s="1"/>
  <c r="H7" i="42"/>
  <c r="H8" i="42" s="1"/>
  <c r="D26" i="49" l="1"/>
  <c r="F26" i="49"/>
  <c r="O32" i="13" l="1"/>
  <c r="J26" i="42" l="1"/>
  <c r="G11" i="28" l="1"/>
  <c r="H13" i="42"/>
  <c r="F17" i="28" l="1"/>
  <c r="F19" i="13" l="1"/>
  <c r="B26" i="49" l="1"/>
  <c r="B27" i="49" s="1"/>
  <c r="I34" i="28"/>
  <c r="I33" i="28"/>
  <c r="J7" i="43" l="1"/>
  <c r="F34" i="42" l="1"/>
  <c r="K33" i="43" l="1"/>
  <c r="K34" i="43" s="1"/>
  <c r="J33" i="43"/>
  <c r="J34" i="43" s="1"/>
  <c r="I33" i="43"/>
  <c r="I34" i="43" s="1"/>
  <c r="H33" i="43"/>
  <c r="H34" i="43" s="1"/>
  <c r="G33" i="43"/>
  <c r="G34" i="43" s="1"/>
  <c r="M28" i="37"/>
  <c r="M32" i="37" s="1"/>
  <c r="L28" i="37"/>
  <c r="L32" i="37" s="1"/>
  <c r="K28" i="37"/>
  <c r="K32" i="37" s="1"/>
  <c r="J28" i="37"/>
  <c r="J32" i="37" s="1"/>
  <c r="I28" i="37"/>
  <c r="I32" i="37" s="1"/>
  <c r="M33" i="49"/>
  <c r="M34" i="49" s="1"/>
  <c r="M29" i="37" l="1"/>
  <c r="M34" i="43"/>
  <c r="G35" i="43" s="1"/>
  <c r="J29" i="37"/>
  <c r="K29" i="37"/>
  <c r="L29" i="37"/>
  <c r="M37" i="49"/>
  <c r="I29" i="37"/>
  <c r="N29" i="37" l="1"/>
  <c r="I30" i="37" s="1"/>
  <c r="J5" i="35"/>
  <c r="K5" i="35" s="1"/>
  <c r="L5" i="35" s="1"/>
  <c r="J6" i="35"/>
  <c r="K6" i="35" s="1"/>
  <c r="L6" i="35" s="1"/>
  <c r="I29" i="13" l="1"/>
  <c r="G26" i="49" l="1"/>
  <c r="K17" i="28" l="1"/>
  <c r="L17" i="28"/>
  <c r="J17" i="28"/>
  <c r="S29" i="49" l="1"/>
  <c r="S30" i="49"/>
  <c r="S31" i="49"/>
  <c r="S32" i="49"/>
  <c r="S33" i="49"/>
  <c r="S34" i="49"/>
  <c r="S35" i="49"/>
  <c r="S36" i="49"/>
  <c r="S37" i="49"/>
  <c r="S38" i="49"/>
  <c r="S39" i="49"/>
  <c r="S28" i="49"/>
  <c r="S27" i="49" l="1"/>
  <c r="HH41" i="6"/>
  <c r="I27" i="51" l="1"/>
  <c r="I37" i="51"/>
  <c r="E20" i="53" l="1"/>
  <c r="H16" i="53"/>
  <c r="I16" i="53" s="1"/>
  <c r="D15" i="53"/>
  <c r="G20" i="53" s="1"/>
  <c r="D14" i="53"/>
  <c r="F14" i="53" s="1"/>
  <c r="D13" i="53"/>
  <c r="H13" i="53" s="1"/>
  <c r="D12" i="53"/>
  <c r="F12" i="53" s="1"/>
  <c r="G12" i="53" s="1"/>
  <c r="D11" i="53"/>
  <c r="F11" i="53" s="1"/>
  <c r="G11" i="53" s="1"/>
  <c r="D10" i="53"/>
  <c r="H10" i="53" s="1"/>
  <c r="D9" i="53"/>
  <c r="F9" i="53" s="1"/>
  <c r="D8" i="53"/>
  <c r="F8" i="53" s="1"/>
  <c r="D7" i="53"/>
  <c r="H7" i="53" s="1"/>
  <c r="I7" i="53" s="1"/>
  <c r="D6" i="53"/>
  <c r="H6" i="53" s="1"/>
  <c r="I6" i="53" s="1"/>
  <c r="D5" i="53"/>
  <c r="H5" i="53" s="1"/>
  <c r="I5" i="53" s="1"/>
  <c r="D4" i="53"/>
  <c r="H4" i="53" s="1"/>
  <c r="I4" i="53" s="1"/>
  <c r="J4" i="53" s="1"/>
  <c r="F7" i="53" l="1"/>
  <c r="F4" i="53"/>
  <c r="G4" i="53" s="1"/>
  <c r="F6" i="53"/>
  <c r="F5" i="53"/>
  <c r="F15" i="53"/>
  <c r="F20" i="53" s="1"/>
  <c r="H9" i="53"/>
  <c r="I9" i="53" s="1"/>
  <c r="H8" i="53"/>
  <c r="I8" i="53" s="1"/>
  <c r="H14" i="53"/>
  <c r="I14" i="53" s="1"/>
  <c r="H11" i="53"/>
  <c r="I11" i="53" s="1"/>
  <c r="F18" i="53"/>
  <c r="H15" i="53"/>
  <c r="I15" i="53" s="1"/>
  <c r="H12" i="53"/>
  <c r="I12" i="53" s="1"/>
  <c r="D16" i="42"/>
  <c r="F16" i="42" s="1"/>
  <c r="D3" i="34" l="1"/>
  <c r="D4" i="34" s="1"/>
  <c r="D17" i="37"/>
  <c r="D15" i="37"/>
  <c r="F15" i="37" s="1"/>
  <c r="D14" i="37"/>
  <c r="F14" i="37" s="1"/>
  <c r="D13" i="37"/>
  <c r="F13" i="37" s="1"/>
  <c r="D12" i="37"/>
  <c r="F12" i="37" s="1"/>
  <c r="D11" i="37"/>
  <c r="F11" i="37" s="1"/>
  <c r="D10" i="37"/>
  <c r="F10" i="37" s="1"/>
  <c r="D9" i="37"/>
  <c r="F9" i="37" s="1"/>
  <c r="D8" i="37"/>
  <c r="F8" i="37" s="1"/>
  <c r="D7" i="37"/>
  <c r="F7" i="37" s="1"/>
  <c r="L33" i="28"/>
  <c r="K33" i="28"/>
  <c r="J34" i="28"/>
  <c r="M18" i="28"/>
  <c r="D17" i="28"/>
  <c r="G7" i="28" s="1"/>
  <c r="D15" i="28"/>
  <c r="F15" i="28" s="1"/>
  <c r="D14" i="28"/>
  <c r="F14" i="28" s="1"/>
  <c r="D13" i="28"/>
  <c r="F13" i="28" s="1"/>
  <c r="D12" i="28"/>
  <c r="F12" i="28" s="1"/>
  <c r="D11" i="28"/>
  <c r="F11" i="28" s="1"/>
  <c r="D10" i="28"/>
  <c r="F10" i="28" s="1"/>
  <c r="D9" i="28"/>
  <c r="F9" i="28" s="1"/>
  <c r="D8" i="28"/>
  <c r="F8" i="28" s="1"/>
  <c r="D7" i="28"/>
  <c r="F7" i="28" s="1"/>
  <c r="L36" i="42"/>
  <c r="K36" i="42"/>
  <c r="J36" i="42"/>
  <c r="I26" i="42"/>
  <c r="M19" i="42"/>
  <c r="D17" i="42"/>
  <c r="F17" i="42" s="1"/>
  <c r="W16" i="42"/>
  <c r="D15" i="42"/>
  <c r="F15" i="42" s="1"/>
  <c r="D14" i="42"/>
  <c r="F14" i="42" s="1"/>
  <c r="D13" i="42"/>
  <c r="F13" i="42" s="1"/>
  <c r="D12" i="42"/>
  <c r="F12" i="42" s="1"/>
  <c r="D11" i="42"/>
  <c r="F11" i="42" s="1"/>
  <c r="D10" i="42"/>
  <c r="F10" i="42" s="1"/>
  <c r="E26" i="42" s="1"/>
  <c r="D9" i="42"/>
  <c r="F9" i="42" s="1"/>
  <c r="D8" i="42"/>
  <c r="F8" i="42" s="1"/>
  <c r="E24" i="42" s="1"/>
  <c r="F24" i="42" s="1"/>
  <c r="C18" i="43"/>
  <c r="C16" i="43"/>
  <c r="E16" i="43" s="1"/>
  <c r="F16" i="43" s="1"/>
  <c r="C15" i="43"/>
  <c r="E15" i="43" s="1"/>
  <c r="F15" i="43" s="1"/>
  <c r="C14" i="43"/>
  <c r="E14" i="43" s="1"/>
  <c r="F14" i="43" s="1"/>
  <c r="C13" i="43"/>
  <c r="E13" i="43" s="1"/>
  <c r="F13" i="43" s="1"/>
  <c r="C12" i="43"/>
  <c r="E12" i="43" s="1"/>
  <c r="F12" i="43" s="1"/>
  <c r="C11" i="43"/>
  <c r="E11" i="43" s="1"/>
  <c r="F11" i="43" s="1"/>
  <c r="C10" i="43"/>
  <c r="E10" i="43" s="1"/>
  <c r="F10" i="43" s="1"/>
  <c r="C9" i="43"/>
  <c r="E9" i="43" s="1"/>
  <c r="F9" i="43" s="1"/>
  <c r="C8" i="43"/>
  <c r="C7" i="43"/>
  <c r="E7" i="43" s="1"/>
  <c r="L37" i="49"/>
  <c r="K37" i="49"/>
  <c r="J26" i="49"/>
  <c r="I26" i="49"/>
  <c r="H26" i="49"/>
  <c r="E26" i="49"/>
  <c r="E27" i="49" s="1"/>
  <c r="D27" i="49"/>
  <c r="C26" i="49"/>
  <c r="C27" i="49" s="1"/>
  <c r="L18" i="49"/>
  <c r="F11" i="49"/>
  <c r="G11" i="49" s="1"/>
  <c r="F10" i="49"/>
  <c r="F9" i="49"/>
  <c r="L29" i="13"/>
  <c r="F29" i="13"/>
  <c r="F28" i="13"/>
  <c r="S20" i="13"/>
  <c r="S21" i="13" s="1"/>
  <c r="L20" i="13"/>
  <c r="I20" i="13"/>
  <c r="O18" i="13"/>
  <c r="O19" i="13" s="1"/>
  <c r="W9" i="13"/>
  <c r="W10" i="13" s="1"/>
  <c r="S9" i="13"/>
  <c r="S10" i="13" s="1"/>
  <c r="O9" i="13"/>
  <c r="L9" i="13"/>
  <c r="M33" i="17"/>
  <c r="M32" i="17"/>
  <c r="M31" i="17"/>
  <c r="K31" i="17"/>
  <c r="J31" i="17"/>
  <c r="L31" i="17" s="1"/>
  <c r="M29" i="17"/>
  <c r="M28" i="17"/>
  <c r="M27" i="17"/>
  <c r="K27" i="17"/>
  <c r="J27" i="17"/>
  <c r="M25" i="17"/>
  <c r="L25" i="17"/>
  <c r="M24" i="17"/>
  <c r="M23" i="17"/>
  <c r="K23" i="17"/>
  <c r="J23" i="17"/>
  <c r="D21" i="17"/>
  <c r="M19" i="17" s="1"/>
  <c r="M20" i="17"/>
  <c r="M16" i="17"/>
  <c r="M15" i="17"/>
  <c r="M14" i="17"/>
  <c r="M13" i="17"/>
  <c r="M12" i="17"/>
  <c r="M11" i="17"/>
  <c r="K11" i="17"/>
  <c r="J11" i="17"/>
  <c r="M9" i="17"/>
  <c r="D9" i="17"/>
  <c r="M8" i="17"/>
  <c r="D8" i="17"/>
  <c r="M7" i="17"/>
  <c r="M6" i="17"/>
  <c r="M5" i="17"/>
  <c r="M4" i="17"/>
  <c r="W3" i="17"/>
  <c r="M3" i="17"/>
  <c r="K3" i="17"/>
  <c r="J3" i="17"/>
  <c r="AO2" i="17"/>
  <c r="AM2" i="17"/>
  <c r="HI110" i="6"/>
  <c r="HK110" i="6" s="1"/>
  <c r="HF110" i="6"/>
  <c r="GC110" i="6"/>
  <c r="GS110" i="6" s="1"/>
  <c r="FM110" i="6"/>
  <c r="DP110" i="6"/>
  <c r="CQ110" i="6"/>
  <c r="BQ110" i="6"/>
  <c r="HK109" i="6"/>
  <c r="HF109" i="6"/>
  <c r="GC109" i="6"/>
  <c r="FM109" i="6"/>
  <c r="DP109" i="6"/>
  <c r="CQ109" i="6"/>
  <c r="BQ109" i="6"/>
  <c r="HI108" i="6"/>
  <c r="HF108" i="6"/>
  <c r="GC108" i="6"/>
  <c r="FM108" i="6"/>
  <c r="DP108" i="6"/>
  <c r="CQ108" i="6"/>
  <c r="BQ108" i="6"/>
  <c r="HI107" i="6"/>
  <c r="HF107" i="6"/>
  <c r="GC107" i="6"/>
  <c r="FM107" i="6"/>
  <c r="DP107" i="6"/>
  <c r="CQ107" i="6"/>
  <c r="BQ107" i="6"/>
  <c r="HI106" i="6"/>
  <c r="HF106" i="6"/>
  <c r="GC106" i="6"/>
  <c r="FM106" i="6"/>
  <c r="DP106" i="6"/>
  <c r="CQ106" i="6"/>
  <c r="BQ106" i="6"/>
  <c r="HI105" i="6"/>
  <c r="HF105" i="6"/>
  <c r="GC105" i="6"/>
  <c r="FM105" i="6"/>
  <c r="DP105" i="6"/>
  <c r="CQ105" i="6"/>
  <c r="BQ105" i="6"/>
  <c r="HI104" i="6"/>
  <c r="HF104" i="6"/>
  <c r="GC104" i="6"/>
  <c r="FM104" i="6"/>
  <c r="DP104" i="6"/>
  <c r="CQ104" i="6"/>
  <c r="BQ104" i="6"/>
  <c r="HI103" i="6"/>
  <c r="HF103" i="6"/>
  <c r="GC103" i="6"/>
  <c r="FM103" i="6"/>
  <c r="DP103" i="6"/>
  <c r="CQ103" i="6"/>
  <c r="BQ103" i="6"/>
  <c r="HI102" i="6"/>
  <c r="HK102" i="6" s="1"/>
  <c r="HF102" i="6"/>
  <c r="GC102" i="6"/>
  <c r="FM102" i="6"/>
  <c r="DP102" i="6"/>
  <c r="CQ102" i="6"/>
  <c r="BQ102" i="6"/>
  <c r="HI101" i="6"/>
  <c r="HK101" i="6" s="1"/>
  <c r="HF101" i="6"/>
  <c r="GC101" i="6"/>
  <c r="FM101" i="6"/>
  <c r="DP101" i="6"/>
  <c r="CQ101" i="6"/>
  <c r="BQ101" i="6"/>
  <c r="HI100" i="6"/>
  <c r="HK100" i="6" s="1"/>
  <c r="HF100" i="6"/>
  <c r="GC100" i="6"/>
  <c r="FM100" i="6"/>
  <c r="DP100" i="6"/>
  <c r="CQ100" i="6"/>
  <c r="BQ100" i="6"/>
  <c r="HI99" i="6"/>
  <c r="HK99" i="6" s="1"/>
  <c r="HF99" i="6"/>
  <c r="GS99" i="6"/>
  <c r="GC99" i="6"/>
  <c r="FM99" i="6"/>
  <c r="DP99" i="6"/>
  <c r="CQ99" i="6"/>
  <c r="BQ99" i="6"/>
  <c r="HI98" i="6"/>
  <c r="HK98" i="6" s="1"/>
  <c r="HF98" i="6"/>
  <c r="HD98" i="6"/>
  <c r="GS98" i="6"/>
  <c r="GC98" i="6"/>
  <c r="FM98" i="6"/>
  <c r="DP98" i="6"/>
  <c r="CQ98" i="6"/>
  <c r="BQ98" i="6"/>
  <c r="HI97" i="6"/>
  <c r="HK97" i="6" s="1"/>
  <c r="HF97" i="6"/>
  <c r="HD97" i="6"/>
  <c r="GS97" i="6"/>
  <c r="GC97" i="6"/>
  <c r="FM97" i="6"/>
  <c r="DP97" i="6"/>
  <c r="CQ97" i="6"/>
  <c r="BQ97" i="6"/>
  <c r="HI96" i="6"/>
  <c r="HF96" i="6"/>
  <c r="HD96" i="6"/>
  <c r="GS96" i="6"/>
  <c r="GC96" i="6"/>
  <c r="FM96" i="6"/>
  <c r="DP96" i="6"/>
  <c r="CQ96" i="6"/>
  <c r="BQ96" i="6"/>
  <c r="HI95" i="6"/>
  <c r="HK95" i="6" s="1"/>
  <c r="HF95" i="6"/>
  <c r="HD95" i="6"/>
  <c r="GS95" i="6"/>
  <c r="GC95" i="6"/>
  <c r="FM95" i="6"/>
  <c r="DP95" i="6"/>
  <c r="CQ95" i="6"/>
  <c r="BQ95" i="6"/>
  <c r="HH94" i="6"/>
  <c r="HI94" i="6" s="1"/>
  <c r="HF94" i="6"/>
  <c r="HD94" i="6"/>
  <c r="GS94" i="6"/>
  <c r="GC94" i="6"/>
  <c r="FM94" i="6"/>
  <c r="DP94" i="6"/>
  <c r="CQ94" i="6"/>
  <c r="BQ94" i="6"/>
  <c r="HI93" i="6"/>
  <c r="FM93" i="6"/>
  <c r="DP93" i="6"/>
  <c r="CQ93" i="6"/>
  <c r="BQ93" i="6"/>
  <c r="HH92" i="6"/>
  <c r="HI92" i="6" s="1"/>
  <c r="HK92" i="6" s="1"/>
  <c r="HF92" i="6"/>
  <c r="HD92" i="6"/>
  <c r="GS92" i="6"/>
  <c r="GC92" i="6"/>
  <c r="FM92" i="6"/>
  <c r="DP92" i="6"/>
  <c r="CQ92" i="6"/>
  <c r="BQ92" i="6"/>
  <c r="HH91" i="6"/>
  <c r="HI91" i="6" s="1"/>
  <c r="HK91" i="6" s="1"/>
  <c r="HF91" i="6"/>
  <c r="HD91" i="6"/>
  <c r="GS91" i="6"/>
  <c r="GC91" i="6"/>
  <c r="FM91" i="6"/>
  <c r="DP91" i="6"/>
  <c r="CQ91" i="6"/>
  <c r="BQ91" i="6"/>
  <c r="HI90" i="6"/>
  <c r="HK90" i="6" s="1"/>
  <c r="HF90" i="6"/>
  <c r="HD90" i="6"/>
  <c r="GS90" i="6"/>
  <c r="GC90" i="6"/>
  <c r="FM90" i="6"/>
  <c r="DP90" i="6"/>
  <c r="CQ90" i="6"/>
  <c r="BQ90" i="6"/>
  <c r="HI89" i="6"/>
  <c r="HK89" i="6" s="1"/>
  <c r="HF89" i="6"/>
  <c r="HD89" i="6"/>
  <c r="GS89" i="6"/>
  <c r="GC89" i="6"/>
  <c r="FM89" i="6"/>
  <c r="DP89" i="6"/>
  <c r="CQ89" i="6"/>
  <c r="BQ89" i="6"/>
  <c r="HH88" i="6"/>
  <c r="HI88" i="6" s="1"/>
  <c r="HF88" i="6"/>
  <c r="HD88" i="6"/>
  <c r="GS88" i="6"/>
  <c r="GC88" i="6"/>
  <c r="FM88" i="6"/>
  <c r="DP88" i="6"/>
  <c r="CQ88" i="6"/>
  <c r="BQ88" i="6"/>
  <c r="HI87" i="6"/>
  <c r="HF87" i="6"/>
  <c r="HD87" i="6"/>
  <c r="GS87" i="6"/>
  <c r="GC87" i="6"/>
  <c r="FM87" i="6"/>
  <c r="DP87" i="6"/>
  <c r="CQ87" i="6"/>
  <c r="BQ87" i="6"/>
  <c r="HI86" i="6"/>
  <c r="HK86" i="6" s="1"/>
  <c r="HF86" i="6"/>
  <c r="HD86" i="6"/>
  <c r="GS86" i="6"/>
  <c r="GC86" i="6"/>
  <c r="FM86" i="6"/>
  <c r="DP86" i="6"/>
  <c r="CQ86" i="6"/>
  <c r="BQ86" i="6"/>
  <c r="HI85" i="6"/>
  <c r="HK85" i="6" s="1"/>
  <c r="HF85" i="6"/>
  <c r="HD85" i="6"/>
  <c r="GS85" i="6"/>
  <c r="GC85" i="6"/>
  <c r="FM85" i="6"/>
  <c r="DP85" i="6"/>
  <c r="CQ85" i="6"/>
  <c r="BQ85" i="6"/>
  <c r="HI84" i="6"/>
  <c r="HK84" i="6" s="1"/>
  <c r="HF84" i="6"/>
  <c r="HD84" i="6"/>
  <c r="GS84" i="6"/>
  <c r="GC84" i="6"/>
  <c r="FM84" i="6"/>
  <c r="DP84" i="6"/>
  <c r="CQ84" i="6"/>
  <c r="BQ84" i="6"/>
  <c r="HI83" i="6"/>
  <c r="HF83" i="6"/>
  <c r="HD83" i="6"/>
  <c r="GS83" i="6"/>
  <c r="GC83" i="6"/>
  <c r="FM83" i="6"/>
  <c r="DP83" i="6"/>
  <c r="CQ83" i="6"/>
  <c r="BQ83" i="6"/>
  <c r="HI82" i="6"/>
  <c r="HK82" i="6" s="1"/>
  <c r="HF82" i="6"/>
  <c r="HD82" i="6"/>
  <c r="GS82" i="6"/>
  <c r="GC82" i="6"/>
  <c r="FM82" i="6"/>
  <c r="DP82" i="6"/>
  <c r="CQ82" i="6"/>
  <c r="BQ82" i="6"/>
  <c r="HI81" i="6"/>
  <c r="HF81" i="6"/>
  <c r="HD81" i="6"/>
  <c r="GS81" i="6"/>
  <c r="GC81" i="6"/>
  <c r="FM81" i="6"/>
  <c r="DP81" i="6"/>
  <c r="CQ81" i="6"/>
  <c r="BQ81" i="6"/>
  <c r="HI80" i="6"/>
  <c r="HK80" i="6" s="1"/>
  <c r="HF80" i="6"/>
  <c r="HD80" i="6"/>
  <c r="GS80" i="6"/>
  <c r="GC80" i="6"/>
  <c r="FM80" i="6"/>
  <c r="DP80" i="6"/>
  <c r="CQ80" i="6"/>
  <c r="BQ80" i="6"/>
  <c r="HI79" i="6"/>
  <c r="HK79" i="6" s="1"/>
  <c r="HF79" i="6"/>
  <c r="HD79" i="6"/>
  <c r="FM79" i="6"/>
  <c r="DP79" i="6"/>
  <c r="CQ79" i="6"/>
  <c r="BQ79" i="6"/>
  <c r="HI78" i="6"/>
  <c r="HK78" i="6" s="1"/>
  <c r="HF78" i="6"/>
  <c r="HD78" i="6"/>
  <c r="FM78" i="6"/>
  <c r="DP78" i="6"/>
  <c r="CQ78" i="6"/>
  <c r="BQ78" i="6"/>
  <c r="HI77" i="6"/>
  <c r="HK77" i="6" s="1"/>
  <c r="HF77" i="6"/>
  <c r="HD77" i="6"/>
  <c r="FM77" i="6"/>
  <c r="DP77" i="6"/>
  <c r="CQ77" i="6"/>
  <c r="BQ77" i="6"/>
  <c r="HI76" i="6"/>
  <c r="HK76" i="6" s="1"/>
  <c r="HF76" i="6"/>
  <c r="HD76" i="6"/>
  <c r="FM76" i="6"/>
  <c r="DP76" i="6"/>
  <c r="CQ76" i="6"/>
  <c r="BQ76" i="6"/>
  <c r="HH75" i="6"/>
  <c r="HI75" i="6" s="1"/>
  <c r="HF75" i="6"/>
  <c r="HD75" i="6"/>
  <c r="GS75" i="6"/>
  <c r="GC75" i="6"/>
  <c r="FM75" i="6"/>
  <c r="DP75" i="6"/>
  <c r="CQ75" i="6"/>
  <c r="BQ75" i="6"/>
  <c r="HI74" i="6"/>
  <c r="HK74" i="6" s="1"/>
  <c r="HF74" i="6"/>
  <c r="HD74" i="6"/>
  <c r="GS74" i="6"/>
  <c r="GC74" i="6"/>
  <c r="FM74" i="6"/>
  <c r="DP74" i="6"/>
  <c r="CQ74" i="6"/>
  <c r="BQ74" i="6"/>
  <c r="HH73" i="6"/>
  <c r="HI73" i="6" s="1"/>
  <c r="HK73" i="6" s="1"/>
  <c r="HF73" i="6"/>
  <c r="HD73" i="6"/>
  <c r="GS73" i="6"/>
  <c r="GC73" i="6"/>
  <c r="FM73" i="6"/>
  <c r="DP73" i="6"/>
  <c r="CQ73" i="6"/>
  <c r="BQ73" i="6"/>
  <c r="HI72" i="6"/>
  <c r="HF72" i="6"/>
  <c r="HD72" i="6"/>
  <c r="GS72" i="6"/>
  <c r="GC72" i="6"/>
  <c r="FM72" i="6"/>
  <c r="DP72" i="6"/>
  <c r="CQ72" i="6"/>
  <c r="BQ72" i="6"/>
  <c r="HI71" i="6"/>
  <c r="HK71" i="6" s="1"/>
  <c r="HF71" i="6"/>
  <c r="HD71" i="6"/>
  <c r="GS71" i="6"/>
  <c r="GC71" i="6"/>
  <c r="FM71" i="6"/>
  <c r="DP71" i="6"/>
  <c r="CQ71" i="6"/>
  <c r="BQ71" i="6"/>
  <c r="HI70" i="6"/>
  <c r="HK70" i="6" s="1"/>
  <c r="HF70" i="6"/>
  <c r="HD70" i="6"/>
  <c r="GS70" i="6"/>
  <c r="GC70" i="6"/>
  <c r="FM70" i="6"/>
  <c r="DP70" i="6"/>
  <c r="CQ70" i="6"/>
  <c r="BQ70" i="6"/>
  <c r="HI69" i="6"/>
  <c r="HK69" i="6" s="1"/>
  <c r="HF69" i="6"/>
  <c r="HD69" i="6"/>
  <c r="GS69" i="6"/>
  <c r="GC69" i="6"/>
  <c r="FM69" i="6"/>
  <c r="DP69" i="6"/>
  <c r="CQ69" i="6"/>
  <c r="BQ69" i="6"/>
  <c r="HI68" i="6"/>
  <c r="HK68" i="6" s="1"/>
  <c r="HF68" i="6"/>
  <c r="HD68" i="6"/>
  <c r="GS68" i="6"/>
  <c r="GC68" i="6"/>
  <c r="FM68" i="6"/>
  <c r="DP68" i="6"/>
  <c r="CQ68" i="6"/>
  <c r="BQ68" i="6"/>
  <c r="HI67" i="6"/>
  <c r="HK67" i="6" s="1"/>
  <c r="HF67" i="6"/>
  <c r="HD67" i="6"/>
  <c r="GS67" i="6"/>
  <c r="GC67" i="6"/>
  <c r="FM67" i="6"/>
  <c r="DP67" i="6"/>
  <c r="CQ67" i="6"/>
  <c r="BQ67" i="6"/>
  <c r="HI66" i="6"/>
  <c r="HF66" i="6"/>
  <c r="HD66" i="6"/>
  <c r="GS66" i="6"/>
  <c r="GC66" i="6"/>
  <c r="FM66" i="6"/>
  <c r="DP66" i="6"/>
  <c r="CQ66" i="6"/>
  <c r="BQ66" i="6"/>
  <c r="HI65" i="6"/>
  <c r="HK65" i="6" s="1"/>
  <c r="HF65" i="6"/>
  <c r="HD65" i="6"/>
  <c r="GS65" i="6"/>
  <c r="GC65" i="6"/>
  <c r="FM65" i="6"/>
  <c r="DP65" i="6"/>
  <c r="CQ65" i="6"/>
  <c r="BQ65" i="6"/>
  <c r="HI64" i="6"/>
  <c r="HK64" i="6" s="1"/>
  <c r="HF64" i="6"/>
  <c r="HD64" i="6"/>
  <c r="GS64" i="6"/>
  <c r="GC64" i="6"/>
  <c r="FM64" i="6"/>
  <c r="DP64" i="6"/>
  <c r="CQ64" i="6"/>
  <c r="BQ64" i="6"/>
  <c r="HI63" i="6"/>
  <c r="HK63" i="6" s="1"/>
  <c r="HF63" i="6"/>
  <c r="HD63" i="6"/>
  <c r="GS63" i="6"/>
  <c r="GC63" i="6"/>
  <c r="FM63" i="6"/>
  <c r="DP63" i="6"/>
  <c r="CQ63" i="6"/>
  <c r="BQ63" i="6"/>
  <c r="HI62" i="6"/>
  <c r="HK62" i="6" s="1"/>
  <c r="HF62" i="6"/>
  <c r="HD62" i="6"/>
  <c r="GS62" i="6"/>
  <c r="GC62" i="6"/>
  <c r="FM62" i="6"/>
  <c r="DP62" i="6"/>
  <c r="CQ62" i="6"/>
  <c r="BQ62" i="6"/>
  <c r="HI61" i="6"/>
  <c r="HK61" i="6" s="1"/>
  <c r="HF61" i="6"/>
  <c r="HD61" i="6"/>
  <c r="GS61" i="6"/>
  <c r="GC61" i="6"/>
  <c r="FM61" i="6"/>
  <c r="DP61" i="6"/>
  <c r="CQ61" i="6"/>
  <c r="BQ61" i="6"/>
  <c r="HI60" i="6"/>
  <c r="HF60" i="6"/>
  <c r="HD60" i="6"/>
  <c r="GS60" i="6"/>
  <c r="GC60" i="6"/>
  <c r="FM60" i="6"/>
  <c r="DP60" i="6"/>
  <c r="CQ60" i="6"/>
  <c r="BQ60" i="6"/>
  <c r="HI59" i="6"/>
  <c r="HK59" i="6" s="1"/>
  <c r="HF59" i="6"/>
  <c r="HD59" i="6"/>
  <c r="GS59" i="6"/>
  <c r="GC59" i="6"/>
  <c r="FM59" i="6"/>
  <c r="DP59" i="6"/>
  <c r="CQ59" i="6"/>
  <c r="BQ59" i="6"/>
  <c r="HI58" i="6"/>
  <c r="HK58" i="6" s="1"/>
  <c r="HF58" i="6"/>
  <c r="HD58" i="6"/>
  <c r="GS58" i="6"/>
  <c r="GC58" i="6"/>
  <c r="FM58" i="6"/>
  <c r="DP58" i="6"/>
  <c r="CQ58" i="6"/>
  <c r="BQ58" i="6"/>
  <c r="HI57" i="6"/>
  <c r="HK57" i="6" s="1"/>
  <c r="HF57" i="6"/>
  <c r="HD57" i="6"/>
  <c r="GS57" i="6"/>
  <c r="GC57" i="6"/>
  <c r="FM57" i="6"/>
  <c r="DP57" i="6"/>
  <c r="CQ57" i="6"/>
  <c r="BQ57" i="6"/>
  <c r="HI56" i="6"/>
  <c r="HK56" i="6" s="1"/>
  <c r="HF56" i="6"/>
  <c r="HD56" i="6"/>
  <c r="GS56" i="6"/>
  <c r="GC56" i="6"/>
  <c r="FM56" i="6"/>
  <c r="DP56" i="6"/>
  <c r="CQ56" i="6"/>
  <c r="BQ56" i="6"/>
  <c r="HI55" i="6"/>
  <c r="HK55" i="6" s="1"/>
  <c r="HF55" i="6"/>
  <c r="HD55" i="6"/>
  <c r="GS55" i="6"/>
  <c r="GC55" i="6"/>
  <c r="FM55" i="6"/>
  <c r="DP55" i="6"/>
  <c r="CQ55" i="6"/>
  <c r="BQ55" i="6"/>
  <c r="HI54" i="6"/>
  <c r="HF54" i="6"/>
  <c r="HD54" i="6"/>
  <c r="GS54" i="6"/>
  <c r="GC54" i="6"/>
  <c r="FM54" i="6"/>
  <c r="DP54" i="6"/>
  <c r="CQ54" i="6"/>
  <c r="BQ54" i="6"/>
  <c r="HI53" i="6"/>
  <c r="HK53" i="6" s="1"/>
  <c r="HF53" i="6"/>
  <c r="HD53" i="6"/>
  <c r="GS53" i="6"/>
  <c r="GC53" i="6"/>
  <c r="FM53" i="6"/>
  <c r="DP53" i="6"/>
  <c r="CQ53" i="6"/>
  <c r="BQ53" i="6"/>
  <c r="HI52" i="6"/>
  <c r="HK52" i="6" s="1"/>
  <c r="HF52" i="6"/>
  <c r="HD52" i="6"/>
  <c r="GS52" i="6"/>
  <c r="GC52" i="6"/>
  <c r="FM52" i="6"/>
  <c r="DP52" i="6"/>
  <c r="CQ52" i="6"/>
  <c r="BQ52" i="6"/>
  <c r="HI51" i="6"/>
  <c r="HK51" i="6" s="1"/>
  <c r="HF51" i="6"/>
  <c r="HD51" i="6"/>
  <c r="GS51" i="6"/>
  <c r="GC51" i="6"/>
  <c r="FM51" i="6"/>
  <c r="DP51" i="6"/>
  <c r="CQ51" i="6"/>
  <c r="BQ51" i="6"/>
  <c r="HH50" i="6"/>
  <c r="HI50" i="6" s="1"/>
  <c r="HK50" i="6" s="1"/>
  <c r="HF50" i="6"/>
  <c r="HD50" i="6"/>
  <c r="GS50" i="6"/>
  <c r="GC50" i="6"/>
  <c r="FM50" i="6"/>
  <c r="DP50" i="6"/>
  <c r="CQ50" i="6"/>
  <c r="BQ50" i="6"/>
  <c r="HI49" i="6"/>
  <c r="HK49" i="6" s="1"/>
  <c r="HD49" i="6"/>
  <c r="GS49" i="6"/>
  <c r="GC49" i="6"/>
  <c r="FM49" i="6"/>
  <c r="DP49" i="6"/>
  <c r="CQ49" i="6"/>
  <c r="BQ49" i="6"/>
  <c r="HI48" i="6"/>
  <c r="HF48" i="6"/>
  <c r="HD48" i="6"/>
  <c r="GS48" i="6"/>
  <c r="GC48" i="6"/>
  <c r="FM48" i="6"/>
  <c r="DP48" i="6"/>
  <c r="CQ48" i="6"/>
  <c r="BQ48" i="6"/>
  <c r="HI47" i="6"/>
  <c r="HK47" i="6" s="1"/>
  <c r="HF47" i="6"/>
  <c r="HD47" i="6"/>
  <c r="GS47" i="6"/>
  <c r="GC47" i="6"/>
  <c r="FM47" i="6"/>
  <c r="DP47" i="6"/>
  <c r="CQ47" i="6"/>
  <c r="BQ47" i="6"/>
  <c r="HI46" i="6"/>
  <c r="HK46" i="6" s="1"/>
  <c r="HF46" i="6"/>
  <c r="HD46" i="6"/>
  <c r="GS46" i="6"/>
  <c r="GC46" i="6"/>
  <c r="FM46" i="6"/>
  <c r="DP46" i="6"/>
  <c r="CQ46" i="6"/>
  <c r="BQ46" i="6"/>
  <c r="HI45" i="6"/>
  <c r="HK45" i="6" s="1"/>
  <c r="HF45" i="6"/>
  <c r="HD45" i="6"/>
  <c r="GS45" i="6"/>
  <c r="GC45" i="6"/>
  <c r="FM45" i="6"/>
  <c r="DP45" i="6"/>
  <c r="CQ45" i="6"/>
  <c r="BQ45" i="6"/>
  <c r="HI44" i="6"/>
  <c r="HK44" i="6" s="1"/>
  <c r="HF44" i="6"/>
  <c r="HD44" i="6"/>
  <c r="GS44" i="6"/>
  <c r="GC44" i="6"/>
  <c r="FM44" i="6"/>
  <c r="DP44" i="6"/>
  <c r="CQ44" i="6"/>
  <c r="BQ44" i="6"/>
  <c r="HI43" i="6"/>
  <c r="HK43" i="6" s="1"/>
  <c r="HF43" i="6"/>
  <c r="HD43" i="6"/>
  <c r="GS43" i="6"/>
  <c r="GC43" i="6"/>
  <c r="FM43" i="6"/>
  <c r="DP43" i="6"/>
  <c r="CQ43" i="6"/>
  <c r="BQ43" i="6"/>
  <c r="HI42" i="6"/>
  <c r="HF42" i="6"/>
  <c r="HD42" i="6"/>
  <c r="GS42" i="6"/>
  <c r="GC42" i="6"/>
  <c r="FM42" i="6"/>
  <c r="DP42" i="6"/>
  <c r="CQ42" i="6"/>
  <c r="BQ42" i="6"/>
  <c r="HI41" i="6"/>
  <c r="HK41" i="6" s="1"/>
  <c r="HF41" i="6"/>
  <c r="HD41" i="6"/>
  <c r="GS41" i="6"/>
  <c r="GC41" i="6"/>
  <c r="FM41" i="6"/>
  <c r="DP41" i="6"/>
  <c r="CQ41" i="6"/>
  <c r="BQ41" i="6"/>
  <c r="HI40" i="6"/>
  <c r="HK40" i="6" s="1"/>
  <c r="HF40" i="6"/>
  <c r="HD40" i="6"/>
  <c r="GS40" i="6"/>
  <c r="GC40" i="6"/>
  <c r="FM40" i="6"/>
  <c r="DP40" i="6"/>
  <c r="CQ40" i="6"/>
  <c r="BQ40" i="6"/>
  <c r="HH39" i="6"/>
  <c r="HI39" i="6" s="1"/>
  <c r="HK39" i="6" s="1"/>
  <c r="HF39" i="6"/>
  <c r="HD39" i="6"/>
  <c r="GS39" i="6"/>
  <c r="GC39" i="6"/>
  <c r="FM39" i="6"/>
  <c r="DP39" i="6"/>
  <c r="CQ39" i="6"/>
  <c r="BQ39" i="6"/>
  <c r="HI38" i="6"/>
  <c r="HK38" i="6" s="1"/>
  <c r="HF38" i="6"/>
  <c r="HD38" i="6"/>
  <c r="GS38" i="6"/>
  <c r="GC38" i="6"/>
  <c r="FM38" i="6"/>
  <c r="DP38" i="6"/>
  <c r="CQ38" i="6"/>
  <c r="BQ38" i="6"/>
  <c r="HI37" i="6"/>
  <c r="HK37" i="6" s="1"/>
  <c r="HF37" i="6"/>
  <c r="HD37" i="6"/>
  <c r="GS37" i="6"/>
  <c r="GC37" i="6"/>
  <c r="FM37" i="6"/>
  <c r="DP37" i="6"/>
  <c r="CQ37" i="6"/>
  <c r="BQ37" i="6"/>
  <c r="HI36" i="6"/>
  <c r="HD36" i="6"/>
  <c r="GS36" i="6"/>
  <c r="GC36" i="6"/>
  <c r="FM36" i="6"/>
  <c r="DP36" i="6"/>
  <c r="CQ36" i="6"/>
  <c r="BQ36" i="6"/>
  <c r="HI35" i="6"/>
  <c r="HD35" i="6"/>
  <c r="GS35" i="6"/>
  <c r="GC35" i="6"/>
  <c r="FM35" i="6"/>
  <c r="DP35" i="6"/>
  <c r="CQ35" i="6"/>
  <c r="BQ35" i="6"/>
  <c r="HI34" i="6"/>
  <c r="HD34" i="6"/>
  <c r="GS34" i="6"/>
  <c r="GC34" i="6"/>
  <c r="FM34" i="6"/>
  <c r="DP34" i="6"/>
  <c r="CQ34" i="6"/>
  <c r="BQ34" i="6"/>
  <c r="HI33" i="6"/>
  <c r="HD33" i="6"/>
  <c r="GS33" i="6"/>
  <c r="GC33" i="6"/>
  <c r="FM33" i="6"/>
  <c r="DP33" i="6"/>
  <c r="CQ33" i="6"/>
  <c r="BQ33" i="6"/>
  <c r="HI32" i="6"/>
  <c r="HD32" i="6"/>
  <c r="GS32" i="6"/>
  <c r="GC32" i="6"/>
  <c r="FM32" i="6"/>
  <c r="DP32" i="6"/>
  <c r="CQ32" i="6"/>
  <c r="BQ32" i="6"/>
  <c r="HI31" i="6"/>
  <c r="HD31" i="6"/>
  <c r="GS31" i="6"/>
  <c r="GC31" i="6"/>
  <c r="FM31" i="6"/>
  <c r="DP31" i="6"/>
  <c r="CQ31" i="6"/>
  <c r="BQ31" i="6"/>
  <c r="HI30" i="6"/>
  <c r="HD30" i="6"/>
  <c r="GS30" i="6"/>
  <c r="GC30" i="6"/>
  <c r="FM30" i="6"/>
  <c r="DP30" i="6"/>
  <c r="CQ30" i="6"/>
  <c r="BQ30" i="6"/>
  <c r="HI29" i="6"/>
  <c r="HD29" i="6"/>
  <c r="GS29" i="6"/>
  <c r="GC29" i="6"/>
  <c r="FM29" i="6"/>
  <c r="DP29" i="6"/>
  <c r="CQ29" i="6"/>
  <c r="BQ29" i="6"/>
  <c r="HI28" i="6"/>
  <c r="HD28" i="6"/>
  <c r="GS28" i="6"/>
  <c r="GC28" i="6"/>
  <c r="FM28" i="6"/>
  <c r="DP28" i="6"/>
  <c r="CQ28" i="6"/>
  <c r="BQ28" i="6"/>
  <c r="HI27" i="6"/>
  <c r="HD27" i="6"/>
  <c r="GS27" i="6"/>
  <c r="GC27" i="6"/>
  <c r="FM27" i="6"/>
  <c r="DP27" i="6"/>
  <c r="CQ27" i="6"/>
  <c r="BQ27" i="6"/>
  <c r="HD26" i="6"/>
  <c r="GS26" i="6"/>
  <c r="GC26" i="6"/>
  <c r="FM26" i="6"/>
  <c r="DP26" i="6"/>
  <c r="CQ26" i="6"/>
  <c r="BQ26" i="6"/>
  <c r="HD25" i="6"/>
  <c r="GS25" i="6"/>
  <c r="GC25" i="6"/>
  <c r="FM25" i="6"/>
  <c r="DP25" i="6"/>
  <c r="CQ25" i="6"/>
  <c r="BQ25" i="6"/>
  <c r="HI24" i="6"/>
  <c r="HD24" i="6"/>
  <c r="GS24" i="6"/>
  <c r="GC24" i="6"/>
  <c r="FM24" i="6"/>
  <c r="DP24" i="6"/>
  <c r="CQ24" i="6"/>
  <c r="BQ24" i="6"/>
  <c r="HI23" i="6"/>
  <c r="HD23" i="6"/>
  <c r="GS23" i="6"/>
  <c r="GC23" i="6"/>
  <c r="FM23" i="6"/>
  <c r="DP23" i="6"/>
  <c r="CQ23" i="6"/>
  <c r="BQ23" i="6"/>
  <c r="HI22" i="6"/>
  <c r="HD22" i="6"/>
  <c r="GS22" i="6"/>
  <c r="GC22" i="6"/>
  <c r="FM22" i="6"/>
  <c r="DP22" i="6"/>
  <c r="CQ22" i="6"/>
  <c r="BQ22" i="6"/>
  <c r="HI21" i="6"/>
  <c r="HD21" i="6"/>
  <c r="GS21" i="6"/>
  <c r="GC21" i="6"/>
  <c r="FM21" i="6"/>
  <c r="DP21" i="6"/>
  <c r="CQ21" i="6"/>
  <c r="BQ21" i="6"/>
  <c r="HI20" i="6"/>
  <c r="HD20" i="6"/>
  <c r="GS20" i="6"/>
  <c r="GC20" i="6"/>
  <c r="FM20" i="6"/>
  <c r="DP20" i="6"/>
  <c r="CQ20" i="6"/>
  <c r="BQ20" i="6"/>
  <c r="HI19" i="6"/>
  <c r="HD19" i="6"/>
  <c r="GS19" i="6"/>
  <c r="GC19" i="6"/>
  <c r="FM19" i="6"/>
  <c r="DP19" i="6"/>
  <c r="CQ19" i="6"/>
  <c r="BQ19" i="6"/>
  <c r="HI18" i="6"/>
  <c r="HD18" i="6"/>
  <c r="GS18" i="6"/>
  <c r="GC18" i="6"/>
  <c r="FM18" i="6"/>
  <c r="DP18" i="6"/>
  <c r="CQ18" i="6"/>
  <c r="BQ18" i="6"/>
  <c r="HI17" i="6"/>
  <c r="HD17" i="6"/>
  <c r="GS17" i="6"/>
  <c r="GC17" i="6"/>
  <c r="FM17" i="6"/>
  <c r="DP17" i="6"/>
  <c r="CQ17" i="6"/>
  <c r="BQ17" i="6"/>
  <c r="HI16" i="6"/>
  <c r="HD16" i="6"/>
  <c r="GS16" i="6"/>
  <c r="GC16" i="6"/>
  <c r="FM16" i="6"/>
  <c r="DP16" i="6"/>
  <c r="CQ16" i="6"/>
  <c r="I16" i="6"/>
  <c r="F16" i="6"/>
  <c r="HI15" i="6"/>
  <c r="HD15" i="6"/>
  <c r="GS15" i="6"/>
  <c r="GC15" i="6"/>
  <c r="FM15" i="6"/>
  <c r="DP15" i="6"/>
  <c r="CQ15" i="6"/>
  <c r="BQ15" i="6"/>
  <c r="HI14" i="6"/>
  <c r="HD14" i="6"/>
  <c r="GS14" i="6"/>
  <c r="GC14" i="6"/>
  <c r="FM14" i="6"/>
  <c r="DP14" i="6"/>
  <c r="CQ14" i="6"/>
  <c r="BQ14" i="6"/>
  <c r="HI13" i="6"/>
  <c r="HD13" i="6"/>
  <c r="GS13" i="6"/>
  <c r="GC13" i="6"/>
  <c r="FM13" i="6"/>
  <c r="DP13" i="6"/>
  <c r="CQ13" i="6"/>
  <c r="BQ13" i="6"/>
  <c r="HI12" i="6"/>
  <c r="HD12" i="6"/>
  <c r="FM12" i="6"/>
  <c r="DP12" i="6"/>
  <c r="CQ12" i="6"/>
  <c r="BQ12" i="6"/>
  <c r="HI11" i="6"/>
  <c r="HD11" i="6"/>
  <c r="GS11" i="6"/>
  <c r="GC11" i="6"/>
  <c r="FM11" i="6"/>
  <c r="DP11" i="6"/>
  <c r="CQ11" i="6"/>
  <c r="BQ11" i="6"/>
  <c r="N51" i="15"/>
  <c r="P46" i="15"/>
  <c r="N46" i="15"/>
  <c r="K46" i="15"/>
  <c r="L40" i="15"/>
  <c r="M40" i="15" s="1"/>
  <c r="D40" i="15"/>
  <c r="E40" i="15" s="1"/>
  <c r="L39" i="15"/>
  <c r="M39" i="15" s="1"/>
  <c r="D39" i="15"/>
  <c r="E39" i="15" s="1"/>
  <c r="L38" i="15"/>
  <c r="M38" i="15" s="1"/>
  <c r="D38" i="15"/>
  <c r="L37" i="15"/>
  <c r="M37" i="15" s="1"/>
  <c r="D37" i="15"/>
  <c r="E37" i="15" s="1"/>
  <c r="L36" i="15"/>
  <c r="M36" i="15" s="1"/>
  <c r="D36" i="15"/>
  <c r="E36" i="15" s="1"/>
  <c r="L35" i="15"/>
  <c r="M35" i="15" s="1"/>
  <c r="D35" i="15"/>
  <c r="E35" i="15" s="1"/>
  <c r="T27" i="15"/>
  <c r="U27" i="15" s="1"/>
  <c r="L27" i="15"/>
  <c r="M27" i="15" s="1"/>
  <c r="D27" i="15"/>
  <c r="E27" i="15" s="1"/>
  <c r="T26" i="15"/>
  <c r="U26" i="15" s="1"/>
  <c r="L26" i="15"/>
  <c r="M26" i="15" s="1"/>
  <c r="D26" i="15"/>
  <c r="E26" i="15" s="1"/>
  <c r="T25" i="15"/>
  <c r="U25" i="15" s="1"/>
  <c r="L25" i="15"/>
  <c r="D25" i="15"/>
  <c r="E25" i="15" s="1"/>
  <c r="T24" i="15"/>
  <c r="U24" i="15" s="1"/>
  <c r="L24" i="15"/>
  <c r="M24" i="15" s="1"/>
  <c r="D24" i="15"/>
  <c r="E24" i="15" s="1"/>
  <c r="S23" i="15"/>
  <c r="T23" i="15" s="1"/>
  <c r="U23" i="15" s="1"/>
  <c r="L23" i="15"/>
  <c r="M23" i="15" s="1"/>
  <c r="D23" i="15"/>
  <c r="E23" i="15" s="1"/>
  <c r="S22" i="15"/>
  <c r="T22" i="15" s="1"/>
  <c r="U22" i="15" s="1"/>
  <c r="L22" i="15"/>
  <c r="M22" i="15" s="1"/>
  <c r="D22" i="15"/>
  <c r="E22" i="15" s="1"/>
  <c r="D14" i="15"/>
  <c r="E14" i="15" s="1"/>
  <c r="L13" i="15"/>
  <c r="M13" i="15" s="1"/>
  <c r="D13" i="15"/>
  <c r="E13" i="15" s="1"/>
  <c r="L12" i="15"/>
  <c r="M12" i="15" s="1"/>
  <c r="D12" i="15"/>
  <c r="E12" i="15" s="1"/>
  <c r="L11" i="15"/>
  <c r="M11" i="15" s="1"/>
  <c r="D11" i="15"/>
  <c r="L10" i="15"/>
  <c r="M10" i="15" s="1"/>
  <c r="D10" i="15"/>
  <c r="E10" i="15" s="1"/>
  <c r="L9" i="15"/>
  <c r="M9" i="15" s="1"/>
  <c r="D9" i="15"/>
  <c r="E9" i="15" s="1"/>
  <c r="L8" i="15"/>
  <c r="M8" i="15" s="1"/>
  <c r="D8" i="15"/>
  <c r="E8" i="15" s="1"/>
  <c r="J16" i="35"/>
  <c r="D16" i="35"/>
  <c r="J15" i="35"/>
  <c r="D15" i="35"/>
  <c r="J14" i="35"/>
  <c r="D14" i="35"/>
  <c r="J13" i="35"/>
  <c r="D13" i="35"/>
  <c r="J12" i="35"/>
  <c r="D12" i="35"/>
  <c r="D11" i="35"/>
  <c r="D10" i="35"/>
  <c r="D9" i="35"/>
  <c r="D8" i="35"/>
  <c r="D7" i="35"/>
  <c r="D6" i="35"/>
  <c r="C5" i="35"/>
  <c r="D5" i="35" s="1"/>
  <c r="J4" i="35"/>
  <c r="K4" i="35" s="1"/>
  <c r="L4" i="35" s="1"/>
  <c r="J3" i="35"/>
  <c r="K3" i="35" s="1"/>
  <c r="L3" i="35" s="1"/>
  <c r="F8" i="44"/>
  <c r="D8" i="44"/>
  <c r="C8" i="44"/>
  <c r="F4" i="44"/>
  <c r="D4" i="44"/>
  <c r="P24" i="36"/>
  <c r="P23" i="36"/>
  <c r="L18" i="36"/>
  <c r="D18" i="36"/>
  <c r="D16" i="36"/>
  <c r="F16" i="36" s="1"/>
  <c r="D15" i="36"/>
  <c r="F15" i="36" s="1"/>
  <c r="D14" i="36"/>
  <c r="F14" i="36" s="1"/>
  <c r="D13" i="36"/>
  <c r="F13" i="36" s="1"/>
  <c r="D12" i="36"/>
  <c r="F12" i="36" s="1"/>
  <c r="D11" i="36"/>
  <c r="F11" i="36" s="1"/>
  <c r="D10" i="36"/>
  <c r="F10" i="36" s="1"/>
  <c r="D9" i="36"/>
  <c r="F9" i="36" s="1"/>
  <c r="D8" i="36"/>
  <c r="F8" i="36" s="1"/>
  <c r="Z7" i="36"/>
  <c r="D7" i="36"/>
  <c r="F7" i="36" s="1"/>
  <c r="Z6" i="36"/>
  <c r="C22" i="43" l="1"/>
  <c r="F7" i="43"/>
  <c r="N31" i="17"/>
  <c r="O31" i="17" s="1"/>
  <c r="E8" i="43"/>
  <c r="F16" i="49"/>
  <c r="G16" i="49" s="1"/>
  <c r="F13" i="49"/>
  <c r="G13" i="49" s="1"/>
  <c r="K14" i="35"/>
  <c r="L14" i="35" s="1"/>
  <c r="DQ71" i="6"/>
  <c r="HE71" i="6" s="1"/>
  <c r="HG71" i="6" s="1"/>
  <c r="K12" i="35"/>
  <c r="L12" i="35" s="1"/>
  <c r="K15" i="35"/>
  <c r="L15" i="35" s="1"/>
  <c r="K16" i="35"/>
  <c r="L16" i="35" s="1"/>
  <c r="K13" i="35"/>
  <c r="L13" i="35" s="1"/>
  <c r="E33" i="42"/>
  <c r="F33" i="42" s="1"/>
  <c r="G17" i="42"/>
  <c r="E32" i="42"/>
  <c r="F32" i="42" s="1"/>
  <c r="G8" i="49"/>
  <c r="F12" i="49"/>
  <c r="G12" i="49" s="1"/>
  <c r="G15" i="49"/>
  <c r="G14" i="49"/>
  <c r="G9" i="49"/>
  <c r="G10" i="49"/>
  <c r="E25" i="42"/>
  <c r="F25" i="42" s="1"/>
  <c r="E27" i="42"/>
  <c r="F27" i="42" s="1"/>
  <c r="E28" i="42"/>
  <c r="F28" i="42" s="1"/>
  <c r="E29" i="42"/>
  <c r="F29" i="42" s="1"/>
  <c r="E30" i="42"/>
  <c r="F30" i="42" s="1"/>
  <c r="E31" i="42"/>
  <c r="F31" i="42" s="1"/>
  <c r="E23" i="42"/>
  <c r="F23" i="42" s="1"/>
  <c r="F26" i="42"/>
  <c r="G10" i="42"/>
  <c r="E38" i="15"/>
  <c r="L45" i="15"/>
  <c r="E11" i="15"/>
  <c r="DQ96" i="6"/>
  <c r="HE96" i="6" s="1"/>
  <c r="HG96" i="6" s="1"/>
  <c r="I27" i="42"/>
  <c r="I28" i="42" s="1"/>
  <c r="I31" i="42"/>
  <c r="J27" i="42"/>
  <c r="J28" i="42" s="1"/>
  <c r="J31" i="42"/>
  <c r="DQ79" i="6"/>
  <c r="HE79" i="6" s="1"/>
  <c r="HJ79" i="6" s="1"/>
  <c r="DQ81" i="6"/>
  <c r="HE81" i="6" s="1"/>
  <c r="HG81" i="6" s="1"/>
  <c r="DQ102" i="6"/>
  <c r="N25" i="17"/>
  <c r="O25" i="17" s="1"/>
  <c r="DQ101" i="6"/>
  <c r="BQ16" i="6"/>
  <c r="DQ26" i="6"/>
  <c r="HE26" i="6" s="1"/>
  <c r="DQ98" i="6"/>
  <c r="HE98" i="6" s="1"/>
  <c r="HG98" i="6" s="1"/>
  <c r="DQ62" i="6"/>
  <c r="HE62" i="6" s="1"/>
  <c r="HG62" i="6" s="1"/>
  <c r="DQ46" i="6"/>
  <c r="HE46" i="6" s="1"/>
  <c r="DQ57" i="6"/>
  <c r="HE57" i="6" s="1"/>
  <c r="HG57" i="6" s="1"/>
  <c r="DQ70" i="6"/>
  <c r="HE70" i="6" s="1"/>
  <c r="HG70" i="6" s="1"/>
  <c r="DQ103" i="6"/>
  <c r="DQ50" i="6"/>
  <c r="HE50" i="6" s="1"/>
  <c r="HG50" i="6" s="1"/>
  <c r="DQ54" i="6"/>
  <c r="HE54" i="6" s="1"/>
  <c r="DQ58" i="6"/>
  <c r="HE58" i="6" s="1"/>
  <c r="HJ58" i="6" s="1"/>
  <c r="DQ84" i="6"/>
  <c r="HE84" i="6" s="1"/>
  <c r="HG84" i="6" s="1"/>
  <c r="DQ95" i="6"/>
  <c r="HE95" i="6" s="1"/>
  <c r="M18" i="17"/>
  <c r="DQ40" i="6"/>
  <c r="HE40" i="6" s="1"/>
  <c r="HG40" i="6" s="1"/>
  <c r="DQ44" i="6"/>
  <c r="HE44" i="6" s="1"/>
  <c r="HG44" i="6" s="1"/>
  <c r="DQ52" i="6"/>
  <c r="HE52" i="6" s="1"/>
  <c r="HG52" i="6" s="1"/>
  <c r="DQ64" i="6"/>
  <c r="HE64" i="6" s="1"/>
  <c r="HG64" i="6" s="1"/>
  <c r="DQ68" i="6"/>
  <c r="HE68" i="6" s="1"/>
  <c r="DQ82" i="6"/>
  <c r="HE82" i="6" s="1"/>
  <c r="HG82" i="6" s="1"/>
  <c r="DQ76" i="6"/>
  <c r="HE76" i="6" s="1"/>
  <c r="HG76" i="6" s="1"/>
  <c r="DQ16" i="6"/>
  <c r="DQ22" i="6"/>
  <c r="HE22" i="6" s="1"/>
  <c r="HG22" i="6" s="1"/>
  <c r="DQ83" i="6"/>
  <c r="HE83" i="6" s="1"/>
  <c r="HG83" i="6" s="1"/>
  <c r="DQ90" i="6"/>
  <c r="HE90" i="6" s="1"/>
  <c r="DQ94" i="6"/>
  <c r="HE94" i="6" s="1"/>
  <c r="HG94" i="6" s="1"/>
  <c r="DQ29" i="6"/>
  <c r="HE29" i="6" s="1"/>
  <c r="HG29" i="6" s="1"/>
  <c r="DQ35" i="6"/>
  <c r="HE35" i="6" s="1"/>
  <c r="HG35" i="6" s="1"/>
  <c r="DQ53" i="6"/>
  <c r="HE53" i="6" s="1"/>
  <c r="HG53" i="6" s="1"/>
  <c r="DQ78" i="6"/>
  <c r="HE78" i="6" s="1"/>
  <c r="HG78" i="6" s="1"/>
  <c r="DQ100" i="6"/>
  <c r="DQ15" i="6"/>
  <c r="HE15" i="6" s="1"/>
  <c r="HJ15" i="6" s="1"/>
  <c r="DQ69" i="6"/>
  <c r="HE69" i="6" s="1"/>
  <c r="HJ69" i="6" s="1"/>
  <c r="DQ92" i="6"/>
  <c r="HE92" i="6" s="1"/>
  <c r="HG92" i="6" s="1"/>
  <c r="DQ48" i="6"/>
  <c r="HE48" i="6" s="1"/>
  <c r="DQ66" i="6"/>
  <c r="HE66" i="6" s="1"/>
  <c r="HG66" i="6" s="1"/>
  <c r="DQ73" i="6"/>
  <c r="HE73" i="6" s="1"/>
  <c r="E8" i="44"/>
  <c r="DQ36" i="6"/>
  <c r="HE36" i="6" s="1"/>
  <c r="HG36" i="6" s="1"/>
  <c r="DQ72" i="6"/>
  <c r="HE72" i="6" s="1"/>
  <c r="HG72" i="6" s="1"/>
  <c r="DQ14" i="6"/>
  <c r="HE14" i="6" s="1"/>
  <c r="DQ28" i="6"/>
  <c r="HE28" i="6" s="1"/>
  <c r="HG28" i="6" s="1"/>
  <c r="DQ32" i="6"/>
  <c r="HE32" i="6" s="1"/>
  <c r="HG32" i="6" s="1"/>
  <c r="DQ34" i="6"/>
  <c r="HE34" i="6" s="1"/>
  <c r="HG34" i="6" s="1"/>
  <c r="DQ85" i="6"/>
  <c r="HE85" i="6" s="1"/>
  <c r="HG85" i="6" s="1"/>
  <c r="DQ104" i="6"/>
  <c r="DQ38" i="6"/>
  <c r="HE38" i="6" s="1"/>
  <c r="DQ61" i="6"/>
  <c r="HE61" i="6" s="1"/>
  <c r="HG61" i="6" s="1"/>
  <c r="DQ105" i="6"/>
  <c r="DQ11" i="6"/>
  <c r="HE11" i="6" s="1"/>
  <c r="DQ17" i="6"/>
  <c r="HE17" i="6" s="1"/>
  <c r="DQ19" i="6"/>
  <c r="HE19" i="6" s="1"/>
  <c r="DQ21" i="6"/>
  <c r="HE21" i="6" s="1"/>
  <c r="DQ23" i="6"/>
  <c r="HE23" i="6" s="1"/>
  <c r="DQ25" i="6"/>
  <c r="HE25" i="6" s="1"/>
  <c r="HJ25" i="6" s="1"/>
  <c r="DQ75" i="6"/>
  <c r="HE75" i="6" s="1"/>
  <c r="HG75" i="6" s="1"/>
  <c r="DQ77" i="6"/>
  <c r="HE77" i="6" s="1"/>
  <c r="DQ93" i="6"/>
  <c r="Z8" i="36"/>
  <c r="AA8" i="36" s="1"/>
  <c r="DQ13" i="6"/>
  <c r="HE13" i="6" s="1"/>
  <c r="HJ13" i="6" s="1"/>
  <c r="E4" i="44"/>
  <c r="D9" i="44" s="1"/>
  <c r="DQ88" i="6"/>
  <c r="HE88" i="6" s="1"/>
  <c r="HG88" i="6" s="1"/>
  <c r="M21" i="17"/>
  <c r="DQ55" i="6"/>
  <c r="HE55" i="6" s="1"/>
  <c r="DQ80" i="6"/>
  <c r="HE80" i="6" s="1"/>
  <c r="HK88" i="6"/>
  <c r="DQ56" i="6"/>
  <c r="HE56" i="6" s="1"/>
  <c r="HG56" i="6" s="1"/>
  <c r="DQ99" i="6"/>
  <c r="DQ108" i="6"/>
  <c r="DQ43" i="6"/>
  <c r="HE43" i="6" s="1"/>
  <c r="DQ89" i="6"/>
  <c r="HE89" i="6" s="1"/>
  <c r="HG89" i="6" s="1"/>
  <c r="DQ86" i="6"/>
  <c r="HE86" i="6" s="1"/>
  <c r="DQ106" i="6"/>
  <c r="DQ27" i="6"/>
  <c r="HE27" i="6" s="1"/>
  <c r="HG27" i="6" s="1"/>
  <c r="DQ74" i="6"/>
  <c r="HE74" i="6" s="1"/>
  <c r="HG74" i="6" s="1"/>
  <c r="DQ91" i="6"/>
  <c r="HE91" i="6" s="1"/>
  <c r="HG91" i="6" s="1"/>
  <c r="DQ31" i="6"/>
  <c r="HE31" i="6" s="1"/>
  <c r="DQ33" i="6"/>
  <c r="HE33" i="6" s="1"/>
  <c r="HG33" i="6" s="1"/>
  <c r="DQ37" i="6"/>
  <c r="HE37" i="6" s="1"/>
  <c r="DQ47" i="6"/>
  <c r="HE47" i="6" s="1"/>
  <c r="HG47" i="6" s="1"/>
  <c r="DQ109" i="6"/>
  <c r="DQ42" i="6"/>
  <c r="HE42" i="6" s="1"/>
  <c r="DQ60" i="6"/>
  <c r="HE60" i="6" s="1"/>
  <c r="HG60" i="6" s="1"/>
  <c r="DQ107" i="6"/>
  <c r="DQ12" i="6"/>
  <c r="HE12" i="6" s="1"/>
  <c r="DQ39" i="6"/>
  <c r="HE39" i="6" s="1"/>
  <c r="HG39" i="6" s="1"/>
  <c r="DQ49" i="6"/>
  <c r="HE49" i="6" s="1"/>
  <c r="DQ65" i="6"/>
  <c r="HE65" i="6" s="1"/>
  <c r="DQ18" i="6"/>
  <c r="HE18" i="6" s="1"/>
  <c r="DQ20" i="6"/>
  <c r="HE20" i="6" s="1"/>
  <c r="HG20" i="6" s="1"/>
  <c r="DQ97" i="6"/>
  <c r="HE97" i="6" s="1"/>
  <c r="HG97" i="6" s="1"/>
  <c r="DQ24" i="6"/>
  <c r="HE24" i="6" s="1"/>
  <c r="HJ24" i="6" s="1"/>
  <c r="DQ30" i="6"/>
  <c r="HE30" i="6" s="1"/>
  <c r="HG30" i="6" s="1"/>
  <c r="DQ41" i="6"/>
  <c r="HE41" i="6" s="1"/>
  <c r="HJ41" i="6" s="1"/>
  <c r="DQ59" i="6"/>
  <c r="HE59" i="6" s="1"/>
  <c r="DQ67" i="6"/>
  <c r="HE67" i="6" s="1"/>
  <c r="HG67" i="6" s="1"/>
  <c r="DQ87" i="6"/>
  <c r="HE87" i="6" s="1"/>
  <c r="DQ110" i="6"/>
  <c r="L34" i="49"/>
  <c r="K34" i="49"/>
  <c r="J34" i="49"/>
  <c r="N45" i="15"/>
  <c r="HK75" i="6"/>
  <c r="L7" i="35"/>
  <c r="DQ51" i="6"/>
  <c r="HE51" i="6" s="1"/>
  <c r="HG51" i="6" s="1"/>
  <c r="M25" i="15"/>
  <c r="J45" i="15"/>
  <c r="L46" i="15" s="1"/>
  <c r="L47" i="15" s="1"/>
  <c r="HK72" i="6"/>
  <c r="HK87" i="6"/>
  <c r="GS100" i="6"/>
  <c r="HK42" i="6"/>
  <c r="HK83" i="6"/>
  <c r="HK108" i="6"/>
  <c r="D17" i="35"/>
  <c r="D18" i="35" s="1"/>
  <c r="HK81" i="6"/>
  <c r="HK96" i="6"/>
  <c r="GS101" i="6"/>
  <c r="GT101" i="6" s="1"/>
  <c r="HK107" i="6"/>
  <c r="HK54" i="6"/>
  <c r="O45" i="15"/>
  <c r="P47" i="15" s="1"/>
  <c r="HK103" i="6"/>
  <c r="HK104" i="6"/>
  <c r="HK105" i="6"/>
  <c r="HK106" i="6"/>
  <c r="HK60" i="6"/>
  <c r="HK93" i="6"/>
  <c r="HJ93" i="6"/>
  <c r="L32" i="17" s="1"/>
  <c r="N32" i="17" s="1"/>
  <c r="O32" i="17" s="1"/>
  <c r="HK94" i="6"/>
  <c r="DQ45" i="6"/>
  <c r="HE45" i="6" s="1"/>
  <c r="GS102" i="6"/>
  <c r="HK48" i="6"/>
  <c r="GS109" i="6"/>
  <c r="N34" i="28"/>
  <c r="I35" i="28" s="1"/>
  <c r="HK66" i="6"/>
  <c r="GT99" i="6"/>
  <c r="GS103" i="6"/>
  <c r="GT103" i="6" s="1"/>
  <c r="GS108" i="6"/>
  <c r="DQ63" i="6"/>
  <c r="HE63" i="6" s="1"/>
  <c r="GS104" i="6"/>
  <c r="GS105" i="6"/>
  <c r="GT105" i="6" s="1"/>
  <c r="GS106" i="6"/>
  <c r="GS107" i="6"/>
  <c r="I37" i="49"/>
  <c r="J37" i="49"/>
  <c r="GT110" i="6"/>
  <c r="GU110" i="6" s="1"/>
  <c r="Y13" i="42"/>
  <c r="D22" i="43" l="1"/>
  <c r="F8" i="43"/>
  <c r="L17" i="35"/>
  <c r="HE16" i="6"/>
  <c r="HG46" i="6"/>
  <c r="HJ46" i="6"/>
  <c r="HJ61" i="6"/>
  <c r="M36" i="42"/>
  <c r="I29" i="42"/>
  <c r="N34" i="49"/>
  <c r="I35" i="49" s="1"/>
  <c r="HJ71" i="6"/>
  <c r="L27" i="17" s="1"/>
  <c r="N27" i="17" s="1"/>
  <c r="O27" i="17" s="1"/>
  <c r="HJ47" i="6"/>
  <c r="L11" i="17" s="1"/>
  <c r="N11" i="17" s="1"/>
  <c r="O11" i="17" s="1"/>
  <c r="HJ72" i="6"/>
  <c r="HJ81" i="6"/>
  <c r="L33" i="17" s="1"/>
  <c r="N33" i="17" s="1"/>
  <c r="O33" i="17" s="1"/>
  <c r="HG90" i="6"/>
  <c r="HJ90" i="6"/>
  <c r="L24" i="17" s="1"/>
  <c r="N24" i="17" s="1"/>
  <c r="O24" i="17" s="1"/>
  <c r="HJ64" i="6"/>
  <c r="HG54" i="6"/>
  <c r="HJ54" i="6"/>
  <c r="HG69" i="6"/>
  <c r="HJ50" i="6"/>
  <c r="HJ75" i="6"/>
  <c r="HJ70" i="6"/>
  <c r="HJ22" i="6"/>
  <c r="HG65" i="6"/>
  <c r="HJ65" i="6"/>
  <c r="HG31" i="6"/>
  <c r="HJ31" i="6"/>
  <c r="HG48" i="6"/>
  <c r="HJ48" i="6"/>
  <c r="HG73" i="6"/>
  <c r="HJ73" i="6"/>
  <c r="HG14" i="6"/>
  <c r="HJ14" i="6"/>
  <c r="HJ82" i="6"/>
  <c r="L18" i="17" s="1"/>
  <c r="N18" i="17" s="1"/>
  <c r="O18" i="17" s="1"/>
  <c r="HJ44" i="6"/>
  <c r="HJ28" i="6"/>
  <c r="HJ66" i="6"/>
  <c r="HG79" i="6"/>
  <c r="HG38" i="6"/>
  <c r="HJ38" i="6"/>
  <c r="HG80" i="6"/>
  <c r="HJ80" i="6"/>
  <c r="L4" i="17" s="1"/>
  <c r="N4" i="17" s="1"/>
  <c r="O4" i="17" s="1"/>
  <c r="HG55" i="6"/>
  <c r="HJ55" i="6"/>
  <c r="HG13" i="6"/>
  <c r="HJ84" i="6"/>
  <c r="L21" i="17" s="1"/>
  <c r="N21" i="17" s="1"/>
  <c r="O21" i="17" s="1"/>
  <c r="HJ52" i="6"/>
  <c r="HJ30" i="6"/>
  <c r="HJ40" i="6"/>
  <c r="HG15" i="6"/>
  <c r="HJ94" i="6"/>
  <c r="C8" i="17" s="1"/>
  <c r="F8" i="17" s="1"/>
  <c r="HJ57" i="6"/>
  <c r="HJ92" i="6"/>
  <c r="L13" i="17" s="1"/>
  <c r="N13" i="17" s="1"/>
  <c r="O13" i="17" s="1"/>
  <c r="HJ12" i="6"/>
  <c r="HG12" i="6"/>
  <c r="HG87" i="6"/>
  <c r="HJ87" i="6"/>
  <c r="L29" i="17" s="1"/>
  <c r="N29" i="17" s="1"/>
  <c r="O29" i="17" s="1"/>
  <c r="HG59" i="6"/>
  <c r="HJ59" i="6"/>
  <c r="HG42" i="6"/>
  <c r="HJ42" i="6"/>
  <c r="HJ86" i="6"/>
  <c r="HG86" i="6"/>
  <c r="HJ29" i="6"/>
  <c r="HJ67" i="6"/>
  <c r="L23" i="17" s="1"/>
  <c r="N23" i="17" s="1"/>
  <c r="O23" i="17" s="1"/>
  <c r="HG25" i="6"/>
  <c r="HJ33" i="6"/>
  <c r="HJ97" i="6"/>
  <c r="L15" i="17" s="1"/>
  <c r="N15" i="17" s="1"/>
  <c r="O15" i="17" s="1"/>
  <c r="HG41" i="6"/>
  <c r="HJ76" i="6"/>
  <c r="HG58" i="6"/>
  <c r="HJ53" i="6"/>
  <c r="HJ85" i="6"/>
  <c r="L20" i="17" s="1"/>
  <c r="N20" i="17" s="1"/>
  <c r="O20" i="17" s="1"/>
  <c r="GT108" i="6"/>
  <c r="GU108" i="6" s="1"/>
  <c r="GV108" i="6" s="1"/>
  <c r="HJ20" i="6"/>
  <c r="HJ60" i="6"/>
  <c r="HJ96" i="6"/>
  <c r="L8" i="17" s="1"/>
  <c r="N8" i="17" s="1"/>
  <c r="O8" i="17" s="1"/>
  <c r="HJ62" i="6"/>
  <c r="HJ88" i="6"/>
  <c r="L5" i="17" s="1"/>
  <c r="N5" i="17" s="1"/>
  <c r="O5" i="17" s="1"/>
  <c r="HJ78" i="6"/>
  <c r="HJ32" i="6"/>
  <c r="HJ34" i="6"/>
  <c r="GV110" i="6"/>
  <c r="GW110" i="6" s="1"/>
  <c r="GX110" i="6" s="1"/>
  <c r="GU103" i="6"/>
  <c r="GV103" i="6" s="1"/>
  <c r="HJ26" i="6"/>
  <c r="HG26" i="6"/>
  <c r="HJ83" i="6"/>
  <c r="L12" i="17" s="1"/>
  <c r="GT106" i="6"/>
  <c r="HJ36" i="6"/>
  <c r="HJ77" i="6"/>
  <c r="HG77" i="6"/>
  <c r="GT100" i="6"/>
  <c r="GU100" i="6" s="1"/>
  <c r="HG17" i="6"/>
  <c r="HJ17" i="6"/>
  <c r="HJ39" i="6"/>
  <c r="HJ37" i="6"/>
  <c r="L3" i="17" s="1"/>
  <c r="N3" i="17" s="1"/>
  <c r="O3" i="17" s="1"/>
  <c r="HG37" i="6"/>
  <c r="HG23" i="6"/>
  <c r="HJ23" i="6"/>
  <c r="HG95" i="6"/>
  <c r="HJ95" i="6"/>
  <c r="L7" i="17" s="1"/>
  <c r="N7" i="17" s="1"/>
  <c r="O7" i="17" s="1"/>
  <c r="HJ74" i="6"/>
  <c r="HJ27" i="6"/>
  <c r="HJ35" i="6"/>
  <c r="GT102" i="6"/>
  <c r="HJ63" i="6"/>
  <c r="HG63" i="6"/>
  <c r="GU99" i="6"/>
  <c r="GU101" i="6"/>
  <c r="GV101" i="6" s="1"/>
  <c r="HJ51" i="6"/>
  <c r="HG68" i="6"/>
  <c r="HJ68" i="6"/>
  <c r="GT107" i="6"/>
  <c r="GU107" i="6" s="1"/>
  <c r="GT104" i="6"/>
  <c r="HJ91" i="6"/>
  <c r="L28" i="17" s="1"/>
  <c r="N28" i="17" s="1"/>
  <c r="O28" i="17" s="1"/>
  <c r="GT109" i="6"/>
  <c r="HJ56" i="6"/>
  <c r="HG43" i="6"/>
  <c r="HJ43" i="6"/>
  <c r="HG21" i="6"/>
  <c r="HJ21" i="6"/>
  <c r="HG18" i="6"/>
  <c r="HJ18" i="6"/>
  <c r="HG19" i="6"/>
  <c r="HJ19" i="6"/>
  <c r="HJ49" i="6"/>
  <c r="HG49" i="6"/>
  <c r="HJ45" i="6"/>
  <c r="HG45" i="6"/>
  <c r="GU105" i="6"/>
  <c r="HG11" i="6"/>
  <c r="HJ11" i="6"/>
  <c r="HJ98" i="6"/>
  <c r="C9" i="17" s="1"/>
  <c r="F9" i="17" s="1"/>
  <c r="HJ89" i="6"/>
  <c r="L19" i="17" s="1"/>
  <c r="N19" i="17" s="1"/>
  <c r="O19" i="17" s="1"/>
  <c r="HG16" i="6" l="1"/>
  <c r="HJ16" i="6"/>
  <c r="L14" i="17"/>
  <c r="N14" i="17" s="1"/>
  <c r="O14" i="17" s="1"/>
  <c r="L6" i="17"/>
  <c r="N6" i="17" s="1"/>
  <c r="O6" i="17" s="1"/>
  <c r="L16" i="17"/>
  <c r="N16" i="17" s="1"/>
  <c r="O16" i="17" s="1"/>
  <c r="L9" i="17"/>
  <c r="N9" i="17" s="1"/>
  <c r="O9" i="17" s="1"/>
  <c r="GV107" i="6"/>
  <c r="GW107" i="6" s="1"/>
  <c r="P11" i="17"/>
  <c r="N12" i="17"/>
  <c r="O12" i="17" s="1"/>
  <c r="GU104" i="6"/>
  <c r="GV104" i="6" s="1"/>
  <c r="GV100" i="6"/>
  <c r="GW100" i="6" s="1"/>
  <c r="GY110" i="6"/>
  <c r="GW103" i="6"/>
  <c r="GU106" i="6"/>
  <c r="GV106" i="6" s="1"/>
  <c r="GV105" i="6"/>
  <c r="GW108" i="6"/>
  <c r="GX108" i="6" s="1"/>
  <c r="GW101" i="6"/>
  <c r="GV99" i="6"/>
  <c r="GU109" i="6"/>
  <c r="GV109" i="6" s="1"/>
  <c r="GU102" i="6"/>
  <c r="GX100" i="6" l="1"/>
  <c r="GW105" i="6"/>
  <c r="GW109" i="6"/>
  <c r="GW106" i="6"/>
  <c r="GX101" i="6"/>
  <c r="GY101" i="6" s="1"/>
  <c r="GW104" i="6"/>
  <c r="GX107" i="6"/>
  <c r="GY107" i="6" s="1"/>
  <c r="GY108" i="6"/>
  <c r="GW99" i="6"/>
  <c r="GV102" i="6"/>
  <c r="GZ110" i="6"/>
  <c r="GX103" i="6"/>
  <c r="GY103" i="6" s="1"/>
  <c r="GZ107" i="6" l="1"/>
  <c r="HA107" i="6" s="1"/>
  <c r="GX105" i="6"/>
  <c r="GZ101" i="6"/>
  <c r="GW102" i="6"/>
  <c r="GX109" i="6"/>
  <c r="GY100" i="6"/>
  <c r="GX99" i="6"/>
  <c r="HA110" i="6"/>
  <c r="GX106" i="6"/>
  <c r="GZ108" i="6"/>
  <c r="HA108" i="6" s="1"/>
  <c r="GZ103" i="6"/>
  <c r="GX104" i="6"/>
  <c r="GY106" i="6" l="1"/>
  <c r="GZ106" i="6" s="1"/>
  <c r="HB108" i="6"/>
  <c r="HC108" i="6" s="1"/>
  <c r="HB107" i="6"/>
  <c r="HC107" i="6" s="1"/>
  <c r="HD107" i="6" s="1"/>
  <c r="HE107" i="6" s="1"/>
  <c r="GY99" i="6"/>
  <c r="GZ99" i="6" s="1"/>
  <c r="GY105" i="6"/>
  <c r="GY109" i="6"/>
  <c r="GZ100" i="6"/>
  <c r="HB110" i="6"/>
  <c r="HC110" i="6" s="1"/>
  <c r="HA101" i="6"/>
  <c r="HB101" i="6" s="1"/>
  <c r="HA103" i="6"/>
  <c r="HB103" i="6" s="1"/>
  <c r="GX102" i="6"/>
  <c r="GY102" i="6" s="1"/>
  <c r="GY104" i="6"/>
  <c r="GZ104" i="6" s="1"/>
  <c r="HD108" i="6" l="1"/>
  <c r="HE108" i="6" s="1"/>
  <c r="HA104" i="6"/>
  <c r="HB104" i="6" s="1"/>
  <c r="HC104" i="6" s="1"/>
  <c r="HA106" i="6"/>
  <c r="HB106" i="6" s="1"/>
  <c r="HG107" i="6"/>
  <c r="HJ107" i="6"/>
  <c r="HC101" i="6"/>
  <c r="HD101" i="6" s="1"/>
  <c r="HE101" i="6" s="1"/>
  <c r="HC103" i="6"/>
  <c r="HD103" i="6" s="1"/>
  <c r="HE103" i="6" s="1"/>
  <c r="HD110" i="6"/>
  <c r="HE110" i="6" s="1"/>
  <c r="HA99" i="6"/>
  <c r="GZ102" i="6"/>
  <c r="HA102" i="6" s="1"/>
  <c r="GZ109" i="6"/>
  <c r="HA109" i="6" s="1"/>
  <c r="GZ105" i="6"/>
  <c r="HA105" i="6" s="1"/>
  <c r="HA100" i="6"/>
  <c r="HB100" i="6" s="1"/>
  <c r="HC100" i="6" s="1"/>
  <c r="HG108" i="6" l="1"/>
  <c r="HJ108" i="6"/>
  <c r="HC106" i="6"/>
  <c r="HD106" i="6" s="1"/>
  <c r="HE106" i="6" s="1"/>
  <c r="HB102" i="6"/>
  <c r="HC102" i="6" s="1"/>
  <c r="HD102" i="6" s="1"/>
  <c r="HE102" i="6" s="1"/>
  <c r="HG101" i="6"/>
  <c r="HJ101" i="6"/>
  <c r="HD104" i="6"/>
  <c r="HE104" i="6" s="1"/>
  <c r="HG103" i="6"/>
  <c r="HJ103" i="6"/>
  <c r="HB105" i="6"/>
  <c r="HG110" i="6"/>
  <c r="HJ110" i="6"/>
  <c r="HD100" i="6"/>
  <c r="HE100" i="6" s="1"/>
  <c r="HB109" i="6"/>
  <c r="HC109" i="6" s="1"/>
  <c r="HB99" i="6"/>
  <c r="HC99" i="6" s="1"/>
  <c r="HG106" i="6" l="1"/>
  <c r="HJ106" i="6"/>
  <c r="HG102" i="6"/>
  <c r="HJ102" i="6"/>
  <c r="HG104" i="6"/>
  <c r="HJ104" i="6"/>
  <c r="HD109" i="6"/>
  <c r="HE109" i="6" s="1"/>
  <c r="HC105" i="6"/>
  <c r="HD105" i="6" s="1"/>
  <c r="HE105" i="6" s="1"/>
  <c r="HG100" i="6"/>
  <c r="HJ100" i="6"/>
  <c r="HD99" i="6"/>
  <c r="HE99" i="6" s="1"/>
  <c r="HG105" i="6" l="1"/>
  <c r="HJ105" i="6"/>
  <c r="HJ99" i="6"/>
  <c r="HG99" i="6"/>
  <c r="HG109" i="6"/>
  <c r="HJ10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H11" authorId="0" shapeId="0" xr:uid="{00000000-0006-0000-0800-000001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FACTOR AL DIA 01/11/23 SURDECA</t>
        </r>
      </text>
    </comment>
    <comment ref="P11" authorId="0" shapeId="0" xr:uid="{00000000-0006-0000-0800-000002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al día 12/10/23</t>
        </r>
      </text>
    </comment>
    <comment ref="H12" authorId="0" shapeId="0" xr:uid="{00000000-0006-0000-0800-000003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el dia 7/12/23</t>
        </r>
      </text>
    </comment>
    <comment ref="H13" authorId="0" shapeId="0" xr:uid="{00000000-0006-0000-0800-000005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al día 13/07/23</t>
        </r>
      </text>
    </comment>
    <comment ref="H25" authorId="0" shapeId="0" xr:uid="{00000000-0006-0000-0800-000006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al día 17/05/24
</t>
        </r>
      </text>
    </comment>
    <comment ref="P25" authorId="0" shapeId="0" xr:uid="{00000000-0006-0000-0800-000007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al día 12/10/23</t>
        </r>
      </text>
    </comment>
    <comment ref="H26" authorId="0" shapeId="0" xr:uid="{00000000-0006-0000-0800-000008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Factor actualizado al día 12/10/23
</t>
        </r>
      </text>
    </comment>
    <comment ref="P26" authorId="0" shapeId="0" xr:uid="{00000000-0006-0000-0800-000009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Factor actualizado al día 12/10/23
</t>
        </r>
      </text>
    </comment>
    <comment ref="H38" authorId="0" shapeId="0" xr:uid="{00000000-0006-0000-0800-00000A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el dia 7/12/23</t>
        </r>
      </text>
    </comment>
    <comment ref="P38" authorId="0" shapeId="0" xr:uid="{00000000-0006-0000-0800-00000B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el dia 7/12/23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Full name</author>
    <author>Usuario</author>
  </authors>
  <commentList>
    <comment ref="A1" authorId="0" shapeId="0" xr:uid="{00000000-0006-0000-0900-000001000000}">
      <text>
        <r>
          <rPr>
            <b/>
            <sz val="9"/>
            <rFont val="Tahoma"/>
            <family val="2"/>
          </rPr>
          <t>Full name:</t>
        </r>
        <r>
          <rPr>
            <sz val="9"/>
            <rFont val="Tahoma"/>
            <family val="2"/>
          </rPr>
          <t xml:space="preserve">
natulac</t>
        </r>
      </text>
    </comment>
    <comment ref="D7" authorId="1" shapeId="0" xr:uid="{00000000-0006-0000-0900-000002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FISICO AL CIERRE DE ENERO   02/02/24</t>
        </r>
      </text>
    </comment>
    <comment ref="R80" authorId="1" shapeId="0" xr:uid="{00000000-0006-0000-0900-000003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SELVA</t>
        </r>
      </text>
    </comment>
    <comment ref="U80" authorId="1" shapeId="0" xr:uid="{00000000-0006-0000-0900-000004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ARCEVI</t>
        </r>
      </text>
    </comment>
    <comment ref="AC80" authorId="1" shapeId="0" xr:uid="{00000000-0006-0000-0900-000005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</t>
        </r>
        <r>
          <rPr>
            <sz val="18"/>
            <rFont val="Tahoma"/>
            <family val="2"/>
          </rPr>
          <t>pitillos 150cc</t>
        </r>
      </text>
    </comment>
    <comment ref="EA95" authorId="1" shapeId="0" xr:uid="{00000000-0006-0000-0900-000006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POLIETILENO GUAICAPURO
</t>
        </r>
      </text>
    </comment>
    <comment ref="ED97" authorId="1" shapeId="0" xr:uid="{00000000-0006-0000-0900-000007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PEGA TAPAS A CONVELAC</t>
        </r>
      </text>
    </comment>
    <comment ref="ED98" authorId="1" shapeId="0" xr:uid="{00000000-0006-0000-0900-000008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CONSUMO CONVELAC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Full name</author>
  </authors>
  <commentList>
    <comment ref="A1" authorId="0" shapeId="0" xr:uid="{00000000-0006-0000-0A00-000001000000}">
      <text>
        <r>
          <rPr>
            <b/>
            <sz val="9"/>
            <rFont val="Tahoma"/>
            <family val="2"/>
          </rPr>
          <t>Full name:</t>
        </r>
        <r>
          <rPr>
            <sz val="9"/>
            <rFont val="Tahoma"/>
            <family val="2"/>
          </rPr>
          <t xml:space="preserve">
natulac3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Analista</author>
    <author>Usuario</author>
  </authors>
  <commentList>
    <comment ref="L4" authorId="0" shapeId="0" xr:uid="{00000000-0006-0000-0B00-000001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FACTOR A LA FECHA DE 29/03/2019
</t>
        </r>
      </text>
    </comment>
    <comment ref="O4" authorId="0" shapeId="0" xr:uid="{00000000-0006-0000-0B00-000002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solo se coloca cuando se pesa con la caja</t>
        </r>
      </text>
    </comment>
    <comment ref="S7" authorId="0" shapeId="0" xr:uid="{00000000-0006-0000-0B00-000003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Verificar cada cierto tiempo
</t>
        </r>
      </text>
    </comment>
    <comment ref="W7" authorId="0" shapeId="0" xr:uid="{00000000-0006-0000-0B00-000004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Verificar cada cierto tiempo
</t>
        </r>
      </text>
    </comment>
    <comment ref="F14" authorId="0" shapeId="0" xr:uid="{00000000-0006-0000-0B00-000005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FACTOR A LA FECHA DE 14/04/2023
</t>
        </r>
      </text>
    </comment>
    <comment ref="I15" authorId="1" shapeId="0" xr:uid="{00000000-0006-0000-0B00-000006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Septiembre 2023</t>
        </r>
      </text>
    </comment>
    <comment ref="I16" authorId="1" shapeId="0" xr:uid="{00000000-0006-0000-0B00-000007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Septiembre 2023
</t>
        </r>
      </text>
    </comment>
    <comment ref="L16" authorId="1" shapeId="0" xr:uid="{00000000-0006-0000-0B00-000008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Septiembre 2023</t>
        </r>
      </text>
    </comment>
    <comment ref="L17" authorId="1" shapeId="0" xr:uid="{00000000-0006-0000-0B00-000009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Septiembre 2023
</t>
        </r>
      </text>
    </comment>
    <comment ref="S18" authorId="0" shapeId="0" xr:uid="{00000000-0006-0000-0B00-00000A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Verificar cada cierto tiempo
</t>
        </r>
      </text>
    </comment>
    <comment ref="I24" authorId="1" shapeId="0" xr:uid="{9267860C-B0DF-4AAA-A98B-F0FA565C6812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Septiembre 2023</t>
        </r>
      </text>
    </comment>
    <comment ref="L24" authorId="0" shapeId="0" xr:uid="{00000000-0006-0000-0B00-00000B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solo se coloca cuando se pesa con la caja</t>
        </r>
      </text>
    </comment>
    <comment ref="I25" authorId="1" shapeId="0" xr:uid="{4F8DA7C8-0728-44BD-BC44-A9B59FFABC16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Septiembre 2023
</t>
        </r>
      </text>
    </comment>
    <comment ref="O28" authorId="1" shapeId="0" xr:uid="{83BD8383-78CD-49AD-8492-C4127A69AB13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30/06/25</t>
        </r>
      </text>
    </comment>
    <comment ref="O29" authorId="1" shapeId="0" xr:uid="{F029283C-63B5-46A0-96C1-C12C99DFDD76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Actualizado 30/06/25 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Analista</author>
  </authors>
  <commentList>
    <comment ref="I4" authorId="0" shapeId="0" xr:uid="{00000000-0006-0000-0C00-000001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MEZCLA DURAZNO (8TAMBORES) / MANZANA(2 TAMBORES)</t>
        </r>
      </text>
    </comment>
    <comment ref="L4" authorId="0" shapeId="0" xr:uid="{00000000-0006-0000-0C00-000002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PRUEBA NARANJA MULTIFRUIT </t>
        </r>
      </text>
    </comment>
    <comment ref="O4" authorId="0" shapeId="0" xr:uid="{00000000-0006-0000-0C00-000003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CON NARANJA TICOFRUT</t>
        </r>
      </text>
    </comment>
    <comment ref="O5" authorId="1" shapeId="0" xr:uid="{00000000-0006-0000-0C00-000004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Guayaba        90 Kg
Piña             112,5 Kg
Parchita        120 Kg
Naranjada      265 Kg</t>
        </r>
      </text>
    </comment>
    <comment ref="I11" authorId="1" shapeId="0" xr:uid="{00000000-0006-0000-0C00-000005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INGREDIENTS TRADING 0,12</t>
        </r>
      </text>
    </comment>
    <comment ref="J11" authorId="1" shapeId="0" xr:uid="{00000000-0006-0000-0C00-000006000000}">
      <text>
        <r>
          <rPr>
            <b/>
            <sz val="9"/>
            <rFont val="Tahoma"/>
            <family val="2"/>
          </rPr>
          <t xml:space="preserve">Analista:
</t>
        </r>
        <r>
          <rPr>
            <sz val="9"/>
            <rFont val="Tahoma"/>
            <family val="2"/>
          </rPr>
          <t>AROMAVEN 0,67
SABORTEC 2,00</t>
        </r>
      </text>
    </comment>
    <comment ref="K11" authorId="1" shapeId="0" xr:uid="{00000000-0006-0000-0C00-000007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AROMAVEN 0,60
SABORTEC 1,50</t>
        </r>
      </text>
    </comment>
    <comment ref="L11" authorId="1" shapeId="0" xr:uid="{00000000-0006-0000-0C00-000008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ACEITE ESENCIAL 0,9
aroma 1,4</t>
        </r>
      </text>
    </comment>
    <comment ref="M11" authorId="1" shapeId="0" xr:uid="{00000000-0006-0000-0C00-000009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INGREDIENTS TRADING 0,12</t>
        </r>
      </text>
    </comment>
    <comment ref="N11" authorId="1" shapeId="0" xr:uid="{00000000-0006-0000-0C00-00000A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0,45 AROMAVEN
0,70 SABORTEC
0,90 TRADING
0,50 EFYS</t>
        </r>
      </text>
    </comment>
    <comment ref="P11" authorId="1" shapeId="0" xr:uid="{00000000-0006-0000-0C00-00000B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mezcla</t>
        </r>
      </text>
    </comment>
    <comment ref="E24" authorId="0" shapeId="0" xr:uid="{00000000-0006-0000-0C00-00000C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DEPENDE DEL PROVEEDOR DE CONCENTRADO</t>
        </r>
      </text>
    </comment>
    <comment ref="I32" authorId="0" shapeId="0" xr:uid="{00000000-0006-0000-0C00-00000D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COLOCAR CANTIDAD DE CAJAS
</t>
        </r>
      </text>
    </comment>
    <comment ref="N34" authorId="0" shapeId="0" xr:uid="{00000000-0006-0000-0C00-00000E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Sumatoria de tambores sin aproximación</t>
        </r>
      </text>
    </comment>
    <comment ref="R34" authorId="1" shapeId="0" xr:uid="{708D645F-2031-401D-B3DC-C9B1B5109F5F}">
      <text>
        <r>
          <rPr>
            <b/>
            <sz val="9"/>
            <rFont val="Tahoma"/>
            <family val="2"/>
          </rPr>
          <t xml:space="preserve">Analista:
</t>
        </r>
        <r>
          <rPr>
            <sz val="9"/>
            <rFont val="Tahoma"/>
            <family val="2"/>
          </rPr>
          <t>AROMAVEN 0,67
SABORTEC 2,00</t>
        </r>
      </text>
    </comment>
    <comment ref="S34" authorId="1" shapeId="0" xr:uid="{1D114388-1F2D-4A35-BFB8-F7B026E69477}">
      <text>
        <r>
          <rPr>
            <b/>
            <sz val="9"/>
            <rFont val="Tahoma"/>
            <family val="2"/>
          </rPr>
          <t xml:space="preserve">Analista:
</t>
        </r>
        <r>
          <rPr>
            <sz val="9"/>
            <rFont val="Tahoma"/>
            <family val="2"/>
          </rPr>
          <t>AROMAVEN 0,67
SABORTEC 2,00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Analista</author>
  </authors>
  <commentList>
    <comment ref="E24" authorId="0" shapeId="0" xr:uid="{FC375A20-57F1-4370-BA51-D65BDD068B0F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DEPENDE DEL PROVEEDOR DE CONCENTRADO</t>
        </r>
      </text>
    </comment>
    <comment ref="I32" authorId="0" shapeId="0" xr:uid="{76D27E4D-7DCD-4A7B-A03C-C59C540253B4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COLOCAR CANTIDAD DE CAJAS
</t>
        </r>
      </text>
    </comment>
    <comment ref="N34" authorId="0" shapeId="0" xr:uid="{AB22501E-D655-4855-B341-4C068BDD727D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Sumatoria de tambores sin aproximación</t>
        </r>
      </text>
    </comment>
    <comment ref="I45" authorId="1" shapeId="0" xr:uid="{78B24E73-C553-4195-A4A2-C023BEB4B9E4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INGREDIENTS TRADING 0,12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G32" authorId="0" shapeId="0" xr:uid="{32877B80-576D-41E3-BC59-E9AD13D77D89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COLOCAR CANTIDAD DE CAJAS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Analista</author>
    <author>Usuario</author>
  </authors>
  <commentList>
    <comment ref="J11" authorId="0" shapeId="0" xr:uid="{00000000-0006-0000-0E00-000001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IAROMACOM</t>
        </r>
      </text>
    </comment>
    <comment ref="K11" authorId="0" shapeId="0" xr:uid="{00000000-0006-0000-0E00-000002000000}">
      <text>
        <r>
          <rPr>
            <b/>
            <sz val="9"/>
            <rFont val="Tahoma"/>
            <family val="2"/>
          </rPr>
          <t xml:space="preserve">Analista:
</t>
        </r>
        <r>
          <rPr>
            <sz val="9"/>
            <rFont val="Tahoma"/>
            <family val="2"/>
          </rPr>
          <t>AROMACOM</t>
        </r>
      </text>
    </comment>
    <comment ref="L11" authorId="0" shapeId="0" xr:uid="{00000000-0006-0000-0E00-000003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AROMACOM</t>
        </r>
      </text>
    </comment>
    <comment ref="I25" authorId="1" shapeId="0" xr:uid="{00000000-0006-0000-0E00-000004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COLOCAR CANTIDAD DE CAJAS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Analista</author>
  </authors>
  <commentList>
    <comment ref="J11" authorId="0" shapeId="0" xr:uid="{00000000-0006-0000-0F00-000001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INGREDIENTS TRADING 0,12</t>
        </r>
      </text>
    </comment>
    <comment ref="K11" authorId="0" shapeId="0" xr:uid="{00000000-0006-0000-0F00-000002000000}">
      <text>
        <r>
          <rPr>
            <b/>
            <sz val="9"/>
            <rFont val="Tahoma"/>
            <family val="2"/>
          </rPr>
          <t xml:space="preserve">Analista:
</t>
        </r>
        <r>
          <rPr>
            <sz val="9"/>
            <rFont val="Tahoma"/>
            <family val="2"/>
          </rPr>
          <t>AROMAVEN 0,67
SABORTEC 2,00</t>
        </r>
      </text>
    </comment>
    <comment ref="L11" authorId="0" shapeId="0" xr:uid="{00000000-0006-0000-0F00-000003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AROMAVEN 0,60
SABORTEC 1,50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Analista</author>
  </authors>
  <commentList>
    <comment ref="I4" authorId="0" shapeId="0" xr:uid="{00000000-0006-0000-1000-000001000000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</t>
        </r>
        <r>
          <rPr>
            <sz val="28"/>
            <rFont val="Tahoma"/>
            <family val="2"/>
          </rPr>
          <t>20/07/23</t>
        </r>
      </text>
    </comment>
    <comment ref="I11" authorId="1" shapeId="0" xr:uid="{00000000-0006-0000-1000-000002000000}">
      <text>
        <r>
          <rPr>
            <b/>
            <sz val="9"/>
            <rFont val="Tahoma"/>
            <family val="2"/>
          </rPr>
          <t>aromaven</t>
        </r>
      </text>
    </comment>
    <comment ref="J11" authorId="1" shapeId="0" xr:uid="{00000000-0006-0000-1000-000003000000}">
      <text>
        <r>
          <rPr>
            <b/>
            <sz val="9"/>
            <rFont val="Tahoma"/>
            <family val="2"/>
          </rPr>
          <t xml:space="preserve">Analista:
</t>
        </r>
        <r>
          <rPr>
            <sz val="9"/>
            <rFont val="Tahoma"/>
            <family val="2"/>
          </rPr>
          <t>AROMAVEN 0,67
SABORTEC 2,00</t>
        </r>
      </text>
    </comment>
    <comment ref="K11" authorId="1" shapeId="0" xr:uid="{00000000-0006-0000-1000-000004000000}">
      <text>
        <r>
          <rPr>
            <b/>
            <sz val="9"/>
            <rFont val="Tahoma"/>
            <family val="2"/>
          </rPr>
          <t>Analista:</t>
        </r>
        <r>
          <rPr>
            <sz val="9"/>
            <rFont val="Tahoma"/>
            <family val="2"/>
          </rPr>
          <t xml:space="preserve">
AROMAVEN 0,60
SABORTEC 1,50</t>
        </r>
      </text>
    </comment>
    <comment ref="I27" authorId="0" shapeId="0" xr:uid="{713991DC-8B84-4BF9-BBC4-661BC8D2074E}">
      <text>
        <r>
          <rPr>
            <b/>
            <sz val="9"/>
            <rFont val="Tahoma"/>
            <family val="2"/>
          </rPr>
          <t>Usuario:</t>
        </r>
        <r>
          <rPr>
            <sz val="9"/>
            <rFont val="Tahoma"/>
            <family val="2"/>
          </rPr>
          <t xml:space="preserve">
COLOCAR CANTIDAD DE CAJAS
</t>
        </r>
      </text>
    </comment>
  </commentList>
</comments>
</file>

<file path=xl/sharedStrings.xml><?xml version="1.0" encoding="utf-8"?>
<sst xmlns="http://schemas.openxmlformats.org/spreadsheetml/2006/main" count="3402" uniqueCount="1440">
  <si>
    <t>Cálculo de Materia Prima</t>
  </si>
  <si>
    <t xml:space="preserve">NUEVA FORMULACIÓN </t>
  </si>
  <si>
    <t>NÉCTAR</t>
  </si>
  <si>
    <t>Sabor</t>
  </si>
  <si>
    <t>Nº Tambores</t>
  </si>
  <si>
    <t>Durazno Nac</t>
  </si>
  <si>
    <t>Pera</t>
  </si>
  <si>
    <t>Manzana</t>
  </si>
  <si>
    <t>Naranja</t>
  </si>
  <si>
    <t>Durazno Imp</t>
  </si>
  <si>
    <t>Mango MIX</t>
  </si>
  <si>
    <t>Mango</t>
  </si>
  <si>
    <t>Guayaba</t>
  </si>
  <si>
    <t xml:space="preserve">Coctel </t>
  </si>
  <si>
    <t xml:space="preserve">Tentacion </t>
  </si>
  <si>
    <t>Coctel D</t>
  </si>
  <si>
    <t xml:space="preserve">Tamarindo </t>
  </si>
  <si>
    <t>Durazno COTOPERI</t>
  </si>
  <si>
    <t>CLARIFICADO</t>
  </si>
  <si>
    <t>Peso de Pulpa (kg)</t>
  </si>
  <si>
    <t xml:space="preserve">                           </t>
  </si>
  <si>
    <t>Materia Prima</t>
  </si>
  <si>
    <t>CANTIDAD</t>
  </si>
  <si>
    <t>TOTAL</t>
  </si>
  <si>
    <t>Azúcar (kg)</t>
  </si>
  <si>
    <t xml:space="preserve">AZUCAR </t>
  </si>
  <si>
    <t>CMC (kg)</t>
  </si>
  <si>
    <t>CMC</t>
  </si>
  <si>
    <t>Goma (kg)</t>
  </si>
  <si>
    <t>Goma</t>
  </si>
  <si>
    <t>Acido Cítrico (kg)</t>
  </si>
  <si>
    <t>Ácido Cítrico</t>
  </si>
  <si>
    <t>Acido Ascórbico (kg)</t>
  </si>
  <si>
    <t>Ácido Ascórbico</t>
  </si>
  <si>
    <t>Aroma (L)</t>
  </si>
  <si>
    <t>Aroma
(Litros)</t>
  </si>
  <si>
    <t>SUCRALOSA (kg)</t>
  </si>
  <si>
    <t>SUCRALOSA</t>
  </si>
  <si>
    <t>ACESULFAME (kg)</t>
  </si>
  <si>
    <t>ACESULFAME</t>
  </si>
  <si>
    <t>Antiespumante (L)</t>
  </si>
  <si>
    <t>Antiespumante</t>
  </si>
  <si>
    <t>AGUA (L)</t>
  </si>
  <si>
    <t xml:space="preserve">Agua </t>
  </si>
  <si>
    <t>Volumen Total (L)</t>
  </si>
  <si>
    <t>Volumen Total Lote</t>
  </si>
  <si>
    <t xml:space="preserve">                                                                                                                                                    *</t>
  </si>
  <si>
    <t>Peso de la pulpa</t>
  </si>
  <si>
    <t>Peso promedio</t>
  </si>
  <si>
    <t>PULPA</t>
  </si>
  <si>
    <t>LOTE</t>
  </si>
  <si>
    <t>PESO</t>
  </si>
  <si>
    <t>MANZANA</t>
  </si>
  <si>
    <t>944-22</t>
  </si>
  <si>
    <t>PERA</t>
  </si>
  <si>
    <t>1236-22</t>
  </si>
  <si>
    <t xml:space="preserve">NARANJA </t>
  </si>
  <si>
    <t>TICOFRUT</t>
  </si>
  <si>
    <t>CITROFRUT</t>
  </si>
  <si>
    <t>1235-22</t>
  </si>
  <si>
    <t>CONSUMO DE PEROXIDO SEMANA 5</t>
  </si>
  <si>
    <t>Inicial</t>
  </si>
  <si>
    <t>Traslado</t>
  </si>
  <si>
    <t>Consumo</t>
  </si>
  <si>
    <t xml:space="preserve"> Final</t>
  </si>
  <si>
    <t>CONSUMO DE PEROXIDO SEMANA 6</t>
  </si>
  <si>
    <t>Diferencia:</t>
  </si>
  <si>
    <t>Observaciones:</t>
  </si>
  <si>
    <t>Se consumen 180 litros menos de Peróxido, posterior al cambio de proveedor</t>
  </si>
  <si>
    <t>SOLICITUD DE RESGUARDO</t>
  </si>
  <si>
    <t>DESCRIPCIÓN</t>
  </si>
  <si>
    <t>Envases TBA-1000cc Durazno Clasico</t>
  </si>
  <si>
    <t>MATERIA PRIMA ASÉPTICO</t>
  </si>
  <si>
    <t xml:space="preserve">LOTE </t>
  </si>
  <si>
    <t>CMC KG</t>
  </si>
  <si>
    <t>Goma KG</t>
  </si>
  <si>
    <t>Ácido Cítrico KG</t>
  </si>
  <si>
    <t>Ácido Ascórbico KG</t>
  </si>
  <si>
    <t>Aroma L</t>
  </si>
  <si>
    <t>-</t>
  </si>
  <si>
    <t>ACIDO CITRICO</t>
  </si>
  <si>
    <t>AZÚCAR</t>
  </si>
  <si>
    <t>SUCRALOSA KG</t>
  </si>
  <si>
    <t>ACESULFAME KG</t>
  </si>
  <si>
    <t xml:space="preserve">ACIDO CITRICO </t>
  </si>
  <si>
    <t>PEGA TAPAS 22/07/2024</t>
  </si>
  <si>
    <t xml:space="preserve">Inicial </t>
  </si>
  <si>
    <t>Final</t>
  </si>
  <si>
    <t>Pega por tapa</t>
  </si>
  <si>
    <t>pega por caja</t>
  </si>
  <si>
    <t>Gramos/caja</t>
  </si>
  <si>
    <t>Pega pitillo 5/04/24</t>
  </si>
  <si>
    <t>PEGA TAPAS 330</t>
  </si>
  <si>
    <t>PRODUCTO</t>
  </si>
  <si>
    <t>CAJAS</t>
  </si>
  <si>
    <t>TAPAS</t>
  </si>
  <si>
    <t>TRADICIONAL</t>
  </si>
  <si>
    <t>GENERICAS</t>
  </si>
  <si>
    <t>Verde</t>
  </si>
  <si>
    <t>SIN AZÚCAR</t>
  </si>
  <si>
    <t>Rotulado Verde</t>
  </si>
  <si>
    <t>Azul Claro</t>
  </si>
  <si>
    <t>Clarificado de Manzana</t>
  </si>
  <si>
    <t>Azul Oscuro</t>
  </si>
  <si>
    <t>JUCOSA</t>
  </si>
  <si>
    <t>Blanca</t>
  </si>
  <si>
    <t xml:space="preserve">TÉ </t>
  </si>
  <si>
    <t>Jugo de Naranja 100%</t>
  </si>
  <si>
    <t xml:space="preserve">Agua de Coco </t>
  </si>
  <si>
    <t xml:space="preserve">CONVELAC  </t>
  </si>
  <si>
    <t>La Pastoreña</t>
  </si>
  <si>
    <t>PROFIT</t>
  </si>
  <si>
    <t xml:space="preserve">PREPARACIONES </t>
  </si>
  <si>
    <t>FISICO TEORICO</t>
  </si>
  <si>
    <t>FISICO REAL</t>
  </si>
  <si>
    <t>FECHA</t>
  </si>
  <si>
    <t>REPORTE. TP 250 cc L3</t>
  </si>
  <si>
    <t>REPORTE. TP 330 cc</t>
  </si>
  <si>
    <t>LINEA TBA-1000cc</t>
  </si>
  <si>
    <t>Envases TBA</t>
  </si>
  <si>
    <t>CINTA</t>
  </si>
  <si>
    <t>PEGA TAPAS</t>
  </si>
  <si>
    <t>Pega Carbopack</t>
  </si>
  <si>
    <t>Numero de Cajas Producidas</t>
  </si>
  <si>
    <t xml:space="preserve">  </t>
  </si>
  <si>
    <t>Linea TPA-250cc</t>
  </si>
  <si>
    <t>REPORTE</t>
  </si>
  <si>
    <t>Consumos por Caja TP 250cc</t>
  </si>
  <si>
    <t>Consumos por Caja TB-330cc</t>
  </si>
  <si>
    <t>Pitillos</t>
  </si>
  <si>
    <t>cajas</t>
  </si>
  <si>
    <t>polietileno</t>
  </si>
  <si>
    <t>Pega Pitillos</t>
  </si>
  <si>
    <t xml:space="preserve">Perdida Estimada </t>
  </si>
  <si>
    <t>Perdida</t>
  </si>
  <si>
    <t>Envases</t>
  </si>
  <si>
    <t>Envases TP</t>
  </si>
  <si>
    <t>Envases TB</t>
  </si>
  <si>
    <t>Tapas</t>
  </si>
  <si>
    <t>Caja</t>
  </si>
  <si>
    <t>Cajas TP</t>
  </si>
  <si>
    <t>Cinta</t>
  </si>
  <si>
    <t>Cajas TP330</t>
  </si>
  <si>
    <t>Polietileno</t>
  </si>
  <si>
    <t>Pega Tapas</t>
  </si>
  <si>
    <t xml:space="preserve">Pega Cajas </t>
  </si>
  <si>
    <t>Pega Cajas  L2</t>
  </si>
  <si>
    <t xml:space="preserve"> </t>
  </si>
  <si>
    <t>REPORTE. TB 1000 cc</t>
  </si>
  <si>
    <t>REPORTE. TB 500 cc</t>
  </si>
  <si>
    <t>Consumos por Caja TB-1000cc</t>
  </si>
  <si>
    <t>Consumos por Caja TB-500cc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</si>
  <si>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</si>
  <si>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Cajas TB </t>
  </si>
  <si>
    <t>Cajas TB</t>
  </si>
  <si>
    <t>Pega Pitillo</t>
  </si>
  <si>
    <t>REPORTE. TP 250 cc LINEA 2</t>
  </si>
  <si>
    <t>REPORTE. TP 200 cc LINEA 2</t>
  </si>
  <si>
    <t>Consumos por Caja TP 200cc</t>
  </si>
  <si>
    <t>CONSUMOS DE INSUMOS EN COMUN</t>
  </si>
  <si>
    <t>PEGA CARBOPACK</t>
  </si>
  <si>
    <t>PEGA PITILLOS</t>
  </si>
  <si>
    <t>CONTROL DE EXISTENCIAS. CABUDARE</t>
  </si>
  <si>
    <t>GERENCIA DE MANUFACTURA</t>
  </si>
  <si>
    <t>,,</t>
  </si>
  <si>
    <t>ALMACEN DE PRODUCCION ASEPTICO</t>
  </si>
  <si>
    <t>CODIGO PROFIT</t>
  </si>
  <si>
    <t>DESCRIPCION</t>
  </si>
  <si>
    <t>INV. INICIAL</t>
  </si>
  <si>
    <t>N° TRASLADO</t>
  </si>
  <si>
    <t>TOTAL ENTRADAS POR TRASLADOS 
O COMPRAS</t>
  </si>
  <si>
    <t>N° REPORTE</t>
  </si>
  <si>
    <t>Nº REPORTE</t>
  </si>
  <si>
    <t>TOTAL CONSUMOS TPA</t>
  </si>
  <si>
    <t>TOTAL CONSUMOS TBA</t>
  </si>
  <si>
    <t xml:space="preserve">TOTAL CONSUMO POR REPORTES </t>
  </si>
  <si>
    <t>TOTAL SALIDAS POR DEVOLUCION</t>
  </si>
  <si>
    <t>N° TRASLADO159</t>
  </si>
  <si>
    <t>N° TRASLADO160</t>
  </si>
  <si>
    <t>N° TRASLADO161</t>
  </si>
  <si>
    <t>N° TRASLADO162</t>
  </si>
  <si>
    <t>N° TRASLADO163</t>
  </si>
  <si>
    <t>N° TRASLADO164</t>
  </si>
  <si>
    <t>N° TRASLADO165</t>
  </si>
  <si>
    <t>N° TRASLADO166</t>
  </si>
  <si>
    <t>N° TRASLADO167</t>
  </si>
  <si>
    <t>N° TRASLADO168</t>
  </si>
  <si>
    <t>N° TRASLADO169</t>
  </si>
  <si>
    <t>N° TRASLADO170</t>
  </si>
  <si>
    <t>N° TRASLADO171</t>
  </si>
  <si>
    <t>N° TRASLADO172</t>
  </si>
  <si>
    <t>N° TRASLADO173</t>
  </si>
  <si>
    <t>TOTAL SALIDAS DE ASEPTICO a VACIO</t>
  </si>
  <si>
    <t>N° TRASLADO174</t>
  </si>
  <si>
    <t>N° TRASLADO175</t>
  </si>
  <si>
    <t>N° TRASLADO176</t>
  </si>
  <si>
    <t>N° TRASLADO177</t>
  </si>
  <si>
    <t>N° TRASLADO178</t>
  </si>
  <si>
    <t>N° TRASLADO179</t>
  </si>
  <si>
    <t>N° TRASLADO180</t>
  </si>
  <si>
    <t>N° TRASLADO181</t>
  </si>
  <si>
    <t>N° TRASLADO182</t>
  </si>
  <si>
    <t>N° TRASLADO183</t>
  </si>
  <si>
    <t>N° TRASLADO184</t>
  </si>
  <si>
    <t>N° TRASLADO185</t>
  </si>
  <si>
    <t>N° TRASLADO186</t>
  </si>
  <si>
    <t>N° TRASLADO187</t>
  </si>
  <si>
    <t>N° TRASLADO188</t>
  </si>
  <si>
    <t>TOTAL ENTRADAS DE VACIO a ASEPTICO</t>
  </si>
  <si>
    <t>N° TRASLADO189</t>
  </si>
  <si>
    <t>N° TRASLADO190</t>
  </si>
  <si>
    <t>N° TRASLADO191</t>
  </si>
  <si>
    <t>TOTAL SALIDAS POR ACTA DE DESTRUCCION</t>
  </si>
  <si>
    <t>INVENTARIO 
TEÓRICO FINAL</t>
  </si>
  <si>
    <t>INVENTARIO 
SISTEMA PROFIT</t>
  </si>
  <si>
    <t>DIFERENCIA 
TEORICO VS PROFIT</t>
  </si>
  <si>
    <t xml:space="preserve">INVENTARIO FISICO </t>
  </si>
  <si>
    <t>INVENTARIO FÍSICO</t>
  </si>
  <si>
    <t>DIFERENCIA 
FÍSICO VS TEÓRICO</t>
  </si>
  <si>
    <t xml:space="preserve">DISPONIBILIDAD EN CAJAS </t>
  </si>
  <si>
    <t xml:space="preserve">N° </t>
  </si>
  <si>
    <t>N°</t>
  </si>
  <si>
    <t>SABOR</t>
  </si>
  <si>
    <t>Nº</t>
  </si>
  <si>
    <t>Manzana Jucosa</t>
  </si>
  <si>
    <t>Pera Jucosa</t>
  </si>
  <si>
    <t>A0202001</t>
  </si>
  <si>
    <t xml:space="preserve">JUGO CONCENTRADO DE MANZANA </t>
  </si>
  <si>
    <t>PULPA DE DURAZNO IMPORTADA</t>
  </si>
  <si>
    <t>A0202002</t>
  </si>
  <si>
    <t>PULPA DE DURAZNO NACIONAL</t>
  </si>
  <si>
    <t>A0202004</t>
  </si>
  <si>
    <t>PULPA DE MANGO NACIONAL CONGEL.</t>
  </si>
  <si>
    <t>A0202005</t>
  </si>
  <si>
    <t>PULPA DE MANZANA IMPORTADA</t>
  </si>
  <si>
    <t>A0202007</t>
  </si>
  <si>
    <t>PULPA DE PERA IMPORTADA</t>
  </si>
  <si>
    <t>A0202009</t>
  </si>
  <si>
    <t>PULPA DE MANGO NACIONAL ASEP.</t>
  </si>
  <si>
    <t>A0203001</t>
  </si>
  <si>
    <t>CONCENTRADO DE NARANJA R MAY13</t>
  </si>
  <si>
    <t>CONCENTRADO DE PIÑA</t>
  </si>
  <si>
    <t>PULPA DE PARCHITA</t>
  </si>
  <si>
    <t>PULPA DE GUAYABA</t>
  </si>
  <si>
    <t>A0203004</t>
  </si>
  <si>
    <t>CONCENTRADO DE NARANJA R MEN 13</t>
  </si>
  <si>
    <t>AGUA DE COCO</t>
  </si>
  <si>
    <t>A0407001</t>
  </si>
  <si>
    <t>AZUCAR</t>
  </si>
  <si>
    <t>A0406001</t>
  </si>
  <si>
    <t>C.M.C. CARBOXIMETIL CELULOSA</t>
  </si>
  <si>
    <t>A0407003</t>
  </si>
  <si>
    <t>GOMA XANTHAN</t>
  </si>
  <si>
    <t>A0407002</t>
  </si>
  <si>
    <t>A0405001</t>
  </si>
  <si>
    <t>VITAMINA C - ACIDO ASCORBICO</t>
  </si>
  <si>
    <t>A0304001</t>
  </si>
  <si>
    <t>AROMA DE DURAZNO</t>
  </si>
  <si>
    <t>A0304002</t>
  </si>
  <si>
    <t>AROMA DE MANZANA</t>
  </si>
  <si>
    <t>A0304003</t>
  </si>
  <si>
    <t>AROMA DE PERA</t>
  </si>
  <si>
    <t>A0304004</t>
  </si>
  <si>
    <t>AROMA DE MANGO</t>
  </si>
  <si>
    <t>A0304006</t>
  </si>
  <si>
    <t>AROMA DE NARANJA</t>
  </si>
  <si>
    <t>A0407026</t>
  </si>
  <si>
    <t>A0407027</t>
  </si>
  <si>
    <t>ACESULFAME K</t>
  </si>
  <si>
    <t>ANTIESPUMANTE</t>
  </si>
  <si>
    <t>B0510002</t>
  </si>
  <si>
    <t>ENVASE DURAZNO NATULAC 250 cc UHT</t>
  </si>
  <si>
    <t>B0510004</t>
  </si>
  <si>
    <t>ENVASE MANZANA NATULAC 250 cc UHT</t>
  </si>
  <si>
    <t>B0510006</t>
  </si>
  <si>
    <t>ENVASE PERA NATULAC 250 cc UHT</t>
  </si>
  <si>
    <t>B0510012</t>
  </si>
  <si>
    <t>ENVASE NARANJADA NATULAC 250 cc UHT</t>
  </si>
  <si>
    <t>B0510046</t>
  </si>
  <si>
    <t>ENVASE NARANJA 100% NATULAC 250 cc UHT</t>
  </si>
  <si>
    <t>B0510043</t>
  </si>
  <si>
    <t>ENVASE MANZANA 100% NATULAC 250 cc UHT</t>
  </si>
  <si>
    <t>B0510042</t>
  </si>
  <si>
    <t>ENVASE AGUA DE COCO NATULAC 250 cc UHT</t>
  </si>
  <si>
    <t>B0510013</t>
  </si>
  <si>
    <t>ENVASE DURAZNO NATULAC 250 cc UHT 35%</t>
  </si>
  <si>
    <t>B0510014</t>
  </si>
  <si>
    <t>ENVASE MANZANA NATULAC 250 cc UHT 35%</t>
  </si>
  <si>
    <t>B0510015</t>
  </si>
  <si>
    <t>ENVASE PERA NATULAC 250 cc UHT 35%</t>
  </si>
  <si>
    <t>B0510018</t>
  </si>
  <si>
    <t>ENVASE DURAZNO NATULAC 1000 cc UHT</t>
  </si>
  <si>
    <t>B0510019</t>
  </si>
  <si>
    <t>ENVASE MANZANA NATULAC 1000 cc UHT</t>
  </si>
  <si>
    <t>B0510020</t>
  </si>
  <si>
    <t>ENVASE PERA NATULAC 1000 cc UHT</t>
  </si>
  <si>
    <t>B0510021</t>
  </si>
  <si>
    <t>ENVASE MANGO NATULAC 1000 cc UHT</t>
  </si>
  <si>
    <t>B0510022</t>
  </si>
  <si>
    <t>ENVASE NARANJA NATULAC 1000 cc UHT</t>
  </si>
  <si>
    <t>B0510023</t>
  </si>
  <si>
    <t>ENVASE COCTEL NATULAC 1000 cc UHT</t>
  </si>
  <si>
    <t>B0510036</t>
  </si>
  <si>
    <t>ENVASE MANZANA 100% NATULAC 1000 cc UHT</t>
  </si>
  <si>
    <t>B0510016</t>
  </si>
  <si>
    <t>ENVASE AGUA DE COCO NATULAC 1000 cc UHT</t>
  </si>
  <si>
    <t>B0510044</t>
  </si>
  <si>
    <t>ENVASE NARANJA 100% NATULAC 1000 cc UHT</t>
  </si>
  <si>
    <t>B0510054</t>
  </si>
  <si>
    <t>ENVASE TÉ NEGRO LIMÓN NATULAC 1000 cc UHT</t>
  </si>
  <si>
    <t>B0510055</t>
  </si>
  <si>
    <t>ENVASE TÉ NEGRO DURAZNO NATULAC 1000 cc UHT</t>
  </si>
  <si>
    <t>B0510057</t>
  </si>
  <si>
    <t xml:space="preserve"> DURAZNO JUCOSA 1000 cc UHT</t>
  </si>
  <si>
    <t>B0510058</t>
  </si>
  <si>
    <t xml:space="preserve"> MANZANA JUCOSA  1000 cc UHT</t>
  </si>
  <si>
    <t>B0510059</t>
  </si>
  <si>
    <t xml:space="preserve"> PERA JUCOSA  1000 cc UHT</t>
  </si>
  <si>
    <t>B0510072</t>
  </si>
  <si>
    <t>NARANAJA JUCOSA 1000 cc UHT</t>
  </si>
  <si>
    <t>B0510027</t>
  </si>
  <si>
    <t>ENVASE DURAZNO NATULAC 1000 cc UHT 35 %</t>
  </si>
  <si>
    <t>B0510028</t>
  </si>
  <si>
    <t>ENVASE MANZANA NATULAC 1000 cc UHT 35 %</t>
  </si>
  <si>
    <t>B0510029</t>
  </si>
  <si>
    <t>ENVASE PERA NATULAC 1000 cc UHT 35 %</t>
  </si>
  <si>
    <t>B0510030</t>
  </si>
  <si>
    <t>ENVASE MANGO NATULAC 1000 cc UHT 35 %</t>
  </si>
  <si>
    <t>B0510032</t>
  </si>
  <si>
    <t>ENVASE GUAYABA NATULAC 1000 cc UHT 35 %</t>
  </si>
  <si>
    <t>B0510038</t>
  </si>
  <si>
    <t>ENVASE DURAZNO NATULAC 500 cc UHT</t>
  </si>
  <si>
    <t>B0510039</t>
  </si>
  <si>
    <t>ENVASE MANZANA NATULAC 500 cc UHT</t>
  </si>
  <si>
    <t>B0510040</t>
  </si>
  <si>
    <t>ENVASE PERA NATULAC 500 cc UHT</t>
  </si>
  <si>
    <t>B0510041</t>
  </si>
  <si>
    <t>ENVASE NARANJA NATULAC 500 cc UHT</t>
  </si>
  <si>
    <t>B0510047</t>
  </si>
  <si>
    <t>ENVASE DURAZNO NATULAC 330 cc UHT</t>
  </si>
  <si>
    <t>B0510048</t>
  </si>
  <si>
    <t>ENVASE MANZANA NATULAC 330 cc UHT</t>
  </si>
  <si>
    <t>B0510049</t>
  </si>
  <si>
    <t>ENVASE PERA NATULAC 330 cc UHT</t>
  </si>
  <si>
    <t>B0510050</t>
  </si>
  <si>
    <t>ENVASE NARANJADA NATULAC 330 cc UHT </t>
  </si>
  <si>
    <t>B0510051</t>
  </si>
  <si>
    <t>ENVASE MANGO NATULAC 330 cc UHT  </t>
  </si>
  <si>
    <t>B0510063</t>
  </si>
  <si>
    <t>ENVASE MANZANA JUCOSA 200 cc UHT</t>
  </si>
  <si>
    <t>B0510064</t>
  </si>
  <si>
    <t>ENVASE PERA JUCOSA 200 cc UHT</t>
  </si>
  <si>
    <t>B0510062</t>
  </si>
  <si>
    <t>ENVASE DURAZNO JUCOSA 200 cc UHT</t>
  </si>
  <si>
    <t>B0923002</t>
  </si>
  <si>
    <t>PITILLO BLANCO TELESCOPICO P/UHT 24*250</t>
  </si>
  <si>
    <t>B0923001</t>
  </si>
  <si>
    <t>PITILLO BLANCO BASTON P/UHT 24*150</t>
  </si>
  <si>
    <t>B0613006</t>
  </si>
  <si>
    <t>TAPA HELICAP  BLUE C</t>
  </si>
  <si>
    <t>B0613005</t>
  </si>
  <si>
    <t xml:space="preserve">TAPA HELICAP GREEN </t>
  </si>
  <si>
    <t>B0613009</t>
  </si>
  <si>
    <t>TAPA HELICAP  BLUE O</t>
  </si>
  <si>
    <t>B0613007</t>
  </si>
  <si>
    <t>TAPA HELICAP  WHITE</t>
  </si>
  <si>
    <t>B0613012</t>
  </si>
  <si>
    <t xml:space="preserve">TAPA DREAMCAP  GREEN </t>
  </si>
  <si>
    <t>B0613013</t>
  </si>
  <si>
    <t>TAPA DREAMCAP   WHITE</t>
  </si>
  <si>
    <t>B0714008</t>
  </si>
  <si>
    <t>CAJA GENERICA P/UHT 24 * 250 CC</t>
  </si>
  <si>
    <t>B0714003</t>
  </si>
  <si>
    <t>CAJA GENERICA P/UHT 12 x 1000 CC SIN AZUCAR</t>
  </si>
  <si>
    <t>B0714005</t>
  </si>
  <si>
    <t>CAJA GENERICA P/UHT 12 x 500 CC</t>
  </si>
  <si>
    <t>B0714016</t>
  </si>
  <si>
    <t>CAJA GENERICA P/UHT 12 x 330 CC</t>
  </si>
  <si>
    <t>B0714012</t>
  </si>
  <si>
    <t>CAJA GENERICA P/UHT 12 x 1000 CC</t>
  </si>
  <si>
    <t>B0714006</t>
  </si>
  <si>
    <t>CAJA GENERICA P/UHT 24 * 200 CC</t>
  </si>
  <si>
    <t>B0922002</t>
  </si>
  <si>
    <t>CINTA MPM STRIP P/LCA Y UHT</t>
  </si>
  <si>
    <t>B0919001</t>
  </si>
  <si>
    <t>POLIETILENO 19,5 CM X 0,003 MIC</t>
  </si>
  <si>
    <t>B0921002</t>
  </si>
  <si>
    <t>PEGA HOT MELT  STRAW P/UHT</t>
  </si>
  <si>
    <t>B0921005</t>
  </si>
  <si>
    <t>PEGA RECAP HOT MELT P/TAPAS DE NECTAR UHT</t>
  </si>
  <si>
    <t>B0921004</t>
  </si>
  <si>
    <t>PEGA CARBOPAK P/CAJAS DE NECTAR UHT</t>
  </si>
  <si>
    <t>POLISTRECH MANUAL</t>
  </si>
  <si>
    <t>B0919011</t>
  </si>
  <si>
    <t>POLISTRECH PALETIZADO</t>
  </si>
  <si>
    <t>SODA CAÚSTICA LÍQUIDA AL 30%</t>
  </si>
  <si>
    <t>SODA CAÚSTICA LÍQUIDA AL 50%</t>
  </si>
  <si>
    <t>ÁCIDO NÍTRICO</t>
  </si>
  <si>
    <t xml:space="preserve">ÁCIDO PERACÉTICO AL 10% </t>
  </si>
  <si>
    <t>CLORO AL 5%</t>
  </si>
  <si>
    <t>JABÓN LIQUIDO NEUTRO</t>
  </si>
  <si>
    <t>ESPUMA ALCALINA CLORADA</t>
  </si>
  <si>
    <t>ESPUMA ÁCIDA</t>
  </si>
  <si>
    <t xml:space="preserve">DIELECTRICO </t>
  </si>
  <si>
    <t>PERÓXIDO DE HIDRÓGENO AL 35%</t>
  </si>
  <si>
    <t>naranja</t>
  </si>
  <si>
    <t>manzana</t>
  </si>
  <si>
    <t>pera</t>
  </si>
  <si>
    <t>DURAZNO</t>
  </si>
  <si>
    <t>CAJAS PRODUCIDAS</t>
  </si>
  <si>
    <t>PRES.</t>
  </si>
  <si>
    <t>CODIGO</t>
  </si>
  <si>
    <t>Teorico</t>
  </si>
  <si>
    <t>% Merma</t>
  </si>
  <si>
    <t>TP-250</t>
  </si>
  <si>
    <t>TB-1000</t>
  </si>
  <si>
    <t>TPA -330</t>
  </si>
  <si>
    <t>TB-500</t>
  </si>
  <si>
    <t>TP-200</t>
  </si>
  <si>
    <t>Tetra Prisma 
250 cc</t>
  </si>
  <si>
    <t>MANGO</t>
  </si>
  <si>
    <t>NARANJA</t>
  </si>
  <si>
    <t>CONSUMO DE MATERIALES EN MULTIPLES LINEAS</t>
  </si>
  <si>
    <t>COCTEL</t>
  </si>
  <si>
    <t>DECRIPCION</t>
  </si>
  <si>
    <t>CONSUMO</t>
  </si>
  <si>
    <t>TEORICO</t>
  </si>
  <si>
    <t>MERMA</t>
  </si>
  <si>
    <t>LECHE ENTERA</t>
  </si>
  <si>
    <t>LECHE DESCREMADA</t>
  </si>
  <si>
    <t>ESTANDARES DE CONSUMO (grs/caja)</t>
  </si>
  <si>
    <t>TB-100</t>
  </si>
  <si>
    <t>Tetra Brik 1000 cc</t>
  </si>
  <si>
    <t>TAPA HELICAP GREEN</t>
  </si>
  <si>
    <t>CONSUMO ME SELECTO Y PREMIUM</t>
  </si>
  <si>
    <t>SELECTO</t>
  </si>
  <si>
    <t>TAPA STREAMCAP BLUE</t>
  </si>
  <si>
    <t>PREMIUM</t>
  </si>
  <si>
    <t>TAPA SRTEAMCAP WHITE</t>
  </si>
  <si>
    <r>
      <rPr>
        <sz val="11"/>
        <color theme="1"/>
        <rFont val="Calibri"/>
        <family val="2"/>
        <scheme val="minor"/>
      </rPr>
      <t xml:space="preserve">TAPA HELICAP  BLUE </t>
    </r>
    <r>
      <rPr>
        <b/>
        <sz val="11"/>
        <color theme="1"/>
        <rFont val="Calibri"/>
        <family val="2"/>
        <scheme val="minor"/>
      </rPr>
      <t>O</t>
    </r>
  </si>
  <si>
    <t>TBA-500CC</t>
  </si>
  <si>
    <t>TBA-330CC</t>
  </si>
  <si>
    <t>TPA-200CC</t>
  </si>
  <si>
    <t>TPA</t>
  </si>
  <si>
    <t>TBA-1000</t>
  </si>
  <si>
    <t>TBA-500</t>
  </si>
  <si>
    <t>TPA -200</t>
  </si>
  <si>
    <t>NARANJADA</t>
  </si>
  <si>
    <t>DURAZNO 35%</t>
  </si>
  <si>
    <t>MANZANA 35%</t>
  </si>
  <si>
    <t>PERA 35%</t>
  </si>
  <si>
    <t xml:space="preserve">MANGO </t>
  </si>
  <si>
    <t>MANGO 35%</t>
  </si>
  <si>
    <t>GUAYABA 35%</t>
  </si>
  <si>
    <t>NARANJA 100%</t>
  </si>
  <si>
    <t>ENVASE NARANJA 100% NATULAC</t>
  </si>
  <si>
    <t>TÉ DE LIMÓN</t>
  </si>
  <si>
    <t>TÉ DE DURAZNO</t>
  </si>
  <si>
    <t>JUCOSA DURAZNO</t>
  </si>
  <si>
    <t>JUCOSA MANZANA</t>
  </si>
  <si>
    <t>JUCOSA PERA</t>
  </si>
  <si>
    <t>JUCOSA NARANJA</t>
  </si>
  <si>
    <t>PESO DE CORES Y CAJAS</t>
  </si>
  <si>
    <t>CALCULO DE ENVASES TP 250 cc</t>
  </si>
  <si>
    <t>CALCULO DE ENVASES TP 200 cc</t>
  </si>
  <si>
    <t>CALCULO DE ENVASES TB 1000 cc</t>
  </si>
  <si>
    <t>TAPAS TBA 1000</t>
  </si>
  <si>
    <t xml:space="preserve">PEGA TAPA </t>
  </si>
  <si>
    <t>PEGA PITILLO</t>
  </si>
  <si>
    <t>Core Cinta MPM</t>
  </si>
  <si>
    <t>0,22 Kg</t>
  </si>
  <si>
    <t>Diámetro del Core (cm)</t>
  </si>
  <si>
    <t>Peso de tapas (Kg)</t>
  </si>
  <si>
    <t>Und. Pega Ancho (cm)</t>
  </si>
  <si>
    <t>Core Polietileno SURDECA</t>
  </si>
  <si>
    <t>0,50 Kg</t>
  </si>
  <si>
    <t>Distancia de Bobina al Core (cm)</t>
  </si>
  <si>
    <t>peso de la caja (Kg)</t>
  </si>
  <si>
    <t>Und. Pega Alto (cm)</t>
  </si>
  <si>
    <t xml:space="preserve">Saco Vacío de Pegas </t>
  </si>
  <si>
    <t>0,15 Kg</t>
  </si>
  <si>
    <t>Espesor del Envase (cm)</t>
  </si>
  <si>
    <t>peso de unidad (g)</t>
  </si>
  <si>
    <t>Und. Pega Profundo (cm)</t>
  </si>
  <si>
    <t>Tambor Vacío de Pegas</t>
  </si>
  <si>
    <t>2,70 Kg</t>
  </si>
  <si>
    <t>Largo del Envase (cm)</t>
  </si>
  <si>
    <t>Largo de envase (cm)</t>
  </si>
  <si>
    <t>Volumen del Cubo (mL)</t>
  </si>
  <si>
    <t>Caja de Tapas Vacía</t>
  </si>
  <si>
    <t>0,78 kg</t>
  </si>
  <si>
    <t>Peso de la bobina</t>
  </si>
  <si>
    <t>Capacidad ud de Pega Pitillo y Tapa</t>
  </si>
  <si>
    <t>4 L</t>
  </si>
  <si>
    <t>Número de Envases</t>
  </si>
  <si>
    <t>Número de tapas</t>
  </si>
  <si>
    <t>Numeros de Cubos</t>
  </si>
  <si>
    <t>Numeros de ENVASES</t>
  </si>
  <si>
    <t>Capacidad ud de Pega Caja</t>
  </si>
  <si>
    <t>10 L</t>
  </si>
  <si>
    <t xml:space="preserve">Peso Total </t>
  </si>
  <si>
    <t>Envase TB</t>
  </si>
  <si>
    <t>32,5 g</t>
  </si>
  <si>
    <t>Core TB(Envase)</t>
  </si>
  <si>
    <t>0,90 Kg</t>
  </si>
  <si>
    <t>CALCULO DE ENVASES TB 500 cc</t>
  </si>
  <si>
    <t>Core TP(ENVASES)</t>
  </si>
  <si>
    <t>0,53 Kg</t>
  </si>
  <si>
    <t>CAJA DE PITILLOS 32.000 unid  MEGABOX</t>
  </si>
  <si>
    <t xml:space="preserve">Cinta MPM </t>
  </si>
  <si>
    <t>PEGA CAJA</t>
  </si>
  <si>
    <t>PESO TARA ENV LITRO</t>
  </si>
  <si>
    <t>Envase TP</t>
  </si>
  <si>
    <t>10,4 g</t>
  </si>
  <si>
    <t>Peso de Caja (Kg)</t>
  </si>
  <si>
    <t>TAPA HELICAP</t>
  </si>
  <si>
    <t>3,8  G</t>
  </si>
  <si>
    <t>Peso Unidad (grs)</t>
  </si>
  <si>
    <t>Cinta MPM (uds)</t>
  </si>
  <si>
    <t>CORE LITRO</t>
  </si>
  <si>
    <t>FACTOR SLIM CINTA</t>
  </si>
  <si>
    <t>Caja Vacía (Kg)</t>
  </si>
  <si>
    <t>Porcentaje en el rollo</t>
  </si>
  <si>
    <t>TC CINTA</t>
  </si>
  <si>
    <t>CORE TP</t>
  </si>
  <si>
    <t>PITILLO ARVEVID</t>
  </si>
  <si>
    <t>Peso unitario (Kg)</t>
  </si>
  <si>
    <t>POLIETILENO SURDECA</t>
  </si>
  <si>
    <t>15,6 gr/caja</t>
  </si>
  <si>
    <t>Peso Total (Kg)</t>
  </si>
  <si>
    <t>PESO TARA ENVTPA</t>
  </si>
  <si>
    <t>POLIETILENO GUAICAIPURO</t>
  </si>
  <si>
    <t>16,1 gr/caja</t>
  </si>
  <si>
    <t>Pitillos en Caja en Uso</t>
  </si>
  <si>
    <t>CAJA DE PITILLOS SELVA</t>
  </si>
  <si>
    <t>1,1 KG</t>
  </si>
  <si>
    <t>CALCULO DE ENVASES TP 330 cc</t>
  </si>
  <si>
    <t>Envase 330</t>
  </si>
  <si>
    <t>12,6 g</t>
  </si>
  <si>
    <t>TAPAS TPA 330</t>
  </si>
  <si>
    <t xml:space="preserve">Peso pitillo selva </t>
  </si>
  <si>
    <t>Diámetro interno del Core (cm)</t>
  </si>
  <si>
    <t>Peso pitillo MegaBox</t>
  </si>
  <si>
    <t>CAJAS TP POR MEDIDA</t>
  </si>
  <si>
    <t>3,2CM  = 10 CAJAS</t>
  </si>
  <si>
    <t>10 CM = 35 CAJAS TBA</t>
  </si>
  <si>
    <t>envases tba 38,4cm=5000unid</t>
  </si>
  <si>
    <t>polistrech</t>
  </si>
  <si>
    <t xml:space="preserve">24 unid cada camada </t>
  </si>
  <si>
    <t>16kg cada rollo</t>
  </si>
  <si>
    <t>Manzana/Pera</t>
  </si>
  <si>
    <t>CONSUMO DE PULPAS PARA REPORTES</t>
  </si>
  <si>
    <t>PULPAS PARA COCTEL</t>
  </si>
  <si>
    <t>PULPAS NACIONALES</t>
  </si>
  <si>
    <t>CONCENTRADOS DE NARANJA</t>
  </si>
  <si>
    <t>PULPA DE GUAYABA (KG)</t>
  </si>
  <si>
    <t>PULPA DE PARCHITA (KG)</t>
  </si>
  <si>
    <t>CONCENTRADO DE NARANJA (KG)</t>
  </si>
  <si>
    <t>DURAZNO (KG)</t>
  </si>
  <si>
    <t>MANGO (KG)</t>
  </si>
  <si>
    <t>MULTIFRUIT</t>
  </si>
  <si>
    <t>TAMBORES</t>
  </si>
  <si>
    <t>PULPAS</t>
  </si>
  <si>
    <t>PESO POR TAMBOR (KG)</t>
  </si>
  <si>
    <t xml:space="preserve">PROGRAMACION </t>
  </si>
  <si>
    <t>TPA-250cc</t>
  </si>
  <si>
    <t>TPA-200cc</t>
  </si>
  <si>
    <t>TPA-330cc</t>
  </si>
  <si>
    <t xml:space="preserve">GUAYABA </t>
  </si>
  <si>
    <t>Cant. en Litros</t>
  </si>
  <si>
    <t>Tambores por presentación</t>
  </si>
  <si>
    <t xml:space="preserve">PARCHITA </t>
  </si>
  <si>
    <t>Tambores a solicitar</t>
  </si>
  <si>
    <t xml:space="preserve">DURAZNO </t>
  </si>
  <si>
    <t>Velocidades</t>
  </si>
  <si>
    <t>Horas de Producción</t>
  </si>
  <si>
    <t>KIT</t>
  </si>
  <si>
    <t>TE DE LIMON</t>
  </si>
  <si>
    <t>TE DE DURAZNO</t>
  </si>
  <si>
    <t>Extracto de té 270CWS</t>
  </si>
  <si>
    <t>KG</t>
  </si>
  <si>
    <t>Extracto de té 2850CWS</t>
  </si>
  <si>
    <t>Azúcar</t>
  </si>
  <si>
    <t>Acido Citrico</t>
  </si>
  <si>
    <t>Acido Ascorbico</t>
  </si>
  <si>
    <t>Sucralosa</t>
  </si>
  <si>
    <t>Acesulfame</t>
  </si>
  <si>
    <t xml:space="preserve">Aroma </t>
  </si>
  <si>
    <t xml:space="preserve">Antiespumante </t>
  </si>
  <si>
    <t>Agua</t>
  </si>
  <si>
    <t>Cantidad de cajas por solicitud</t>
  </si>
  <si>
    <t>4 Dzno</t>
  </si>
  <si>
    <t>1 TAMBOR</t>
  </si>
  <si>
    <t>Color Onoto</t>
  </si>
  <si>
    <t>CONVERSIONES</t>
  </si>
  <si>
    <t>TPA-200</t>
  </si>
  <si>
    <t>Volumen total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</si>
  <si>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</si>
  <si>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</t>
  </si>
  <si>
    <t>TBA-200cc</t>
  </si>
  <si>
    <t>Naranja 100%</t>
  </si>
  <si>
    <t>Piña 100%</t>
  </si>
  <si>
    <t>Pectina</t>
  </si>
  <si>
    <t>PITILLO ARCEVI</t>
  </si>
  <si>
    <t>Descripcion</t>
  </si>
  <si>
    <t>peso</t>
  </si>
  <si>
    <t>13 unidades</t>
  </si>
  <si>
    <t>Peso de cada pitillo</t>
  </si>
  <si>
    <t xml:space="preserve">Caja llena </t>
  </si>
  <si>
    <t>14,6 kg</t>
  </si>
  <si>
    <t>caja vacía</t>
  </si>
  <si>
    <t>2,30 kg</t>
  </si>
  <si>
    <t>9 DE 3  /  1 DE 1</t>
  </si>
  <si>
    <t>9 DE 3  / 1 DE 1</t>
  </si>
  <si>
    <t>Material de Envase Aseptico</t>
  </si>
  <si>
    <t>Descripción</t>
  </si>
  <si>
    <t>Lote</t>
  </si>
  <si>
    <t>Cantidad</t>
  </si>
  <si>
    <t xml:space="preserve">Env. TBA-1000cc Jucosa  Manzana </t>
  </si>
  <si>
    <t>Env. TBA-1000cc Jucosa  Pera</t>
  </si>
  <si>
    <t xml:space="preserve">Env. TPA-250cc Manzana Clasica </t>
  </si>
  <si>
    <t>LOTE_INICIAL</t>
  </si>
  <si>
    <t>Nja Jucosa</t>
  </si>
  <si>
    <t>Concentrado</t>
  </si>
  <si>
    <t>Azùcar</t>
  </si>
  <si>
    <t>GOMA</t>
  </si>
  <si>
    <t>AC CITRICO</t>
  </si>
  <si>
    <t>AC ASC</t>
  </si>
  <si>
    <t>ANTIESP</t>
  </si>
  <si>
    <t>ONOTO</t>
  </si>
  <si>
    <t>AGUA</t>
  </si>
  <si>
    <t>AROMA</t>
  </si>
  <si>
    <t>volumen</t>
  </si>
  <si>
    <t>DIF</t>
  </si>
  <si>
    <t>1 SACO</t>
  </si>
  <si>
    <t>SIN AROMA</t>
  </si>
  <si>
    <t>SIN ACIDO CIT</t>
  </si>
  <si>
    <t>Env. TPA-250cc Pera Clásica</t>
  </si>
  <si>
    <t xml:space="preserve">Env. TBA-1000cc Pera Clásica </t>
  </si>
  <si>
    <t>723-24</t>
  </si>
  <si>
    <t>Total</t>
  </si>
  <si>
    <t>Env. TPA-250cc Naranjada</t>
  </si>
  <si>
    <t>303-24</t>
  </si>
  <si>
    <t>Env. TBA-1000cc Naranjada</t>
  </si>
  <si>
    <t>60764 unid</t>
  </si>
  <si>
    <t>PITILLOS ARCEVID</t>
  </si>
  <si>
    <t>ACIDO ASCORBICO MULTIFRUIT</t>
  </si>
  <si>
    <t>415-16</t>
  </si>
  <si>
    <t xml:space="preserve">Aroma De Manzana </t>
  </si>
  <si>
    <t>Aroma De Pera</t>
  </si>
  <si>
    <t>Env. TBA-1000cc Manzana Clasica</t>
  </si>
  <si>
    <t>724-24</t>
  </si>
  <si>
    <r>
      <t xml:space="preserve">64.151 Unid   </t>
    </r>
    <r>
      <rPr>
        <b/>
        <sz val="48"/>
        <color theme="1"/>
        <rFont val="Calibri"/>
        <family val="2"/>
        <scheme val="minor"/>
      </rPr>
      <t>(28901 + 35250)</t>
    </r>
  </si>
  <si>
    <t xml:space="preserve"> 19.321 Unid</t>
  </si>
  <si>
    <t>776-24</t>
  </si>
  <si>
    <t>743-24</t>
  </si>
  <si>
    <r>
      <t xml:space="preserve">109.800 + 46.514 =            </t>
    </r>
    <r>
      <rPr>
        <b/>
        <sz val="72"/>
        <color theme="1"/>
        <rFont val="Calibri"/>
        <family val="2"/>
        <scheme val="minor"/>
      </rPr>
      <t>156.314 Unid</t>
    </r>
  </si>
  <si>
    <t>Lote inicial</t>
  </si>
  <si>
    <t>772-24</t>
  </si>
  <si>
    <t>79.434 unid</t>
  </si>
  <si>
    <t>742-24</t>
  </si>
  <si>
    <t>715-24</t>
  </si>
  <si>
    <t>774-24</t>
  </si>
  <si>
    <t xml:space="preserve">Env. TPA-200cc Jucosa  Manzana </t>
  </si>
  <si>
    <t>757-24</t>
  </si>
  <si>
    <t>Env. TPA-200cc Jucosa  Pera</t>
  </si>
  <si>
    <t>756-24</t>
  </si>
  <si>
    <t>CAJA DE PITILLOS 25.000 unid SELVA/FANTASTI</t>
  </si>
  <si>
    <t>PERA 0,5</t>
  </si>
  <si>
    <t>PITILLO ARCEVID</t>
  </si>
  <si>
    <t>TBA-500cc</t>
  </si>
  <si>
    <t>Pega Recap</t>
  </si>
  <si>
    <t>Insumo</t>
  </si>
  <si>
    <t>Cantidad en g/caja</t>
  </si>
  <si>
    <t xml:space="preserve">Presentaciones  </t>
  </si>
  <si>
    <t>TBA-1000cc</t>
  </si>
  <si>
    <t xml:space="preserve">TPA-250cc </t>
  </si>
  <si>
    <t xml:space="preserve">TPA-200cc </t>
  </si>
  <si>
    <t xml:space="preserve">TPA-330cc </t>
  </si>
  <si>
    <t>Polietileno Teleplastic</t>
  </si>
  <si>
    <t>14,8 g/caja</t>
  </si>
  <si>
    <t>Carboximetil celulosa</t>
  </si>
  <si>
    <t>Goma xanthan</t>
  </si>
  <si>
    <t>Cantidad por lote</t>
  </si>
  <si>
    <t>NARANJA TICOFRUT</t>
  </si>
  <si>
    <t>PIÑA TICOFRUT</t>
  </si>
  <si>
    <t xml:space="preserve">Cantidad a solicitar </t>
  </si>
  <si>
    <t>Extracto  té negro 270CWS</t>
  </si>
  <si>
    <t>Extracto  té negro 2850CWS</t>
  </si>
  <si>
    <t>Velocidades L/H</t>
  </si>
  <si>
    <t>079-25</t>
  </si>
  <si>
    <t>2 de 1/2</t>
  </si>
  <si>
    <t>JUCOSA PERA 2 DE 1/2 TAMBOR</t>
  </si>
  <si>
    <t>JUCOSA MANZANA 3 DE 1 + 2 DE 1/2</t>
  </si>
  <si>
    <t>DURAZNO 6 TAMBORES</t>
  </si>
  <si>
    <t>NARANJADA 6 TAMBORES</t>
  </si>
  <si>
    <t>+</t>
  </si>
  <si>
    <t xml:space="preserve"> 3 DE 1 + 2 DE 1/2</t>
  </si>
  <si>
    <t>2 de 3</t>
  </si>
  <si>
    <t>2 de 2 + 2 de 1</t>
  </si>
  <si>
    <t xml:space="preserve">   </t>
  </si>
  <si>
    <t>391-25</t>
  </si>
  <si>
    <t>MANZANA CLASICA 52 TAMBORES</t>
  </si>
  <si>
    <t>17 de 3 + 1 de 1</t>
  </si>
  <si>
    <t>PERA CLASICA 26</t>
  </si>
  <si>
    <t>8 de 3 + 1 de 2</t>
  </si>
  <si>
    <t>4 de 25 + 5,6 + 1,7</t>
  </si>
  <si>
    <t>4850+ 15</t>
  </si>
  <si>
    <t>Faltantes</t>
  </si>
  <si>
    <t>Mermas</t>
  </si>
  <si>
    <t>Linea 1</t>
  </si>
  <si>
    <t>Linea 2</t>
  </si>
  <si>
    <t>Linea 3</t>
  </si>
  <si>
    <t>Cajas</t>
  </si>
  <si>
    <t>Presentacion</t>
  </si>
  <si>
    <t>env teoricos</t>
  </si>
  <si>
    <t>perdida plms</t>
  </si>
  <si>
    <t>% Cajas por l</t>
  </si>
  <si>
    <t>mermas x sem</t>
  </si>
  <si>
    <t>Teori</t>
  </si>
  <si>
    <t>Cons</t>
  </si>
  <si>
    <t>%</t>
  </si>
  <si>
    <t xml:space="preserve">linea </t>
  </si>
  <si>
    <t>% PLMS</t>
  </si>
  <si>
    <t>% Prod x lin</t>
  </si>
  <si>
    <t>perdida</t>
  </si>
  <si>
    <t>% Prod x M</t>
  </si>
  <si>
    <t>381-25</t>
  </si>
  <si>
    <t>60000+950</t>
  </si>
  <si>
    <t>25+23,6</t>
  </si>
  <si>
    <t>427-25</t>
  </si>
  <si>
    <t>424-25</t>
  </si>
  <si>
    <t>382-25</t>
  </si>
  <si>
    <t>438-25</t>
  </si>
  <si>
    <t>28,79+16,81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</si>
  <si>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</si>
  <si>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</si>
  <si>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</si>
  <si>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</si>
  <si>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</si>
  <si>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</si>
  <si>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</si>
  <si>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</si>
  <si>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</si>
  <si>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</si>
  <si>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Litros</t>
  </si>
  <si>
    <t>Total H</t>
  </si>
  <si>
    <t>Litros2</t>
  </si>
  <si>
    <t>Litros Totales</t>
  </si>
  <si>
    <t>Horas Mtto</t>
  </si>
  <si>
    <t>Litros Mtto</t>
  </si>
  <si>
    <t>Horas Prod</t>
  </si>
  <si>
    <t>Litros P</t>
  </si>
  <si>
    <t>Horas Prod.</t>
  </si>
  <si>
    <t>Litros Prod.</t>
  </si>
  <si>
    <t>521-25</t>
  </si>
  <si>
    <t>495-25</t>
  </si>
  <si>
    <t>Aroma de Durazno</t>
  </si>
  <si>
    <t>129-25</t>
  </si>
  <si>
    <t>423-25</t>
  </si>
  <si>
    <t>422-25</t>
  </si>
  <si>
    <t>Naranjada Aroma</t>
  </si>
  <si>
    <t>Naranjada Aceite</t>
  </si>
  <si>
    <t>COTOPERI</t>
  </si>
  <si>
    <t>Naranja Jucosa</t>
  </si>
  <si>
    <t>Aroma/ Aceite
(Litros)</t>
  </si>
  <si>
    <t>Coctel Dzno</t>
  </si>
  <si>
    <t>PULPA DE DURAZNO</t>
  </si>
  <si>
    <t>NARANAJA COTOPERI</t>
  </si>
  <si>
    <t>Pulpa Manzana</t>
  </si>
  <si>
    <t>Pulpa Pera</t>
  </si>
  <si>
    <t>Pulpa Durazno</t>
  </si>
  <si>
    <t>728-25</t>
  </si>
  <si>
    <t>Envases TBA-1000cc Manzana Jucosa</t>
  </si>
  <si>
    <t>Envases TBA-1000 Pera Jucosa</t>
  </si>
  <si>
    <t>Envases TBA-1000 Guayaba 35%</t>
  </si>
  <si>
    <t>Envases TBA-1000 Manzana</t>
  </si>
  <si>
    <t>Envases TBA-1000 Pera</t>
  </si>
  <si>
    <t>TPA-250</t>
  </si>
  <si>
    <t>Kit</t>
  </si>
  <si>
    <t>Inv. Inicial (Adempiere)</t>
  </si>
  <si>
    <t>Inventario Final (Fisico)</t>
  </si>
  <si>
    <t>Cantidad Teorica (Cajas prod)</t>
  </si>
  <si>
    <t>% de Perdida</t>
  </si>
  <si>
    <t>Envases por caja</t>
  </si>
  <si>
    <t>TPA-330</t>
  </si>
  <si>
    <t>REPORTES DE PRODUCCIÓN</t>
  </si>
  <si>
    <t>ENVASE COCTEL 1000 CC</t>
  </si>
  <si>
    <t>ENVASE MANGO 1000  CC</t>
  </si>
  <si>
    <t xml:space="preserve"> ENVASE PERA JUCOSA 1000 CC</t>
  </si>
  <si>
    <t>ENVASE JUCOSA DURAZNO 200 CC</t>
  </si>
  <si>
    <t>Calculo de Concentrado de Naranja Cotoperi</t>
  </si>
  <si>
    <t>Volumen</t>
  </si>
  <si>
    <t>En función del Forecast</t>
  </si>
  <si>
    <t>Naranjada</t>
  </si>
  <si>
    <t>Coctel</t>
  </si>
  <si>
    <t>Q1</t>
  </si>
  <si>
    <t>Jucosa Naranja</t>
  </si>
  <si>
    <t>Presentación</t>
  </si>
  <si>
    <t>Forecast</t>
  </si>
  <si>
    <t>Inv. Inicial</t>
  </si>
  <si>
    <t>Pend. Prod</t>
  </si>
  <si>
    <t>Tambores</t>
  </si>
  <si>
    <t>TOTAL Q1</t>
  </si>
  <si>
    <t>Condicion</t>
  </si>
  <si>
    <t>Planta de Fabricacion</t>
  </si>
  <si>
    <t>Clase de Producto</t>
  </si>
  <si>
    <t>Clasif de Producto</t>
  </si>
  <si>
    <t>Código</t>
  </si>
  <si>
    <t>Nombre</t>
  </si>
  <si>
    <t>FORECAST  FEBRERO 2026</t>
  </si>
  <si>
    <t>FORECAST OP  2025</t>
  </si>
  <si>
    <t>VENTA / DIA</t>
  </si>
  <si>
    <t>MINIMO 7 DIAS</t>
  </si>
  <si>
    <t>MEDIO</t>
  </si>
  <si>
    <t>MAXIMO 20 DIAS</t>
  </si>
  <si>
    <t>INVENTARIO INICIAL</t>
  </si>
  <si>
    <t>ENTRADAS (PROD)</t>
  </si>
  <si>
    <t>SALIDAS (VENTA TOTAL)</t>
  </si>
  <si>
    <t>SALIDAS (VENTA FARMATODO)</t>
  </si>
  <si>
    <t>INVENTARIO FINAL</t>
  </si>
  <si>
    <t>INVENTARIO FINAL (FARMATODO)</t>
  </si>
  <si>
    <t>VENTA PENDIENTE</t>
  </si>
  <si>
    <t>PRODUCCION PENDIENTE</t>
  </si>
  <si>
    <t>DIAS DE INVENTARIOS PARA LA VENTA</t>
  </si>
  <si>
    <t>STATUS</t>
  </si>
  <si>
    <t>Liberado</t>
  </si>
  <si>
    <t>Dias de Inventario</t>
  </si>
  <si>
    <t>Bloqueado</t>
  </si>
  <si>
    <t>INACTIVO</t>
  </si>
  <si>
    <t>PLANTA CABUDARE</t>
  </si>
  <si>
    <t>CLASICO</t>
  </si>
  <si>
    <t>ALUMINIO 340</t>
  </si>
  <si>
    <t>PT1000001</t>
  </si>
  <si>
    <t>NECTAR DE DURAZNO ALUMINIO 340 CM3 X 24</t>
  </si>
  <si>
    <t>PT1000002</t>
  </si>
  <si>
    <t>NECTAR DE MANZANA ALUMINIO 340 CM3 X 24</t>
  </si>
  <si>
    <t>PT1000003</t>
  </si>
  <si>
    <t>NECTAR DE PERA ALUMINIO 340 CM3 X 24</t>
  </si>
  <si>
    <t>PT1000004</t>
  </si>
  <si>
    <t>NARANJADA ALUMINIO 340 CM3 X 24</t>
  </si>
  <si>
    <t>PT1000005</t>
  </si>
  <si>
    <t>COCTEL DE FRUTAS ALUMINIO 340 CM3 X 24</t>
  </si>
  <si>
    <t>PT1000006</t>
  </si>
  <si>
    <t>NECTAR DE MANGO ALUMINIO 340 CM3 X 24</t>
  </si>
  <si>
    <t>PT1000007</t>
  </si>
  <si>
    <t>NECTAR DE GUAYABA ALUMINIO 340 CM3 X 24</t>
  </si>
  <si>
    <t>PT1000008</t>
  </si>
  <si>
    <t>NECTAR DE TAMARINDO ALUMINIO 340 CM3 X 24</t>
  </si>
  <si>
    <t xml:space="preserve">ACTIVO </t>
  </si>
  <si>
    <t>VIDRIO 250</t>
  </si>
  <si>
    <t>PT1100001</t>
  </si>
  <si>
    <t>NECTAR DE DURAZNO VIDRIO 250 CM3 X 24</t>
  </si>
  <si>
    <t>PT1100002</t>
  </si>
  <si>
    <t>NECTAR DE MANZANA VIDRIO 250 CM3 X 24</t>
  </si>
  <si>
    <t>PT1100003</t>
  </si>
  <si>
    <t>NECTAR DE PERA VIDRIO 250 CM3 X 24</t>
  </si>
  <si>
    <t>PT1100004</t>
  </si>
  <si>
    <t>NARANJADA VIDRIO 250 CM3 X 24</t>
  </si>
  <si>
    <t>PT1100005</t>
  </si>
  <si>
    <t>COCTEL DE FRUTAS VIDRIO 250 CM3 X 24</t>
  </si>
  <si>
    <t>PT1100006</t>
  </si>
  <si>
    <t>NECTAR DE MANGO VIDRIO 250 CM3 X 24</t>
  </si>
  <si>
    <t>PT1100007</t>
  </si>
  <si>
    <t>NECTAR DE GUAYABA VIDRIO 250 CM3 X 24</t>
  </si>
  <si>
    <t>PT1100008</t>
  </si>
  <si>
    <t>NECTAR DE TAMARINDO VIDRIO 250 CM3 X 24</t>
  </si>
  <si>
    <t>JUGO 100%</t>
  </si>
  <si>
    <t>PT1102001</t>
  </si>
  <si>
    <t>JUGO DE MANZANA 100% VIDRIO 250 CM3 X 24</t>
  </si>
  <si>
    <t>PT1103001</t>
  </si>
  <si>
    <t>NECTAR DE MANGO TWINS VIDRIO 250 CM3 X 24</t>
  </si>
  <si>
    <t>PT1103002</t>
  </si>
  <si>
    <t>NECTAR DE DURAZNO TWINS VIDRIO 250 CM3 X 24</t>
  </si>
  <si>
    <t>PT1103003</t>
  </si>
  <si>
    <t>NECTAR DE MANZANA TWINS VIDRIO 250 CM3 X 24</t>
  </si>
  <si>
    <t>PT1103004</t>
  </si>
  <si>
    <t>NECTAR DE PERA TWINS VIDRIO 250 CM3 X 24</t>
  </si>
  <si>
    <t>VIDRIO 1000</t>
  </si>
  <si>
    <t>PT1200001</t>
  </si>
  <si>
    <t>NECTAR DE DURAZNO VIDRIO 1000 CM3 X 12</t>
  </si>
  <si>
    <t>PT1200002</t>
  </si>
  <si>
    <t>NECTAR DE MANZANA VIDRIO 1000 CM3 X 12</t>
  </si>
  <si>
    <t>PT1200003</t>
  </si>
  <si>
    <t>NECTAR DE PERA VIDRIO 1000 CM3 X 12</t>
  </si>
  <si>
    <t>PT1200004</t>
  </si>
  <si>
    <t>NARANJADA VIDRIO 1000 CM3 X 12</t>
  </si>
  <si>
    <t>PT1200005</t>
  </si>
  <si>
    <t>COCTEL DE FRUTAS VIDRIO 1000 CM3 X 12</t>
  </si>
  <si>
    <t>PT1200006</t>
  </si>
  <si>
    <t>NECTAR DE MANGO VIDRIO 1000 CM3 X 12</t>
  </si>
  <si>
    <t>PT1200007</t>
  </si>
  <si>
    <t>NECTAR DE GUAYABA VIDRIO 1000 CM3 X 12</t>
  </si>
  <si>
    <t>ACTIVO</t>
  </si>
  <si>
    <t>TBA 1000</t>
  </si>
  <si>
    <t>PT1300001</t>
  </si>
  <si>
    <t>NECTAR DE DURAZNO TBA 1000 CM3 X 12</t>
  </si>
  <si>
    <t>PT1300002</t>
  </si>
  <si>
    <t>NECTAR DE MANZANA TBA 1000 CM3 X 12</t>
  </si>
  <si>
    <t>PT1300003</t>
  </si>
  <si>
    <t>NECTAR DE PERA TBA 1000 CM3 X 12</t>
  </si>
  <si>
    <t>PT1300004</t>
  </si>
  <si>
    <t>NARANJADA TBA 1000 CM3 X 12</t>
  </si>
  <si>
    <t>PT1300005</t>
  </si>
  <si>
    <t>COCTEL DE FRUTAS TBA 1000 CM3 X 12</t>
  </si>
  <si>
    <t>PT1300006</t>
  </si>
  <si>
    <t>NECTAR DE MANGO TBA 1000 CM3 X 12</t>
  </si>
  <si>
    <t>TE NEGRO</t>
  </si>
  <si>
    <t>PT1300009</t>
  </si>
  <si>
    <t>TE NEGRO DE DURAZNO TBA 1000  CM3 X 12</t>
  </si>
  <si>
    <t>PT1300010</t>
  </si>
  <si>
    <t>TE NEGRO DE LIMON TBA 1000 CM3 X 12</t>
  </si>
  <si>
    <t>SIN AZUCAR</t>
  </si>
  <si>
    <t>PT1301001</t>
  </si>
  <si>
    <t>NECTAR DE DURAZNO S/A TBA 1000 CM3 X 12</t>
  </si>
  <si>
    <t>PT1301002</t>
  </si>
  <si>
    <t>NECTAR DE MANZANA S/A TBA 1000 CM3 X 12</t>
  </si>
  <si>
    <t>PT1301003</t>
  </si>
  <si>
    <t>NECTAR DE PERA S/A TBA 1000 CM3 X 12</t>
  </si>
  <si>
    <t>PT1301006</t>
  </si>
  <si>
    <t>NECTAR DE MANGO S/A TBA 1000 CM3 X 12</t>
  </si>
  <si>
    <t>PT1301007</t>
  </si>
  <si>
    <t>NECTAR DE GUAYABA S/A TBA 1000 CM3 X 12</t>
  </si>
  <si>
    <t>PT1302001</t>
  </si>
  <si>
    <t>JUGO DE MANZANA 100% TBA 1000 CM3 X 12</t>
  </si>
  <si>
    <t>PT1302002</t>
  </si>
  <si>
    <t>JUGO DE NARANJA 100% TBA 1000 CM3 X 12</t>
  </si>
  <si>
    <t>PT1302003</t>
  </si>
  <si>
    <t>AGUA DE COCO TBA 1000 CM3 X 12</t>
  </si>
  <si>
    <t>TBA 500</t>
  </si>
  <si>
    <t>PT1400001</t>
  </si>
  <si>
    <t>NECTAR DE DURAZNO TBA 500 CM3 X 12</t>
  </si>
  <si>
    <t>PT1400002</t>
  </si>
  <si>
    <t>NECTAR DE MANZANA TBA 500 CM3 X 12</t>
  </si>
  <si>
    <t>PT1400003</t>
  </si>
  <si>
    <t>NECTAR DE PERA TBA 500 CM3 X 12</t>
  </si>
  <si>
    <t>PT1400004</t>
  </si>
  <si>
    <t>NARANJADA TBA 500 CM3 X 12</t>
  </si>
  <si>
    <t>PT1400009</t>
  </si>
  <si>
    <t>TE NEGRO DE DURAZNO TBA 500 CM3 X 12</t>
  </si>
  <si>
    <t>PT1400010</t>
  </si>
  <si>
    <t>TE NEGRO DE LIMON TBA 500 CM3 X 12</t>
  </si>
  <si>
    <t>TPA 250</t>
  </si>
  <si>
    <t>PT1500001</t>
  </si>
  <si>
    <t>NECTAR DE DURAZNO TPA 250 CM3 X 24 (THREE PACK)</t>
  </si>
  <si>
    <t>PT1500002</t>
  </si>
  <si>
    <t>NECTAR DE MANZANA TPA 250 CM3 X 24 (THREE PACK)</t>
  </si>
  <si>
    <t>PT1500003</t>
  </si>
  <si>
    <t>NECTAR DE PERA TPA 250 CM3 X 24 (THREE PACK)</t>
  </si>
  <si>
    <t>PT1500004</t>
  </si>
  <si>
    <t>NARANJADA TPA 250 CM3 X 24 (THREE PACK)</t>
  </si>
  <si>
    <t>PT1501001</t>
  </si>
  <si>
    <t>NECTAR DE DURAZNO S/A TPA 250 CM3 X 24 (THREE PACK)</t>
  </si>
  <si>
    <t>PT1501002</t>
  </si>
  <si>
    <t>NECTAR DE MANZANA S/A TPA 250 CM3 X 24 (THREE PACK)</t>
  </si>
  <si>
    <t>PT1501003</t>
  </si>
  <si>
    <t>NECTAR DE PERA S/A TPA 250 CM3 X 24 (THREE PACK)</t>
  </si>
  <si>
    <t>PT1502001</t>
  </si>
  <si>
    <t>JUGO DE MANZANA 100% TPA 250 CM3 X 24 (THREE PACK)</t>
  </si>
  <si>
    <t>PT1502002</t>
  </si>
  <si>
    <t>JUGO DE NARANJA 100 % TPA 250 CM3 X 24 (THREE PACK)</t>
  </si>
  <si>
    <t>PT1502003</t>
  </si>
  <si>
    <t>AGUA DE COCO TPA 250 CM3 X 24 (THREE PACK)</t>
  </si>
  <si>
    <t>PT1504000</t>
  </si>
  <si>
    <t>NECTAR SURTIDOS TPA 250 CM3 X 24 (PROMOCION)</t>
  </si>
  <si>
    <t>PT1510001</t>
  </si>
  <si>
    <t>NECTAR DE DURAZNO TPA 250 cm3 x 24</t>
  </si>
  <si>
    <t>PT1510002</t>
  </si>
  <si>
    <t>NECTAR DE MANZANA TPA 250 cm3 x 24</t>
  </si>
  <si>
    <t>PT1510003</t>
  </si>
  <si>
    <t>NECTAR DE PERA TPA 250 cm3 x 24</t>
  </si>
  <si>
    <t>PT1510004</t>
  </si>
  <si>
    <t>NARANJADA TPA 250 cm3 x 24</t>
  </si>
  <si>
    <t>PLANTA QA</t>
  </si>
  <si>
    <t>TCA 150</t>
  </si>
  <si>
    <t>PT1600001</t>
  </si>
  <si>
    <t>NECTAR DE DURAZNO TCA 150 CM3 X 24</t>
  </si>
  <si>
    <t>PT1600002</t>
  </si>
  <si>
    <t>NECTAR DE MANZANA TCA 150 CM3 X 24</t>
  </si>
  <si>
    <t>PT1600003</t>
  </si>
  <si>
    <t>NECTAR DE PERA TCA 150 CM3 X 24</t>
  </si>
  <si>
    <t>TCA 150 SIX PACK</t>
  </si>
  <si>
    <t>PT1700001</t>
  </si>
  <si>
    <t>NECTAR DE DURAZNO TCA 150 CM3 X 6 X 6 (SIX PACK)</t>
  </si>
  <si>
    <t>PT1700002</t>
  </si>
  <si>
    <t>NECTAR DE MANZANA TCA 150 CM3 X 6 X 6 (SIX PACK)</t>
  </si>
  <si>
    <t>PT1700003</t>
  </si>
  <si>
    <t>NECTAR DE PERA TCA 150 CM3 X 6 X 6 (SIX PACK)</t>
  </si>
  <si>
    <t>PT1704002</t>
  </si>
  <si>
    <t>NECTAR DE MANZANA TCA 150 CM3 X 6 X 6 (SIX PACK) (PROMO)</t>
  </si>
  <si>
    <t>PT1704003</t>
  </si>
  <si>
    <t>NECTAR DE PERA TCA 150 CM3 X 6 X 6 (SIX PACK) (PROMO)</t>
  </si>
  <si>
    <t>NATULAC FOOD</t>
  </si>
  <si>
    <t>PET 1.5</t>
  </si>
  <si>
    <t>PT1800001</t>
  </si>
  <si>
    <t>NECTAR DE DURAZNO PET 1,5 L X 6</t>
  </si>
  <si>
    <t>PT1800002</t>
  </si>
  <si>
    <t>NECTAR DE MANZANA PET 1,5 L X 6</t>
  </si>
  <si>
    <t>PT1800003</t>
  </si>
  <si>
    <t>NECTAR DE PERA PET 1,5 L X 6</t>
  </si>
  <si>
    <t>PT1800004</t>
  </si>
  <si>
    <t>NARANJADA 60% PET 1,5 L X 6</t>
  </si>
  <si>
    <t>PT1800009</t>
  </si>
  <si>
    <t>TE NEGRO DE DURAZNO PET 1,5 L X 6</t>
  </si>
  <si>
    <t>PT1800010</t>
  </si>
  <si>
    <t>TE NEGRO DE LIMON PET 1,5 L X 6</t>
  </si>
  <si>
    <t>PT1800011</t>
  </si>
  <si>
    <t>JUGO DE PIÑA PET 1,5 L X 6</t>
  </si>
  <si>
    <t>PET 500</t>
  </si>
  <si>
    <t>PT1900001</t>
  </si>
  <si>
    <t>NECTAR DE DURAZNO PET 500 CM3 X 12</t>
  </si>
  <si>
    <t>PT1900002</t>
  </si>
  <si>
    <t>NECTAR DE MANZANA PET 500 CM3 X 12</t>
  </si>
  <si>
    <t>PT1900003</t>
  </si>
  <si>
    <t>NECTAR DE PERA PET 500 CM3 X 12</t>
  </si>
  <si>
    <t>PT1900004</t>
  </si>
  <si>
    <t>NARANJADA 60% PET 500 CM3 X 12</t>
  </si>
  <si>
    <t>PT1900009</t>
  </si>
  <si>
    <t>TE NEGRO DE DURAZNO PET 500 CM3 X 12</t>
  </si>
  <si>
    <t>PT1900010</t>
  </si>
  <si>
    <t>TE NEGRO DE LIMON PET 500 CM3 X 12</t>
  </si>
  <si>
    <t>PT1900012</t>
  </si>
  <si>
    <t>BEBIDA PANELADA PET 500 CM3 X 13</t>
  </si>
  <si>
    <t>TPA 330</t>
  </si>
  <si>
    <t>PT2000001</t>
  </si>
  <si>
    <t>NECTAR DE DURAZNO TPA 330 CM3 X 12</t>
  </si>
  <si>
    <t>PT2000002</t>
  </si>
  <si>
    <t>NECTAR DE MANZANA TPA 330 CM3 X 12</t>
  </si>
  <si>
    <t>PT2000003</t>
  </si>
  <si>
    <t>NECTAR DE PERA TPA 330 CM3 X 12</t>
  </si>
  <si>
    <t>PT2000004</t>
  </si>
  <si>
    <t>NARANJADA TPA 330 CM3 X 12</t>
  </si>
  <si>
    <t>PT2000006</t>
  </si>
  <si>
    <t>NECTAR DE MANGO TPA 330 CM3 X 12</t>
  </si>
  <si>
    <t>PT2000009</t>
  </si>
  <si>
    <t>TE NEGRO DE DURAZNO TPA 330 CM3 X 12</t>
  </si>
  <si>
    <t>PT2000010</t>
  </si>
  <si>
    <t>TE NEGRO DE LIMON TPA 330 CM3 X 12</t>
  </si>
  <si>
    <t>PT2002002</t>
  </si>
  <si>
    <t>NARANJA 100 % TPA 330 CM3 X 12</t>
  </si>
  <si>
    <t>PT2002003</t>
  </si>
  <si>
    <t>AGUA DE COCO TPA 330 CM3 X 12</t>
  </si>
  <si>
    <t>PT2002004</t>
  </si>
  <si>
    <t>JUGO DE PIÑA 100 % TPA 330 CM3 X 12</t>
  </si>
  <si>
    <t>PT2010001</t>
  </si>
  <si>
    <t>NECTAR DE DURAZNO TPA 330 CM3 X 18</t>
  </si>
  <si>
    <t>PT2010002</t>
  </si>
  <si>
    <t>NECTAR DE MANZANA TPA 330 CM3 X 18</t>
  </si>
  <si>
    <t>PT2010003</t>
  </si>
  <si>
    <t>NECTAR DE PERA TPA 330 CM3 X 18</t>
  </si>
  <si>
    <t>PT2010004</t>
  </si>
  <si>
    <t>NARANJADA TPA 330 CM3 X 18</t>
  </si>
  <si>
    <t>PT2010006</t>
  </si>
  <si>
    <t>NECTAR DE MANGO TPA 330 CM3 X 18</t>
  </si>
  <si>
    <t>PT2010009</t>
  </si>
  <si>
    <t>TE NEGRO DE DURAZNO TPA 330 CM3 X 18</t>
  </si>
  <si>
    <t>PT2010010</t>
  </si>
  <si>
    <t>TE NEGRO DE LIMON TPA 330 CM3 X 18</t>
  </si>
  <si>
    <t>PT2012002</t>
  </si>
  <si>
    <t>NARANJA 100 % TPA 330 CM3 X 18</t>
  </si>
  <si>
    <t>PT2012003</t>
  </si>
  <si>
    <t>AGUA DE COCO TPA 330 CM3 X 18</t>
  </si>
  <si>
    <t>PT2012004</t>
  </si>
  <si>
    <t>JUGO DE PIÑA 100 % TPA 330 CM3 X 18</t>
  </si>
  <si>
    <t>COLADOS</t>
  </si>
  <si>
    <t>VIDRIO 113</t>
  </si>
  <si>
    <t>PT3000001</t>
  </si>
  <si>
    <t>COLADO DE DURAZNO 113 G X 24</t>
  </si>
  <si>
    <t>PT3000002</t>
  </si>
  <si>
    <t>COLADO DE MANZANA 113 G X 24</t>
  </si>
  <si>
    <t>PT3000003</t>
  </si>
  <si>
    <t>COLADO DE PERA 113 G X 24</t>
  </si>
  <si>
    <t>PT3000005</t>
  </si>
  <si>
    <t>COLADO DE FRUTAS TROPICALES 113 G X 24</t>
  </si>
  <si>
    <t>PT3001001</t>
  </si>
  <si>
    <t>COLADO DURAZNO S/A 113 G X 24</t>
  </si>
  <si>
    <t>PT3001002</t>
  </si>
  <si>
    <t>COLADO MANZANA S/A 113 G X 24</t>
  </si>
  <si>
    <t>PT3001003</t>
  </si>
  <si>
    <t>COLADO PERA S/A 113 G X 24</t>
  </si>
  <si>
    <t>VIDRIO 186</t>
  </si>
  <si>
    <t>PT3100001</t>
  </si>
  <si>
    <t>COLADO DE DURAZNO 186 G X 24</t>
  </si>
  <si>
    <t>PT3100002</t>
  </si>
  <si>
    <t>COLADO DE MANZANA 186 G X 24</t>
  </si>
  <si>
    <t>PT3100003</t>
  </si>
  <si>
    <t>COLADO DE PERA 186 G X 24</t>
  </si>
  <si>
    <t>PT3100005</t>
  </si>
  <si>
    <t>COLADO DE FRUTAS TROPICALES 186 G X 24</t>
  </si>
  <si>
    <t>TCA 160</t>
  </si>
  <si>
    <t>PT3200001</t>
  </si>
  <si>
    <t>COLADO DURAZNO TCA 160 G X 24</t>
  </si>
  <si>
    <t>PT3200002</t>
  </si>
  <si>
    <t>COLADO MANZANA TCA 160 G X 24</t>
  </si>
  <si>
    <t>PT3200003</t>
  </si>
  <si>
    <t>COLADO PERA TCA 160 G X 24</t>
  </si>
  <si>
    <t>TCA 160 THREE PACK</t>
  </si>
  <si>
    <t>PT3400001</t>
  </si>
  <si>
    <t>COLADO DURAZNO TCA 160 G X 24 (THREE PACK)</t>
  </si>
  <si>
    <t>PT3400002</t>
  </si>
  <si>
    <t>COLADO MANZANA TCA 160 G X 24 (THREE PACK)</t>
  </si>
  <si>
    <t>PT3400003</t>
  </si>
  <si>
    <t>COLADO PERA TCA 160 G X 24 (THREE PACK)</t>
  </si>
  <si>
    <t>LECHE CONDENSADA</t>
  </si>
  <si>
    <t>HOJALATA 397</t>
  </si>
  <si>
    <t>PT4000001</t>
  </si>
  <si>
    <t>LECHE CONDENSADA AZUCARADA LATA 397 G X 24</t>
  </si>
  <si>
    <t>TUBITO 50</t>
  </si>
  <si>
    <t>PT4000002</t>
  </si>
  <si>
    <t>LECHE CONDENSADA AZUCARADA TUBO 50 G X 24 X 6</t>
  </si>
  <si>
    <t>TETRA 340</t>
  </si>
  <si>
    <t>PT4000003</t>
  </si>
  <si>
    <t>LECHE CONDENSADA AZUCARADA TPA 340 G X 24</t>
  </si>
  <si>
    <t>TETRA 100</t>
  </si>
  <si>
    <t>PT4000004</t>
  </si>
  <si>
    <t>LECHE CONDENSADA AZUCARADA TETRA 100 G X 24</t>
  </si>
  <si>
    <t>GRANEL</t>
  </si>
  <si>
    <t>PT4000005</t>
  </si>
  <si>
    <t>LECHE CONDENSADA AZUCARADA BOLSA 5 KG X 2</t>
  </si>
  <si>
    <t>PT4000006</t>
  </si>
  <si>
    <t>LECHE CONDENSADA KG</t>
  </si>
  <si>
    <t>PT4000007</t>
  </si>
  <si>
    <t>LECHE CONDENSADA AZUCARADA GALON</t>
  </si>
  <si>
    <t>PT4000008</t>
  </si>
  <si>
    <t>LECHE CONDENSADA AZUCARADA CUÑETE 18 KG</t>
  </si>
  <si>
    <t>TUBITO 45</t>
  </si>
  <si>
    <t>PT4000009</t>
  </si>
  <si>
    <t xml:space="preserve"> LECHE CONDENSADA AZUCARADA SEMIDESCREMADA TUBO 45 G X 24 X 6 SIX PACK</t>
  </si>
  <si>
    <t>PT4000010</t>
  </si>
  <si>
    <t xml:space="preserve"> LECHE CONDENSADA AZUCARADA SEMIDESCREMADA TUBO 45 G X 48 X 3</t>
  </si>
  <si>
    <t>PT4000011</t>
  </si>
  <si>
    <t xml:space="preserve"> LECHE CONDENSADA AZUCARADA SEMIDESCREMADA TUBO 45 G X 24 X 6</t>
  </si>
  <si>
    <t>PT4000012</t>
  </si>
  <si>
    <t xml:space="preserve"> LECHE CONDENSADA AZUCARADA SEMIDESCREMADA LATA 397 G X 24</t>
  </si>
  <si>
    <t>PT4000013</t>
  </si>
  <si>
    <t>LECHE EN POLVO</t>
  </si>
  <si>
    <t>TRILAMINADO 125</t>
  </si>
  <si>
    <t>PT4100001</t>
  </si>
  <si>
    <t>LECHE EN POLVO 125 G X 16</t>
  </si>
  <si>
    <t>TRILAMINADO 900</t>
  </si>
  <si>
    <t>PT4100002</t>
  </si>
  <si>
    <t>LECHE EN POLVO 900 G X 12</t>
  </si>
  <si>
    <t>PLANTA BQTO</t>
  </si>
  <si>
    <t>LECHES BLANCAS</t>
  </si>
  <si>
    <t>PT4200001</t>
  </si>
  <si>
    <t>LECHE ENTERA NATULAC TBA 1000 CM3 X 12</t>
  </si>
  <si>
    <t>PT4200002</t>
  </si>
  <si>
    <t>LECHE DESCREMADA NATULAC TBA 1000 CM3 X 12</t>
  </si>
  <si>
    <t>TBA 946</t>
  </si>
  <si>
    <t>PT4200003</t>
  </si>
  <si>
    <t>LECHE ENTERA NATULAC TBA 946 CM3 X 12</t>
  </si>
  <si>
    <t>PT4200004</t>
  </si>
  <si>
    <t>LECHE DESCREMADA NATULAC TBA 946 CM3 X 12</t>
  </si>
  <si>
    <t>PT4200005</t>
  </si>
  <si>
    <t>LECHE DESCREMADA DESLACTOSADA NATULAC TBA 946 CM3 X 12</t>
  </si>
  <si>
    <t>LECHES ESPECIALES</t>
  </si>
  <si>
    <t>PT4200006</t>
  </si>
  <si>
    <t>LECHE ENTERA BARISTA NATULAC TBA 946 CM3 X 12</t>
  </si>
  <si>
    <t>BEBIDAS LACTEAS</t>
  </si>
  <si>
    <t>PT4200007</t>
  </si>
  <si>
    <t>CHICHA NATULAC TBA 946 CM3 X 12</t>
  </si>
  <si>
    <t>BEBIDAS VEGETALES</t>
  </si>
  <si>
    <t>PT4200008</t>
  </si>
  <si>
    <t>BEBIDA DE ALMENDRAS NATULAC TBA 946 CM3 X 12</t>
  </si>
  <si>
    <t>PT4200009</t>
  </si>
  <si>
    <t>BEBIDA DE AVENA NATULAC TBA 946 CM3 X 12</t>
  </si>
  <si>
    <t>PT4200010</t>
  </si>
  <si>
    <t>BEBIDA LACTEA MAITA SEMIDESCREMADA TBA 946 CM3 X 12</t>
  </si>
  <si>
    <t>CREMAS CULINARIAS</t>
  </si>
  <si>
    <t>PT4200011</t>
  </si>
  <si>
    <t>CREMA DE LECHE NATULAC 946 CM3 X 12</t>
  </si>
  <si>
    <t>PT4200012</t>
  </si>
  <si>
    <t>BEBIDA CHOCOLATADA TBA 946 CM3 X 12</t>
  </si>
  <si>
    <t>TBA 947</t>
  </si>
  <si>
    <t>PT4200013</t>
  </si>
  <si>
    <t xml:space="preserve"> BEBIDA  DE AVENA CON LECHE  NATULAC TBA 946 CM3 X 12</t>
  </si>
  <si>
    <t>TBA 473</t>
  </si>
  <si>
    <t>PT4210001</t>
  </si>
  <si>
    <t>LECHE ENTERA NATULAC TBA 473 CM3 X 12</t>
  </si>
  <si>
    <t>PT4210002</t>
  </si>
  <si>
    <t>CHICHA NATULAC TBA 473 CM3 X 12</t>
  </si>
  <si>
    <t>PT4210003</t>
  </si>
  <si>
    <t>BEBIDA DE ALMENDRAS NATULAC TBA 473 CM3 X 12</t>
  </si>
  <si>
    <t>PT4210004</t>
  </si>
  <si>
    <t>LECHE EVAPORADA NATULAC TBA 473 CM3 X 12</t>
  </si>
  <si>
    <t>PT4210005</t>
  </si>
  <si>
    <t>CREMA DE LECHE NATULAC TBA 473 CM3 X 12</t>
  </si>
  <si>
    <t>PT4210006</t>
  </si>
  <si>
    <t>BEBIDA LACTEA MAITA SEMIDESCREMADA TBA 473 CM3 X 12</t>
  </si>
  <si>
    <t>PT4210008</t>
  </si>
  <si>
    <t>PT4210012</t>
  </si>
  <si>
    <t>BEBIDA CHOCOLATADA TBA 473 CM3 X 12</t>
  </si>
  <si>
    <t>DULCE DE LECHE</t>
  </si>
  <si>
    <t>HOJALATA 380</t>
  </si>
  <si>
    <t>PT4300001</t>
  </si>
  <si>
    <t>DULCE DE LECHE LATA 380 G X 24</t>
  </si>
  <si>
    <t>TUBITO 40</t>
  </si>
  <si>
    <t>PT4300002</t>
  </si>
  <si>
    <t>DULCE DE LECHE NATULAC TUBO 40 G X 24 X 6</t>
  </si>
  <si>
    <t>PT4300005</t>
  </si>
  <si>
    <t>DULCE DE LECHE BOLSA 5 KG X 2</t>
  </si>
  <si>
    <t>PT4300006</t>
  </si>
  <si>
    <t>DULCE DE LECHE KG</t>
  </si>
  <si>
    <t>PT4300011</t>
  </si>
  <si>
    <t xml:space="preserve"> DULCE DE LECHE NATULAC TUBO 40 G X 48 X 3 THREE PACK</t>
  </si>
  <si>
    <t>CREAMER</t>
  </si>
  <si>
    <t>HOJALATA 390</t>
  </si>
  <si>
    <t>PT4400001</t>
  </si>
  <si>
    <t>CREAMER MAITA 390 G X 24</t>
  </si>
  <si>
    <t>PT4400002</t>
  </si>
  <si>
    <t>CREAMER MAITA TPA 340 G X 24</t>
  </si>
  <si>
    <t>PT4400003</t>
  </si>
  <si>
    <t>CREAMER MAITA 5 KG X 2</t>
  </si>
  <si>
    <t>PT4403001</t>
  </si>
  <si>
    <t>CREAMER GRANJA FLOR 390 G X 24</t>
  </si>
  <si>
    <t>PT4500001</t>
  </si>
  <si>
    <t>LECHE CONDENSADA SEMIDESCREMADA MAITA LATA 390 G X 24</t>
  </si>
  <si>
    <t>PT4500002</t>
  </si>
  <si>
    <t>LECHE CONDENSADA SEMIDESCREMADA MAITA TPA 340 G X 24</t>
  </si>
  <si>
    <t>PLANTA ANROS</t>
  </si>
  <si>
    <t>CEREALES</t>
  </si>
  <si>
    <t>DISPLAY 40</t>
  </si>
  <si>
    <t>PT5000001</t>
  </si>
  <si>
    <t>CHOCO PILOS 40 G X 144</t>
  </si>
  <si>
    <t>PT5000002</t>
  </si>
  <si>
    <t>COCO PILOS 40 G X 144</t>
  </si>
  <si>
    <t>FARDOS 220</t>
  </si>
  <si>
    <t>PT5000003</t>
  </si>
  <si>
    <t>CHOCO PILOS 220 G X 24 (FARDOS)</t>
  </si>
  <si>
    <t>PT5000004</t>
  </si>
  <si>
    <t>COCO PILOS 220 G X 24 (FARDOS)</t>
  </si>
  <si>
    <t>SIXPACK 40</t>
  </si>
  <si>
    <t>PT5000005</t>
  </si>
  <si>
    <t>CHOCO PILOS 40 G X 6 X 24 (SIX PACK)</t>
  </si>
  <si>
    <t>PT5000006</t>
  </si>
  <si>
    <t>COCO PILOS 40 G X 6 X 24 (SIX PACK)</t>
  </si>
  <si>
    <t>ESTUCHE 220</t>
  </si>
  <si>
    <t>PT5000007</t>
  </si>
  <si>
    <t>CHOCO PILOS ESTUCHE 220 G X 24</t>
  </si>
  <si>
    <t>PT5000008</t>
  </si>
  <si>
    <t>COCO PILOS ESTUCHE 220 G X 24</t>
  </si>
  <si>
    <t>SNACKS</t>
  </si>
  <si>
    <t>FARDO 120</t>
  </si>
  <si>
    <t>PT5100001</t>
  </si>
  <si>
    <t>SANTA BOLITA 120 G X 24 (FARDOS)</t>
  </si>
  <si>
    <t>FARDO 90</t>
  </si>
  <si>
    <t>PT5100002</t>
  </si>
  <si>
    <t>SANTO PALITO 90 G X 24 (FARDOS)</t>
  </si>
  <si>
    <t>BEBIDAS DE FRUTAS</t>
  </si>
  <si>
    <t>PT6000001</t>
  </si>
  <si>
    <t>BEBIDA DE DURAZNO JUCOSA TBA 1000 CM3 X 12</t>
  </si>
  <si>
    <t>PT6000002</t>
  </si>
  <si>
    <t>BEBIDA DE MANZANA JUCOSA TBA 1000 CM3 X 12</t>
  </si>
  <si>
    <t>PT6000003</t>
  </si>
  <si>
    <t>BEBIDA DE PERA JUCOSA TBA 1000 CM3 X 12</t>
  </si>
  <si>
    <t>PT6000004</t>
  </si>
  <si>
    <t>BEBIDA SABOR NARANJA JUCOSA TBA 1000 CM3 X 12</t>
  </si>
  <si>
    <t>TPA 200</t>
  </si>
  <si>
    <t>PT6100001</t>
  </si>
  <si>
    <t>BEBIDA DE DURAZNO JUCOSA TPA 200 CM3 X 24</t>
  </si>
  <si>
    <t>PT6100002</t>
  </si>
  <si>
    <t>BEBIDA DE MANZANA JUCOSA TPA 200 CM3 X 24</t>
  </si>
  <si>
    <t>PT6100003</t>
  </si>
  <si>
    <t>BEBIDA DE PERA JUCOSA TPA 200 CM3 X 24</t>
  </si>
  <si>
    <t>PT6100004</t>
  </si>
  <si>
    <t>BEBIDA SABOR NARANJA JUCOSA TPA 200 CM3 X 24</t>
  </si>
  <si>
    <t>ENVASE JUCOSA MANZANA 200 CC</t>
  </si>
  <si>
    <t>ENVASE PERA 35%  1000 CC</t>
  </si>
  <si>
    <t>ENVASE PERA 35% 250 CC</t>
  </si>
  <si>
    <t>ENVASE MANZANA 1000 CC</t>
  </si>
  <si>
    <t>ENVASE MANZANA 250 CC</t>
  </si>
  <si>
    <t>ENVASE PERA 200 CC</t>
  </si>
  <si>
    <t>ENVASE JUCOSA PERA 200 CC</t>
  </si>
  <si>
    <t>ME1300004 - ENVASE NARANJADA NATULAC 1000 CM3 UHT Σ</t>
  </si>
  <si>
    <t>ME1500004 - ENVASE NARANJADA NATULAC 250 CM3 UHT Σ</t>
  </si>
  <si>
    <t>ME1500002 - ENVASE MANZANA NATULAC 250 CM3 UHT Σ</t>
  </si>
  <si>
    <t>Semana</t>
  </si>
  <si>
    <t>ME1700001 - ENVASE DURAZNO NATULAC 330 CM3 UHT Σ</t>
  </si>
  <si>
    <t>CC</t>
  </si>
  <si>
    <t>ENVASES TPA-330</t>
  </si>
  <si>
    <t>Durazno</t>
  </si>
  <si>
    <t>Color Tapa</t>
  </si>
  <si>
    <t>Azul</t>
  </si>
  <si>
    <t>Verde/Blanca/Azul</t>
  </si>
  <si>
    <t>ME1300005 - ENVASE COCTEL DE FRUTAS NATULAC 1000 CM3 UHT Σ</t>
  </si>
  <si>
    <t>ME1500001 - ENVASE DURAZNO NATULAC 250 CM3 UHT Σ</t>
  </si>
  <si>
    <t>ME1300001 - ENVASE DURAZNO NATULAC 1000 CM3 UHT Σ</t>
  </si>
  <si>
    <t>ME1300002 - ENVASE MANZANA NATULAC 1000 CM3 UHT Σ</t>
  </si>
  <si>
    <t>ME1300003 - ENVASE PERA NATULAC 1000 CM3 UHT Σ</t>
  </si>
  <si>
    <t>ME1301007 - ENVASE GUAYABA 35% NATULAC 1000 CM3 UHT Σ</t>
  </si>
  <si>
    <t>ME1500003 - ENVASE PERA NATULAC 250 CM3 UHT Σ</t>
  </si>
  <si>
    <t>ME6200003 - TAPA HELICAP3 27 mm WHITE ENVASES UHT Σ</t>
  </si>
  <si>
    <t>ME6600002 - PITILLO BLANCO TELESCOPICO/BASTON UHT 24 x 250 Σ</t>
  </si>
  <si>
    <t>ME6700001 - CAJA GENERICA UHT 12 x 1000 CM3 Σ</t>
  </si>
  <si>
    <t>ME6700004 - CAJA GENERICA UHT 24 x 250 CM3 Σ</t>
  </si>
  <si>
    <t>ME8700001 - CINTA MPM STRIP UHT Σ</t>
  </si>
  <si>
    <t>ME8800001 - POLIETILENO 19,5 CM x 30 MICRAS Σ</t>
  </si>
  <si>
    <t>ME8900001 - POLISTRECH USO MANUAL Σ</t>
  </si>
  <si>
    <t>ME8900002 - POLISTRECH USO PALETIZADO Σ</t>
  </si>
  <si>
    <t>ME9000001 - PEGA HOT MELT STRAW PITILLO (STRAW-FIX) Σ</t>
  </si>
  <si>
    <t>ME9000002 - PEGA CARBOPAK CAJAS-ETIQUETAS Σ</t>
  </si>
  <si>
    <t>ME9000003 - PEGA RECAP HOT MELT TAPAS UHT (CAP-FIX) Σ</t>
  </si>
  <si>
    <t>Segregado</t>
  </si>
  <si>
    <t>250-26</t>
  </si>
  <si>
    <t>172-26</t>
  </si>
  <si>
    <t>042-22</t>
  </si>
  <si>
    <t>259-26</t>
  </si>
  <si>
    <t>260-26</t>
  </si>
  <si>
    <t>772-25</t>
  </si>
  <si>
    <t>174-26</t>
  </si>
  <si>
    <t>094-26</t>
  </si>
  <si>
    <t>784-25</t>
  </si>
  <si>
    <t>Insumos</t>
  </si>
  <si>
    <t>Columna1</t>
  </si>
  <si>
    <t>ME1900002 - ENVASE MANZANA JUCOSA 200 CM3 UHT Σ</t>
  </si>
  <si>
    <t>788-25</t>
  </si>
  <si>
    <t>ME1301001 - ENVASE DURAZNO 35% NATULAC 1000 CM3 UHT Σ</t>
  </si>
  <si>
    <t>ME1800002 - ENVASE MANZANA JUCOSA 1000 CM3 UHT Σ</t>
  </si>
  <si>
    <t>ME1900001 - ENVASE DURAZNO JUCOSA 200 CM3 UHT Σ</t>
  </si>
  <si>
    <t>ME1900003 - ENVASE PERA JUCOSA 200 CM3 UHT Σ</t>
  </si>
  <si>
    <t>ME6200004 - TAPA HELICAP3 27 mm BLUEO ENVASES UHT Σ</t>
  </si>
  <si>
    <t>ME6600001 - PITILLO BLANCO BASTON UHT 24 x 150 Σ</t>
  </si>
  <si>
    <t>ME6700005 - CAJA GENERICA UHT 24 x 200 CM3 Σ</t>
  </si>
  <si>
    <t>34920+8444+34790+35145</t>
  </si>
  <si>
    <t>28852+34625</t>
  </si>
  <si>
    <t>2193+34525</t>
  </si>
  <si>
    <t>18536+34905</t>
  </si>
  <si>
    <t>128065+33379</t>
  </si>
  <si>
    <t>135045+103397</t>
  </si>
  <si>
    <t>1135+11150</t>
  </si>
  <si>
    <t>1307+11200</t>
  </si>
  <si>
    <t>20,9+5+5</t>
  </si>
  <si>
    <t>46,9+5+5+5</t>
  </si>
  <si>
    <t>48+3+6+3</t>
  </si>
  <si>
    <t>263-26</t>
  </si>
  <si>
    <t>232-26</t>
  </si>
  <si>
    <t>35250+14196+34750</t>
  </si>
  <si>
    <t>302-26</t>
  </si>
  <si>
    <t>436-25</t>
  </si>
  <si>
    <t>173-26</t>
  </si>
  <si>
    <t>106-26</t>
  </si>
  <si>
    <t>109-26</t>
  </si>
  <si>
    <t>200-26</t>
  </si>
  <si>
    <t>201-26</t>
  </si>
  <si>
    <t>615-25</t>
  </si>
  <si>
    <t>258-26</t>
  </si>
  <si>
    <t>315-26</t>
  </si>
  <si>
    <t>249-26</t>
  </si>
  <si>
    <t>329-26</t>
  </si>
  <si>
    <t>310-26/318-26/244-26</t>
  </si>
  <si>
    <t>319-26</t>
  </si>
  <si>
    <t>219-26/191-26</t>
  </si>
  <si>
    <t>290-26</t>
  </si>
  <si>
    <t>669-24</t>
  </si>
  <si>
    <t>237-26/305-25</t>
  </si>
  <si>
    <t>111250+107840+42108</t>
  </si>
  <si>
    <t>54,15+2,439+3,902+2,439</t>
  </si>
  <si>
    <t>8000+1499</t>
  </si>
  <si>
    <t>MATERIAL DE EMPAQUE ASEPTICO MAYO</t>
  </si>
  <si>
    <t>Té</t>
  </si>
  <si>
    <t>Extracto 2850</t>
  </si>
  <si>
    <t>Extracto 270</t>
  </si>
  <si>
    <t>Lotes</t>
  </si>
  <si>
    <t>Existencia</t>
  </si>
  <si>
    <t>Falta comprar del 270: 250 kg</t>
  </si>
  <si>
    <t>Semanas</t>
  </si>
  <si>
    <t>Rodillos TBA</t>
  </si>
  <si>
    <t>3527934-0000</t>
  </si>
  <si>
    <t>Sufrideras TBA</t>
  </si>
  <si>
    <t>1520633-0002</t>
  </si>
  <si>
    <t>3745503-0002</t>
  </si>
  <si>
    <t>1110083-0002</t>
  </si>
  <si>
    <t>KIT A3FLEX</t>
  </si>
  <si>
    <t>3437493-0404</t>
  </si>
  <si>
    <t>3437496-0307</t>
  </si>
  <si>
    <t>KIT A3CFLEX 330</t>
  </si>
  <si>
    <t>3437493-0422</t>
  </si>
  <si>
    <t>3437496-0401</t>
  </si>
  <si>
    <t>TPA-250/200</t>
  </si>
  <si>
    <t>KIT A3CFLEX 250</t>
  </si>
  <si>
    <t>3437493-0301</t>
  </si>
  <si>
    <t>ORRINGS KIT 1</t>
  </si>
  <si>
    <t>Rodillos TPA</t>
  </si>
  <si>
    <t>3527938-0000</t>
  </si>
  <si>
    <t>Sufrideras TPA</t>
  </si>
  <si>
    <t>1110083-0003</t>
  </si>
  <si>
    <t>Rodillo TPA-330</t>
  </si>
  <si>
    <t>TPA-250/200/330</t>
  </si>
  <si>
    <t>3527936-0000</t>
  </si>
  <si>
    <t>CITROFRUIT</t>
  </si>
  <si>
    <t>JUCOSA PERA 1 TAMBOR</t>
  </si>
  <si>
    <t>095-26</t>
  </si>
  <si>
    <t>286-26</t>
  </si>
  <si>
    <t>207-26</t>
  </si>
  <si>
    <t>423-26</t>
  </si>
  <si>
    <t>ME1900006 - ENVASE MANZANA NATULAC 200 CM3 UHT Σ</t>
  </si>
  <si>
    <t>ME1800004 - ENVASE SABOR NARANJA JUCOSA 1000 CM3 UHT Σ</t>
  </si>
  <si>
    <t>ME1900004 - ENVASE SABOR NARANJA JUCOSA 200 CM3 UHT Σ</t>
  </si>
  <si>
    <t>ME1302002 - ENVASE NARANJA 100% NATULAC 1000 CM3 UHT Σ</t>
  </si>
  <si>
    <t>ME1900008 - ENVASE NARANJADA NATULAC 200 CM3 UHT Σ</t>
  </si>
  <si>
    <t>ME1900007 - ENVASE PERA NATULAC 200 CM3 UHT Σ</t>
  </si>
  <si>
    <t>ME1900005 - ENVASE DURAZNO NATULAC 200 CM3 UHT Σ</t>
  </si>
  <si>
    <t>NO</t>
  </si>
  <si>
    <t>ME1400002 - ENVASE MANZANA NATULAC 500 CM3 UHT Σ</t>
  </si>
  <si>
    <t>ME1400004 - ENVASE NARANJADA NATULAC 500 CM3 UHT Σ</t>
  </si>
  <si>
    <t>Columna2</t>
  </si>
  <si>
    <t>MANZANA CLASICA 27</t>
  </si>
  <si>
    <t>PERA CLASICA 19</t>
  </si>
  <si>
    <t>MATERIA PRIMA ASÉPTICO AGOSTO</t>
  </si>
  <si>
    <t>JUCOSA MANZANA 2 TAMBOR</t>
  </si>
  <si>
    <t xml:space="preserve"> DURAZNO 1 TAMBOR</t>
  </si>
  <si>
    <t>Te Negro de Limon 1/2 lote</t>
  </si>
  <si>
    <t>Te Negro de Durazno 1 Lote</t>
  </si>
  <si>
    <t>3x25+9,5</t>
  </si>
  <si>
    <t>2x1000+17x50</t>
  </si>
  <si>
    <t>11x238+16x238</t>
  </si>
  <si>
    <t>12x238+6x239</t>
  </si>
  <si>
    <t>Aroma de Durazno (Té)</t>
  </si>
  <si>
    <t>Aroma de Limón (Té)</t>
  </si>
  <si>
    <t>567-26</t>
  </si>
  <si>
    <t>448-26/564-26</t>
  </si>
  <si>
    <t>537-26</t>
  </si>
  <si>
    <t>562-26</t>
  </si>
  <si>
    <t>417-26</t>
  </si>
  <si>
    <t>430-26</t>
  </si>
  <si>
    <t>538-26</t>
  </si>
  <si>
    <t>388-26</t>
  </si>
  <si>
    <t>464-26</t>
  </si>
  <si>
    <t>386-26</t>
  </si>
  <si>
    <t>387-26</t>
  </si>
  <si>
    <t>551-26</t>
  </si>
  <si>
    <t>524-26</t>
  </si>
  <si>
    <t>ME1400009 - ENVASE TE NEGRO DURAZNO NATULAC 500 CM3 UHT Σ</t>
  </si>
  <si>
    <t>ME1400010 - ENVASE TE NEGRO LIMON NATULAC 500 CM3 UHT Σ</t>
  </si>
  <si>
    <t>ME6700002 - CAJA GENERICA UHT 12 x 500 CM3 Σ</t>
  </si>
  <si>
    <t>ME1301002 - ENVASE MANZANA 35% NATULAC 1000 CM3 UHT Σ</t>
  </si>
  <si>
    <t>ME1501002 - ENVASE MANZANA 35% NATULAC 250 CM3 UHT Σ</t>
  </si>
  <si>
    <t>ME1800001 - ENVASE DURAZNO JUCOSA 1000 CM3 UHT Σ</t>
  </si>
  <si>
    <t>ME1800003 - ENVASE PERA JUCOSA 1000 CM3 UHT Σ</t>
  </si>
  <si>
    <t>ME1501003 - ENVASE PERA 35% NATULAC 250 CM3 UHT 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</si>
</sst>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 * #,##0.00_ ;_ * \-#,##0.00_ ;_ * &quot;-&quot;??_ ;_ @_ "/>
    <numFmt numFmtId="164" formatCode="_(* #,##0.00_);_(* \(#,##0.00\);_(* &quot;-&quot;??_);_(@_)"/>
    <numFmt numFmtId="165" formatCode="_-* #,##0.00\ _€_-;\-* #,##0.00\ _€_-;_-* &quot;-&quot;??\ _€_-;_-@_-"/>
    <numFmt numFmtId="166" formatCode="_([$Nro]* #,##0_);_([$Nro]* \(#,##0\);_([$Nro]* &quot;-&quot;??_);_(@_)"/>
    <numFmt numFmtId="167" formatCode="0.00000"/>
    <numFmt numFmtId="168" formatCode="0.000"/>
    <numFmt numFmtId="169" formatCode="0.0000000"/>
    <numFmt numFmtId="170" formatCode="#,##0_ ;\-#,##0\ "/>
    <numFmt numFmtId="171" formatCode="0.0000"/>
    <numFmt numFmtId="172" formatCode="0.00000000"/>
    <numFmt numFmtId="173" formatCode="0.0"/>
    <numFmt numFmtId="174" formatCode="_-* #,##0.000\ _€_-;\-* #,##0.000\ _€_-;_-* &quot;-&quot;??\ _€_-;_-@_-"/>
    <numFmt numFmtId="175" formatCode="#,##0.0000"/>
    <numFmt numFmtId="176" formatCode="000000000000000000000000000000000000000"/>
    <numFmt numFmtId="177" formatCode="#,##0.000_ ;[Red]\-#,##0.000\ "/>
    <numFmt numFmtId="178" formatCode="#,##0.00_ ;[Red]\-#,##0.00\ "/>
    <numFmt numFmtId="179" formatCode="#,##0.0000_ ;[Red]\-#,##0.0000\ "/>
    <numFmt numFmtId="180" formatCode="#,##0_ ;[Red]\-#,##0\ "/>
    <numFmt numFmtId="181" formatCode="#,##0.0"/>
    <numFmt numFmtId="182" formatCode="0.000%"/>
    <numFmt numFmtId="183" formatCode="0.0%"/>
    <numFmt numFmtId="184" formatCode="_ * #,##0_ ;_ * \-#,##0_ ;_ * &quot;-&quot;??_ ;_ @_ "/>
    <numFmt numFmtId="185" formatCode="#,###,###,###,###,###,###,###,###,##0.############;[Red]\-#,###,###,###,###,###,###,###,###,##0.############"/>
    <numFmt numFmtId="186" formatCode="0.000000"/>
  </numFmts>
  <fonts count="100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6"/>
      <color theme="1"/>
      <name val="Arial"/>
      <family val="2"/>
    </font>
    <font>
      <sz val="12"/>
      <color theme="0"/>
      <name val="Arial"/>
      <family val="2"/>
    </font>
    <font>
      <sz val="16"/>
      <color theme="0"/>
      <name val="Arial"/>
      <family val="2"/>
    </font>
    <font>
      <b/>
      <sz val="16"/>
      <name val="Arial"/>
      <family val="2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2" tint="-0.89986877040925317"/>
      <name val="Calibri"/>
      <family val="2"/>
      <scheme val="minor"/>
    </font>
    <font>
      <sz val="11"/>
      <color theme="1" tint="0.149876400036622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Times New Roman"/>
      <family val="1"/>
    </font>
    <font>
      <sz val="28"/>
      <color theme="1"/>
      <name val="Arial"/>
      <family val="2"/>
    </font>
    <font>
      <sz val="11"/>
      <color rgb="FFFF0000"/>
      <name val="Calibri"/>
      <family val="2"/>
      <scheme val="minor"/>
    </font>
    <font>
      <sz val="72"/>
      <color theme="1"/>
      <name val="Arial Black"/>
      <family val="2"/>
    </font>
    <font>
      <sz val="72"/>
      <color theme="1"/>
      <name val="Arial Black"/>
      <family val="2"/>
    </font>
    <font>
      <sz val="48"/>
      <color theme="1"/>
      <name val="Arial Black"/>
      <family val="2"/>
    </font>
    <font>
      <b/>
      <sz val="72"/>
      <color theme="1"/>
      <name val="Calibri"/>
      <family val="2"/>
      <scheme val="minor"/>
    </font>
    <font>
      <b/>
      <sz val="72"/>
      <name val="Arial"/>
      <family val="2"/>
    </font>
    <font>
      <b/>
      <sz val="72"/>
      <name val="Arial"/>
      <family val="2"/>
    </font>
    <font>
      <b/>
      <sz val="48"/>
      <name val="Arial"/>
      <family val="2"/>
    </font>
    <font>
      <b/>
      <sz val="48"/>
      <color theme="1"/>
      <name val="Calibri"/>
      <family val="2"/>
      <scheme val="minor"/>
    </font>
    <font>
      <sz val="60"/>
      <color theme="1"/>
      <name val="Arial Black"/>
      <family val="2"/>
    </font>
    <font>
      <sz val="10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sz val="18"/>
      <name val="Tahoma"/>
      <family val="2"/>
    </font>
    <font>
      <sz val="28"/>
      <name val="Tahoma"/>
      <family val="2"/>
    </font>
    <font>
      <b/>
      <sz val="48"/>
      <name val="Arial"/>
      <family val="2"/>
    </font>
    <font>
      <b/>
      <sz val="7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72"/>
      <color theme="1"/>
      <name val="Arial"/>
      <family val="2"/>
    </font>
    <font>
      <sz val="8"/>
      <name val="Calibri"/>
      <family val="2"/>
      <scheme val="minor"/>
    </font>
    <font>
      <sz val="60"/>
      <color theme="1"/>
      <name val="Calibri"/>
      <family val="2"/>
      <scheme val="minor"/>
    </font>
    <font>
      <sz val="12"/>
      <color rgb="FFFF000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9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0"/>
      <color theme="1"/>
      <name val="Calibri"/>
      <family val="2"/>
    </font>
    <font>
      <b/>
      <sz val="11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12"/>
      <name val="Calibri"/>
      <family val="2"/>
    </font>
    <font>
      <b/>
      <sz val="11"/>
      <color theme="1"/>
      <name val="Calibri"/>
      <family val="2"/>
      <charset val="134"/>
      <scheme val="minor"/>
    </font>
    <font>
      <b/>
      <sz val="10"/>
      <color rgb="FF000000"/>
      <name val="Arial"/>
      <family val="2"/>
    </font>
    <font>
      <sz val="11"/>
      <color theme="1"/>
      <name val="Calibri"/>
      <family val="2"/>
      <charset val="134"/>
      <scheme val="minor"/>
    </font>
    <font>
      <b/>
      <sz val="58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4"/>
      <name val="Calibri"/>
      <family val="2"/>
    </font>
    <font>
      <b/>
      <i/>
      <sz val="14"/>
      <name val="Calibri"/>
      <family val="2"/>
    </font>
    <font>
      <b/>
      <sz val="36"/>
      <color theme="1"/>
      <name val="Calibri"/>
      <family val="2"/>
      <scheme val="minor"/>
    </font>
    <font>
      <sz val="16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7BFDC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rgb="FFCC3434"/>
        <bgColor indexed="64"/>
      </patternFill>
    </fill>
    <fill>
      <patternFill patternType="solid">
        <fgColor rgb="FFEBAFAF"/>
        <bgColor indexed="64"/>
      </patternFill>
    </fill>
    <fill>
      <patternFill patternType="solid">
        <fgColor rgb="FFFED9D6"/>
        <bgColor indexed="64"/>
      </patternFill>
    </fill>
    <fill>
      <patternFill patternType="solid">
        <fgColor rgb="FF009E00"/>
        <bgColor indexed="64"/>
      </patternFill>
    </fill>
    <fill>
      <patternFill patternType="solid">
        <fgColor rgb="FFF1ADA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theme="5" tint="0.3998535111545152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theme="4" tint="0.79985961485641044"/>
      </patternFill>
    </fill>
    <fill>
      <patternFill patternType="solid">
        <fgColor rgb="FF46AD1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DBC10"/>
        <bgColor indexed="64"/>
      </patternFill>
    </fill>
    <fill>
      <patternFill patternType="solid">
        <fgColor rgb="FF0037A4"/>
        <bgColor indexed="64"/>
      </patternFill>
    </fill>
    <fill>
      <patternFill patternType="solid">
        <fgColor rgb="FF65F5D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CAF4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rgb="FFE28DF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8535111545152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C00000"/>
        <bgColor indexed="64"/>
      </patternFill>
    </fill>
  </fills>
  <borders count="15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medium">
        <color rgb="FF0000FF"/>
      </top>
      <bottom style="thin">
        <color rgb="FF0000FF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thin">
        <color rgb="FF0000FF"/>
      </bottom>
      <diagonal/>
    </border>
    <border>
      <left/>
      <right style="thin">
        <color rgb="FF0000FF"/>
      </right>
      <top style="medium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medium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medium">
        <color rgb="FF0000FF"/>
      </left>
      <right style="medium">
        <color rgb="FF0000FF"/>
      </right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 style="medium">
        <color rgb="FF0000FF"/>
      </left>
      <right style="medium">
        <color rgb="FF0000FF"/>
      </right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medium">
        <color rgb="FF0000FF"/>
      </left>
      <right style="thin">
        <color rgb="FF0000FF"/>
      </right>
      <top style="medium">
        <color rgb="FF0000FF"/>
      </top>
      <bottom style="thin">
        <color rgb="FF0000FF"/>
      </bottom>
      <diagonal/>
    </border>
    <border>
      <left style="medium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medium">
        <color rgb="FF0000FF"/>
      </left>
      <right style="thin">
        <color rgb="FF0000FF"/>
      </right>
      <top style="thin">
        <color rgb="FF0000FF"/>
      </top>
      <bottom/>
      <diagonal/>
    </border>
    <border>
      <left style="medium">
        <color rgb="FF0000FF"/>
      </left>
      <right style="thin">
        <color rgb="FF0000FF"/>
      </right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 style="thin">
        <color rgb="FF0000FF"/>
      </right>
      <top style="medium">
        <color rgb="FF0000FF"/>
      </top>
      <bottom/>
      <diagonal/>
    </border>
    <border>
      <left style="thin">
        <color rgb="FF0000FF"/>
      </left>
      <right style="thin">
        <color rgb="FF0000FF"/>
      </right>
      <top style="medium">
        <color rgb="FF0000FF"/>
      </top>
      <bottom/>
      <diagonal/>
    </border>
    <border>
      <left style="medium">
        <color rgb="FF0000FF"/>
      </left>
      <right style="thin">
        <color rgb="FF0000FF"/>
      </right>
      <top style="thin">
        <color rgb="FF0000FF"/>
      </top>
      <bottom style="medium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medium">
        <color rgb="FF0000FF"/>
      </bottom>
      <diagonal/>
    </border>
    <border>
      <left style="medium">
        <color rgb="FF0000FF"/>
      </left>
      <right style="thin">
        <color rgb="FF0000FF"/>
      </right>
      <top/>
      <bottom style="medium">
        <color rgb="FF0000FF"/>
      </bottom>
      <diagonal/>
    </border>
    <border>
      <left style="thin">
        <color rgb="FF0000FF"/>
      </left>
      <right style="thin">
        <color rgb="FF0000FF"/>
      </right>
      <top/>
      <bottom style="medium">
        <color rgb="FF0000FF"/>
      </bottom>
      <diagonal/>
    </border>
    <border>
      <left style="medium">
        <color rgb="FF0000FF"/>
      </left>
      <right style="medium">
        <color rgb="FF0000FF"/>
      </right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medium">
        <color rgb="FF0000FF"/>
      </left>
      <right style="medium">
        <color rgb="FF0000FF"/>
      </right>
      <top style="thin">
        <color rgb="FF0000FF"/>
      </top>
      <bottom style="medium">
        <color rgb="FF0000FF"/>
      </bottom>
      <diagonal/>
    </border>
    <border>
      <left/>
      <right/>
      <top style="thin">
        <color rgb="FF0000FF"/>
      </top>
      <bottom style="medium">
        <color rgb="FF0000FF"/>
      </bottom>
      <diagonal/>
    </border>
    <border>
      <left/>
      <right style="thin">
        <color rgb="FF0000FF"/>
      </right>
      <top style="thin">
        <color rgb="FF0000FF"/>
      </top>
      <bottom style="medium">
        <color rgb="FF0000FF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medium">
        <color rgb="FF0000FF"/>
      </left>
      <right style="thin">
        <color rgb="FF0000FF"/>
      </right>
      <top/>
      <bottom style="thin">
        <color rgb="FF0000FF"/>
      </bottom>
      <diagonal/>
    </border>
    <border>
      <left/>
      <right style="medium">
        <color rgb="FF0000FF"/>
      </right>
      <top style="medium">
        <color rgb="FF0000FF"/>
      </top>
      <bottom style="thin">
        <color rgb="FF0000FF"/>
      </bottom>
      <diagonal/>
    </border>
    <border>
      <left/>
      <right style="thin">
        <color auto="1"/>
      </right>
      <top style="medium">
        <color rgb="FF0000FF"/>
      </top>
      <bottom style="thin">
        <color auto="1"/>
      </bottom>
      <diagonal/>
    </border>
    <border>
      <left/>
      <right style="medium">
        <color rgb="FF0000FF"/>
      </right>
      <top style="thin">
        <color rgb="FF0000FF"/>
      </top>
      <bottom/>
      <diagonal/>
    </border>
    <border>
      <left/>
      <right/>
      <top/>
      <bottom style="medium">
        <color rgb="FF0000FF"/>
      </bottom>
      <diagonal/>
    </border>
    <border>
      <left style="thin">
        <color rgb="FF0000FF"/>
      </left>
      <right/>
      <top style="medium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/>
      <diagonal/>
    </border>
    <border>
      <left style="thin">
        <color rgb="FF0000FF"/>
      </left>
      <right/>
      <top style="medium">
        <color rgb="FF0000FF"/>
      </top>
      <bottom/>
      <diagonal/>
    </border>
    <border>
      <left style="thin">
        <color rgb="FF0000FF"/>
      </left>
      <right/>
      <top style="thin">
        <color rgb="FF0000FF"/>
      </top>
      <bottom style="medium">
        <color rgb="FF0000FF"/>
      </bottom>
      <diagonal/>
    </border>
    <border>
      <left style="thin">
        <color rgb="FF0000FF"/>
      </left>
      <right/>
      <top/>
      <bottom style="medium">
        <color rgb="FF0000FF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/>
      <right style="thin">
        <color rgb="FF0000FF"/>
      </right>
      <top/>
      <bottom style="medium">
        <color rgb="FF0000FF"/>
      </bottom>
      <diagonal/>
    </border>
    <border>
      <left style="thin">
        <color rgb="FF0000FF"/>
      </left>
      <right/>
      <top/>
      <bottom style="thin">
        <color rgb="FF0000FF"/>
      </bottom>
      <diagonal/>
    </border>
    <border>
      <left style="thin">
        <color rgb="FF0000FF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rgb="FF0000FF"/>
      </top>
      <bottom style="thin">
        <color auto="1"/>
      </bottom>
      <diagonal/>
    </border>
    <border>
      <left style="medium">
        <color rgb="FF0000FF"/>
      </left>
      <right/>
      <top style="medium">
        <color rgb="FF0000FF"/>
      </top>
      <bottom style="thin">
        <color rgb="FF0000FF"/>
      </bottom>
      <diagonal/>
    </border>
    <border>
      <left style="medium">
        <color rgb="FF0000FF"/>
      </left>
      <right/>
      <top style="thin">
        <color rgb="FF0000FF"/>
      </top>
      <bottom style="thin">
        <color rgb="FF0000FF"/>
      </bottom>
      <diagonal/>
    </border>
    <border>
      <left style="medium">
        <color rgb="FF0000FF"/>
      </left>
      <right/>
      <top style="thin">
        <color rgb="FF0000FF"/>
      </top>
      <bottom style="medium">
        <color rgb="FF0000FF"/>
      </bottom>
      <diagonal/>
    </border>
    <border>
      <left style="thin">
        <color rgb="FF0000FF"/>
      </left>
      <right style="medium">
        <color rgb="FF0000FF"/>
      </right>
      <top style="medium">
        <color rgb="FF0000FF"/>
      </top>
      <bottom style="thin">
        <color rgb="FF0000FF"/>
      </bottom>
      <diagonal/>
    </border>
    <border>
      <left style="thin">
        <color rgb="FF0000FF"/>
      </left>
      <right style="medium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medium">
        <color rgb="FF0000FF"/>
      </right>
      <top style="thin">
        <color rgb="FF0000FF"/>
      </top>
      <bottom style="medium">
        <color rgb="FF0000FF"/>
      </bottom>
      <diagonal/>
    </border>
    <border>
      <left style="medium">
        <color rgb="FF0000FF"/>
      </left>
      <right/>
      <top style="thin">
        <color rgb="FF0000FF"/>
      </top>
      <bottom/>
      <diagonal/>
    </border>
    <border>
      <left/>
      <right style="medium">
        <color rgb="FF0000FF"/>
      </right>
      <top style="thin">
        <color rgb="FF0000FF"/>
      </top>
      <bottom style="thin">
        <color rgb="FF0000FF"/>
      </bottom>
      <diagonal/>
    </border>
    <border>
      <left/>
      <right style="medium">
        <color rgb="FF0000FF"/>
      </right>
      <top/>
      <bottom style="thin">
        <color rgb="FF0000FF"/>
      </bottom>
      <diagonal/>
    </border>
    <border>
      <left/>
      <right style="medium">
        <color rgb="FF0000FF"/>
      </right>
      <top style="thin">
        <color rgb="FF0000FF"/>
      </top>
      <bottom style="medium">
        <color rgb="FF0000FF"/>
      </bottom>
      <diagonal/>
    </border>
    <border>
      <left style="medium">
        <color rgb="FF0000FF"/>
      </left>
      <right style="medium">
        <color rgb="FF0000FF"/>
      </right>
      <top/>
      <bottom style="medium">
        <color rgb="FF0000FF"/>
      </bottom>
      <diagonal/>
    </border>
    <border>
      <left style="thin">
        <color rgb="FF0000FF"/>
      </left>
      <right style="medium">
        <color rgb="FF0000FF"/>
      </right>
      <top/>
      <bottom style="medium">
        <color rgb="FF0000FF"/>
      </bottom>
      <diagonal/>
    </border>
    <border>
      <left style="thin">
        <color rgb="FF0000FF"/>
      </left>
      <right style="medium">
        <color rgb="FF0000FF"/>
      </right>
      <top style="medium">
        <color rgb="FF0000FF"/>
      </top>
      <bottom/>
      <diagonal/>
    </border>
    <border>
      <left style="thin">
        <color rgb="FF0000FF"/>
      </left>
      <right style="medium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 style="medium">
        <color rgb="FF0000FF"/>
      </top>
      <bottom style="medium">
        <color rgb="FF0000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theme="1"/>
      </right>
      <top style="medium">
        <color auto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auto="1"/>
      </top>
      <bottom style="thin">
        <color theme="1"/>
      </bottom>
      <diagonal/>
    </border>
    <border>
      <left style="thin">
        <color theme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5">
    <xf numFmtId="0" fontId="0" fillId="0" borderId="0"/>
    <xf numFmtId="9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165" fontId="49" fillId="0" borderId="0" applyFont="0" applyFill="0" applyBorder="0" applyAlignment="0" applyProtection="0"/>
    <xf numFmtId="165" fontId="49" fillId="0" borderId="0" applyFont="0" applyFill="0" applyBorder="0" applyAlignment="0" applyProtection="0"/>
    <xf numFmtId="164" fontId="64" fillId="0" borderId="0" applyFont="0" applyFill="0" applyBorder="0" applyAlignment="0" applyProtection="0"/>
    <xf numFmtId="43" fontId="64" fillId="0" borderId="0" applyFont="0" applyFill="0" applyBorder="0" applyAlignment="0" applyProtection="0"/>
    <xf numFmtId="164" fontId="64" fillId="0" borderId="0" applyFont="0" applyFill="0" applyBorder="0" applyAlignment="0" applyProtection="0"/>
    <xf numFmtId="43" fontId="64" fillId="0" borderId="0" applyFont="0" applyFill="0" applyBorder="0" applyAlignment="0" applyProtection="0"/>
    <xf numFmtId="165" fontId="64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64" fillId="0" borderId="0"/>
    <xf numFmtId="0" fontId="64" fillId="0" borderId="0"/>
    <xf numFmtId="166" fontId="64" fillId="0" borderId="0"/>
    <xf numFmtId="166" fontId="49" fillId="0" borderId="0"/>
    <xf numFmtId="0" fontId="64" fillId="0" borderId="0"/>
    <xf numFmtId="0" fontId="49" fillId="0" borderId="0"/>
    <xf numFmtId="0" fontId="49" fillId="0" borderId="0"/>
    <xf numFmtId="0" fontId="49" fillId="0" borderId="0"/>
    <xf numFmtId="9" fontId="64" fillId="0" borderId="0" applyFont="0" applyFill="0" applyBorder="0" applyAlignment="0" applyProtection="0"/>
    <xf numFmtId="43" fontId="77" fillId="0" borderId="0" applyFont="0" applyFill="0" applyBorder="0" applyAlignment="0" applyProtection="0"/>
    <xf numFmtId="0" fontId="11" fillId="51" borderId="0" applyNumberFormat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9" fontId="79" fillId="0" borderId="0" applyFont="0" applyFill="0" applyBorder="0" applyAlignment="0" applyProtection="0"/>
  </cellStyleXfs>
  <cellXfs count="2167">
    <xf numFmtId="0" fontId="0" fillId="0" borderId="0" xfId="0"/>
    <xf numFmtId="167" fontId="0" fillId="0" borderId="0" xfId="0" applyNumberFormat="1"/>
    <xf numFmtId="0" fontId="0" fillId="2" borderId="0" xfId="0" applyFill="1" applyAlignment="1">
      <alignment horizontal="center" wrapText="1"/>
    </xf>
    <xf numFmtId="168" fontId="0" fillId="2" borderId="0" xfId="0" applyNumberFormat="1" applyFill="1" applyAlignment="1">
      <alignment horizontal="center" vertical="center"/>
    </xf>
    <xf numFmtId="0" fontId="16" fillId="0" borderId="0" xfId="0" applyFont="1"/>
    <xf numFmtId="169" fontId="0" fillId="0" borderId="0" xfId="0" applyNumberFormat="1"/>
    <xf numFmtId="0" fontId="17" fillId="0" borderId="0" xfId="12" applyFont="1" applyAlignment="1">
      <alignment horizontal="center" vertical="center"/>
    </xf>
    <xf numFmtId="0" fontId="18" fillId="0" borderId="0" xfId="12" applyFont="1" applyAlignment="1">
      <alignment horizontal="center" vertical="center"/>
    </xf>
    <xf numFmtId="2" fontId="17" fillId="0" borderId="0" xfId="12" applyNumberFormat="1" applyFont="1" applyAlignment="1">
      <alignment horizontal="center" vertical="center"/>
    </xf>
    <xf numFmtId="165" fontId="17" fillId="0" borderId="0" xfId="9" applyFont="1" applyAlignment="1">
      <alignment horizontal="center" vertical="center"/>
    </xf>
    <xf numFmtId="2" fontId="17" fillId="0" borderId="0" xfId="12" applyNumberFormat="1" applyFont="1" applyAlignment="1">
      <alignment horizontal="right" vertical="center"/>
    </xf>
    <xf numFmtId="43" fontId="17" fillId="0" borderId="0" xfId="12" applyNumberFormat="1" applyFont="1" applyAlignment="1">
      <alignment horizontal="center" vertical="center"/>
    </xf>
    <xf numFmtId="170" fontId="17" fillId="0" borderId="0" xfId="12" applyNumberFormat="1" applyFont="1" applyAlignment="1">
      <alignment vertical="center"/>
    </xf>
    <xf numFmtId="2" fontId="18" fillId="3" borderId="6" xfId="9" applyNumberFormat="1" applyFont="1" applyFill="1" applyBorder="1" applyAlignment="1">
      <alignment horizontal="center" vertical="center"/>
    </xf>
    <xf numFmtId="2" fontId="18" fillId="3" borderId="3" xfId="9" applyNumberFormat="1" applyFont="1" applyFill="1" applyBorder="1" applyAlignment="1">
      <alignment horizontal="center" vertical="center"/>
    </xf>
    <xf numFmtId="0" fontId="18" fillId="4" borderId="1" xfId="12" applyFont="1" applyFill="1" applyBorder="1" applyAlignment="1">
      <alignment horizontal="center" vertical="center"/>
    </xf>
    <xf numFmtId="0" fontId="18" fillId="0" borderId="9" xfId="12" applyFont="1" applyBorder="1" applyAlignment="1" applyProtection="1">
      <alignment horizontal="center" vertical="center"/>
      <protection locked="0"/>
    </xf>
    <xf numFmtId="0" fontId="18" fillId="5" borderId="9" xfId="12" applyFont="1" applyFill="1" applyBorder="1" applyAlignment="1">
      <alignment horizontal="center" vertical="center"/>
    </xf>
    <xf numFmtId="0" fontId="18" fillId="0" borderId="10" xfId="12" applyFont="1" applyBorder="1" applyAlignment="1">
      <alignment horizontal="center" vertical="center"/>
    </xf>
    <xf numFmtId="2" fontId="18" fillId="3" borderId="9" xfId="12" applyNumberFormat="1" applyFont="1" applyFill="1" applyBorder="1" applyAlignment="1">
      <alignment horizontal="center" vertical="center"/>
    </xf>
    <xf numFmtId="2" fontId="18" fillId="3" borderId="9" xfId="9" applyNumberFormat="1" applyFont="1" applyFill="1" applyBorder="1" applyAlignment="1">
      <alignment horizontal="center" vertical="center"/>
    </xf>
    <xf numFmtId="0" fontId="18" fillId="3" borderId="5" xfId="12" applyFont="1" applyFill="1" applyBorder="1" applyAlignment="1">
      <alignment horizontal="center" vertical="center"/>
    </xf>
    <xf numFmtId="0" fontId="18" fillId="0" borderId="13" xfId="12" applyFont="1" applyBorder="1" applyAlignment="1">
      <alignment horizontal="center" vertical="center"/>
    </xf>
    <xf numFmtId="0" fontId="18" fillId="0" borderId="14" xfId="12" applyFont="1" applyBorder="1" applyAlignment="1">
      <alignment horizontal="center" vertical="center"/>
    </xf>
    <xf numFmtId="2" fontId="18" fillId="5" borderId="15" xfId="12" applyNumberFormat="1" applyFont="1" applyFill="1" applyBorder="1" applyAlignment="1">
      <alignment horizontal="center" vertical="center"/>
    </xf>
    <xf numFmtId="2" fontId="18" fillId="0" borderId="16" xfId="12" applyNumberFormat="1" applyFont="1" applyBorder="1" applyAlignment="1">
      <alignment horizontal="center" vertical="center"/>
    </xf>
    <xf numFmtId="168" fontId="18" fillId="5" borderId="15" xfId="12" applyNumberFormat="1" applyFont="1" applyFill="1" applyBorder="1" applyAlignment="1">
      <alignment horizontal="center" vertical="center"/>
    </xf>
    <xf numFmtId="168" fontId="18" fillId="0" borderId="16" xfId="12" applyNumberFormat="1" applyFont="1" applyBorder="1" applyAlignment="1">
      <alignment horizontal="center" vertical="center"/>
    </xf>
    <xf numFmtId="171" fontId="18" fillId="0" borderId="16" xfId="12" applyNumberFormat="1" applyFont="1" applyBorder="1" applyAlignment="1">
      <alignment horizontal="center" vertical="center"/>
    </xf>
    <xf numFmtId="2" fontId="18" fillId="0" borderId="13" xfId="12" applyNumberFormat="1" applyFont="1" applyBorder="1" applyAlignment="1">
      <alignment horizontal="center" vertical="center"/>
    </xf>
    <xf numFmtId="2" fontId="18" fillId="0" borderId="14" xfId="12" applyNumberFormat="1" applyFont="1" applyBorder="1" applyAlignment="1">
      <alignment horizontal="center" vertical="center"/>
    </xf>
    <xf numFmtId="171" fontId="18" fillId="5" borderId="15" xfId="12" applyNumberFormat="1" applyFont="1" applyFill="1" applyBorder="1" applyAlignment="1">
      <alignment horizontal="center" vertical="center"/>
    </xf>
    <xf numFmtId="0" fontId="18" fillId="0" borderId="17" xfId="12" applyFont="1" applyBorder="1" applyAlignment="1">
      <alignment horizontal="center" vertical="center"/>
    </xf>
    <xf numFmtId="0" fontId="18" fillId="0" borderId="18" xfId="12" applyFont="1" applyBorder="1" applyAlignment="1">
      <alignment horizontal="center" vertical="center"/>
    </xf>
    <xf numFmtId="2" fontId="18" fillId="5" borderId="19" xfId="12" applyNumberFormat="1" applyFont="1" applyFill="1" applyBorder="1" applyAlignment="1">
      <alignment horizontal="center" vertical="center"/>
    </xf>
    <xf numFmtId="1" fontId="18" fillId="0" borderId="20" xfId="12" applyNumberFormat="1" applyFont="1" applyBorder="1" applyAlignment="1">
      <alignment horizontal="center" vertical="center"/>
    </xf>
    <xf numFmtId="0" fontId="18" fillId="0" borderId="21" xfId="12" applyFont="1" applyBorder="1" applyAlignment="1">
      <alignment horizontal="center" vertical="center"/>
    </xf>
    <xf numFmtId="0" fontId="18" fillId="0" borderId="22" xfId="12" applyFont="1" applyBorder="1" applyAlignment="1">
      <alignment horizontal="center" vertical="center"/>
    </xf>
    <xf numFmtId="0" fontId="18" fillId="0" borderId="23" xfId="12" applyFont="1" applyBorder="1" applyAlignment="1">
      <alignment horizontal="center" vertical="center"/>
    </xf>
    <xf numFmtId="1" fontId="18" fillId="5" borderId="6" xfId="12" applyNumberFormat="1" applyFont="1" applyFill="1" applyBorder="1" applyAlignment="1">
      <alignment horizontal="center" vertical="center"/>
    </xf>
    <xf numFmtId="165" fontId="17" fillId="0" borderId="0" xfId="3" applyFont="1" applyBorder="1" applyAlignment="1">
      <alignment horizontal="center" vertical="center"/>
    </xf>
    <xf numFmtId="171" fontId="18" fillId="0" borderId="0" xfId="12" applyNumberFormat="1" applyFont="1" applyAlignment="1">
      <alignment horizontal="center" vertical="center"/>
    </xf>
    <xf numFmtId="0" fontId="18" fillId="0" borderId="1" xfId="12" applyFont="1" applyBorder="1" applyAlignment="1">
      <alignment vertical="center"/>
    </xf>
    <xf numFmtId="2" fontId="18" fillId="0" borderId="0" xfId="12" applyNumberFormat="1" applyFont="1" applyAlignment="1">
      <alignment vertical="center"/>
    </xf>
    <xf numFmtId="171" fontId="17" fillId="0" borderId="0" xfId="12" applyNumberFormat="1" applyFont="1" applyAlignment="1">
      <alignment horizontal="center" vertical="center"/>
    </xf>
    <xf numFmtId="2" fontId="18" fillId="0" borderId="0" xfId="12" applyNumberFormat="1" applyFont="1" applyAlignment="1">
      <alignment horizontal="center" vertical="center"/>
    </xf>
    <xf numFmtId="1" fontId="17" fillId="0" borderId="0" xfId="19" applyNumberFormat="1" applyFont="1" applyAlignment="1">
      <alignment horizontal="center" vertical="center"/>
    </xf>
    <xf numFmtId="1" fontId="17" fillId="0" borderId="0" xfId="3" applyNumberFormat="1" applyFont="1" applyBorder="1" applyAlignment="1">
      <alignment horizontal="center" vertical="center"/>
    </xf>
    <xf numFmtId="1" fontId="17" fillId="0" borderId="0" xfId="12" applyNumberFormat="1" applyFont="1" applyAlignment="1">
      <alignment horizontal="center" vertical="center"/>
    </xf>
    <xf numFmtId="172" fontId="17" fillId="0" borderId="0" xfId="12" applyNumberFormat="1" applyFont="1" applyAlignment="1">
      <alignment horizontal="center" vertical="center"/>
    </xf>
    <xf numFmtId="0" fontId="17" fillId="0" borderId="26" xfId="12" applyFont="1" applyBorder="1" applyAlignment="1">
      <alignment horizontal="center" vertical="center"/>
    </xf>
    <xf numFmtId="0" fontId="17" fillId="0" borderId="27" xfId="12" applyFont="1" applyBorder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5" borderId="0" xfId="12" applyFont="1" applyFill="1" applyAlignment="1">
      <alignment horizontal="center" vertical="center"/>
    </xf>
    <xf numFmtId="2" fontId="17" fillId="0" borderId="29" xfId="12" applyNumberFormat="1" applyFont="1" applyBorder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1" fontId="17" fillId="5" borderId="0" xfId="0" applyNumberFormat="1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2" fontId="18" fillId="5" borderId="0" xfId="0" applyNumberFormat="1" applyFont="1" applyFill="1" applyAlignment="1">
      <alignment horizontal="center" vertical="center"/>
    </xf>
    <xf numFmtId="171" fontId="18" fillId="5" borderId="0" xfId="0" applyNumberFormat="1" applyFont="1" applyFill="1" applyAlignment="1">
      <alignment horizontal="center" vertical="center"/>
    </xf>
    <xf numFmtId="2" fontId="18" fillId="5" borderId="0" xfId="12" applyNumberFormat="1" applyFont="1" applyFill="1" applyAlignment="1">
      <alignment horizontal="center" vertical="center"/>
    </xf>
    <xf numFmtId="0" fontId="17" fillId="5" borderId="0" xfId="12" applyFont="1" applyFill="1" applyAlignment="1">
      <alignment horizontal="center" vertical="center"/>
    </xf>
    <xf numFmtId="1" fontId="18" fillId="5" borderId="0" xfId="12" applyNumberFormat="1" applyFont="1" applyFill="1" applyAlignment="1">
      <alignment horizontal="center" vertical="center"/>
    </xf>
    <xf numFmtId="14" fontId="17" fillId="0" borderId="0" xfId="12" applyNumberFormat="1" applyFont="1" applyAlignment="1">
      <alignment horizontal="center" vertical="center"/>
    </xf>
    <xf numFmtId="171" fontId="18" fillId="5" borderId="0" xfId="12" applyNumberFormat="1" applyFont="1" applyFill="1" applyAlignment="1">
      <alignment horizontal="center" vertical="center"/>
    </xf>
    <xf numFmtId="0" fontId="20" fillId="4" borderId="6" xfId="12" applyFont="1" applyFill="1" applyBorder="1" applyAlignment="1">
      <alignment horizontal="center" vertical="center"/>
    </xf>
    <xf numFmtId="0" fontId="17" fillId="0" borderId="28" xfId="12" applyFont="1" applyBorder="1" applyAlignment="1">
      <alignment horizontal="center" vertical="center"/>
    </xf>
    <xf numFmtId="2" fontId="17" fillId="0" borderId="28" xfId="12" applyNumberFormat="1" applyFont="1" applyBorder="1" applyAlignment="1">
      <alignment horizontal="center" vertical="center"/>
    </xf>
    <xf numFmtId="171" fontId="17" fillId="0" borderId="28" xfId="12" applyNumberFormat="1" applyFont="1" applyBorder="1" applyAlignment="1">
      <alignment horizontal="center" vertical="center"/>
    </xf>
    <xf numFmtId="2" fontId="17" fillId="5" borderId="28" xfId="12" applyNumberFormat="1" applyFont="1" applyFill="1" applyBorder="1" applyAlignment="1">
      <alignment horizontal="center" vertical="center"/>
    </xf>
    <xf numFmtId="1" fontId="17" fillId="0" borderId="30" xfId="12" applyNumberFormat="1" applyFont="1" applyBorder="1" applyAlignment="1">
      <alignment horizontal="center" vertical="center"/>
    </xf>
    <xf numFmtId="0" fontId="18" fillId="0" borderId="24" xfId="12" applyFont="1" applyBorder="1" applyAlignment="1">
      <alignment horizontal="center" vertical="center"/>
    </xf>
    <xf numFmtId="1" fontId="18" fillId="5" borderId="2" xfId="12" applyNumberFormat="1" applyFont="1" applyFill="1" applyBorder="1" applyAlignment="1">
      <alignment horizontal="center" vertical="center"/>
    </xf>
    <xf numFmtId="1" fontId="18" fillId="5" borderId="31" xfId="12" applyNumberFormat="1" applyFont="1" applyFill="1" applyBorder="1" applyAlignment="1">
      <alignment horizontal="center" vertical="center"/>
    </xf>
    <xf numFmtId="2" fontId="18" fillId="5" borderId="24" xfId="12" applyNumberFormat="1" applyFont="1" applyFill="1" applyBorder="1" applyAlignment="1">
      <alignment horizontal="center" vertical="center"/>
    </xf>
    <xf numFmtId="168" fontId="17" fillId="0" borderId="0" xfId="12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" fontId="21" fillId="5" borderId="15" xfId="12" applyNumberFormat="1" applyFont="1" applyFill="1" applyBorder="1" applyAlignment="1">
      <alignment horizontal="center" vertical="center"/>
    </xf>
    <xf numFmtId="2" fontId="21" fillId="5" borderId="15" xfId="12" applyNumberFormat="1" applyFont="1" applyFill="1" applyBorder="1" applyAlignment="1">
      <alignment horizontal="center" vertical="center"/>
    </xf>
    <xf numFmtId="168" fontId="21" fillId="5" borderId="15" xfId="12" applyNumberFormat="1" applyFont="1" applyFill="1" applyBorder="1" applyAlignment="1">
      <alignment horizontal="center" vertical="center"/>
    </xf>
    <xf numFmtId="171" fontId="21" fillId="5" borderId="15" xfId="12" applyNumberFormat="1" applyFont="1" applyFill="1" applyBorder="1" applyAlignment="1">
      <alignment horizontal="center" vertical="center"/>
    </xf>
    <xf numFmtId="1" fontId="21" fillId="5" borderId="19" xfId="12" applyNumberFormat="1" applyFont="1" applyFill="1" applyBorder="1" applyAlignment="1">
      <alignment horizontal="center" vertical="center"/>
    </xf>
    <xf numFmtId="1" fontId="18" fillId="0" borderId="0" xfId="12" applyNumberFormat="1" applyFont="1" applyAlignment="1">
      <alignment horizontal="center" vertical="center"/>
    </xf>
    <xf numFmtId="2" fontId="17" fillId="5" borderId="0" xfId="0" applyNumberFormat="1" applyFont="1" applyFill="1" applyAlignment="1">
      <alignment horizontal="right" vertical="center"/>
    </xf>
    <xf numFmtId="0" fontId="22" fillId="7" borderId="10" xfId="12" applyFont="1" applyFill="1" applyBorder="1" applyAlignment="1">
      <alignment horizontal="center" vertical="center"/>
    </xf>
    <xf numFmtId="0" fontId="22" fillId="6" borderId="13" xfId="12" applyFont="1" applyFill="1" applyBorder="1" applyAlignment="1">
      <alignment horizontal="center" vertical="center"/>
    </xf>
    <xf numFmtId="0" fontId="22" fillId="7" borderId="13" xfId="12" applyFont="1" applyFill="1" applyBorder="1" applyAlignment="1">
      <alignment horizontal="center" vertical="center" wrapText="1"/>
    </xf>
    <xf numFmtId="0" fontId="22" fillId="7" borderId="17" xfId="12" applyFont="1" applyFill="1" applyBorder="1" applyAlignment="1">
      <alignment horizontal="center" vertical="center" wrapText="1"/>
    </xf>
    <xf numFmtId="2" fontId="23" fillId="6" borderId="1" xfId="12" applyNumberFormat="1" applyFont="1" applyFill="1" applyBorder="1" applyAlignment="1">
      <alignment vertical="center" wrapText="1"/>
    </xf>
    <xf numFmtId="0" fontId="20" fillId="2" borderId="6" xfId="12" applyFont="1" applyFill="1" applyBorder="1" applyAlignment="1">
      <alignment horizontal="center" vertical="center"/>
    </xf>
    <xf numFmtId="0" fontId="18" fillId="4" borderId="6" xfId="12" applyFont="1" applyFill="1" applyBorder="1" applyAlignment="1">
      <alignment horizontal="center" vertical="center"/>
    </xf>
    <xf numFmtId="0" fontId="18" fillId="4" borderId="2" xfId="12" applyFont="1" applyFill="1" applyBorder="1" applyAlignment="1">
      <alignment horizontal="center" vertical="center"/>
    </xf>
    <xf numFmtId="0" fontId="17" fillId="2" borderId="26" xfId="12" applyFont="1" applyFill="1" applyBorder="1" applyAlignment="1">
      <alignment horizontal="center" vertical="center"/>
    </xf>
    <xf numFmtId="0" fontId="17" fillId="2" borderId="28" xfId="12" applyFont="1" applyFill="1" applyBorder="1" applyAlignment="1">
      <alignment horizontal="center" vertical="center"/>
    </xf>
    <xf numFmtId="2" fontId="17" fillId="2" borderId="28" xfId="12" applyNumberFormat="1" applyFont="1" applyFill="1" applyBorder="1" applyAlignment="1">
      <alignment horizontal="center" vertical="center"/>
    </xf>
    <xf numFmtId="171" fontId="17" fillId="2" borderId="28" xfId="12" applyNumberFormat="1" applyFont="1" applyFill="1" applyBorder="1" applyAlignment="1">
      <alignment horizontal="center" vertical="center"/>
    </xf>
    <xf numFmtId="1" fontId="17" fillId="2" borderId="30" xfId="12" applyNumberFormat="1" applyFont="1" applyFill="1" applyBorder="1" applyAlignment="1">
      <alignment horizontal="center" vertical="center"/>
    </xf>
    <xf numFmtId="0" fontId="17" fillId="0" borderId="30" xfId="12" applyFont="1" applyBorder="1" applyAlignment="1">
      <alignment horizontal="center" vertical="center"/>
    </xf>
    <xf numFmtId="0" fontId="18" fillId="2" borderId="24" xfId="12" applyFont="1" applyFill="1" applyBorder="1" applyAlignment="1">
      <alignment horizontal="center" vertical="center"/>
    </xf>
    <xf numFmtId="171" fontId="18" fillId="0" borderId="25" xfId="12" applyNumberFormat="1" applyFont="1" applyBorder="1" applyAlignment="1">
      <alignment horizontal="center" vertical="center"/>
    </xf>
    <xf numFmtId="0" fontId="22" fillId="7" borderId="26" xfId="12" applyFont="1" applyFill="1" applyBorder="1" applyAlignment="1">
      <alignment horizontal="center" vertical="center"/>
    </xf>
    <xf numFmtId="0" fontId="22" fillId="7" borderId="27" xfId="12" applyFont="1" applyFill="1" applyBorder="1" applyAlignment="1">
      <alignment horizontal="center" vertical="center"/>
    </xf>
    <xf numFmtId="1" fontId="23" fillId="8" borderId="28" xfId="12" applyNumberFormat="1" applyFont="1" applyFill="1" applyBorder="1" applyAlignment="1">
      <alignment horizontal="center" vertical="center"/>
    </xf>
    <xf numFmtId="1" fontId="23" fillId="8" borderId="14" xfId="12" applyNumberFormat="1" applyFont="1" applyFill="1" applyBorder="1" applyAlignment="1">
      <alignment horizontal="center" vertical="center"/>
    </xf>
    <xf numFmtId="2" fontId="22" fillId="8" borderId="29" xfId="12" applyNumberFormat="1" applyFont="1" applyFill="1" applyBorder="1" applyAlignment="1">
      <alignment horizontal="center" vertical="center"/>
    </xf>
    <xf numFmtId="1" fontId="22" fillId="7" borderId="28" xfId="12" applyNumberFormat="1" applyFont="1" applyFill="1" applyBorder="1" applyAlignment="1">
      <alignment horizontal="center" vertical="center"/>
    </xf>
    <xf numFmtId="1" fontId="23" fillId="7" borderId="28" xfId="12" applyNumberFormat="1" applyFont="1" applyFill="1" applyBorder="1" applyAlignment="1">
      <alignment horizontal="center" vertical="center"/>
    </xf>
    <xf numFmtId="1" fontId="23" fillId="7" borderId="14" xfId="12" applyNumberFormat="1" applyFont="1" applyFill="1" applyBorder="1" applyAlignment="1">
      <alignment horizontal="center" vertical="center"/>
    </xf>
    <xf numFmtId="2" fontId="22" fillId="7" borderId="29" xfId="12" applyNumberFormat="1" applyFont="1" applyFill="1" applyBorder="1" applyAlignment="1">
      <alignment horizontal="center" vertical="center"/>
    </xf>
    <xf numFmtId="1" fontId="22" fillId="7" borderId="32" xfId="12" applyNumberFormat="1" applyFont="1" applyFill="1" applyBorder="1" applyAlignment="1">
      <alignment horizontal="center" vertical="center"/>
    </xf>
    <xf numFmtId="1" fontId="22" fillId="7" borderId="33" xfId="12" applyNumberFormat="1" applyFont="1" applyFill="1" applyBorder="1" applyAlignment="1">
      <alignment horizontal="center" vertical="center"/>
    </xf>
    <xf numFmtId="1" fontId="24" fillId="6" borderId="2" xfId="12" applyNumberFormat="1" applyFont="1" applyFill="1" applyBorder="1" applyAlignment="1">
      <alignment horizontal="center" vertical="center"/>
    </xf>
    <xf numFmtId="1" fontId="24" fillId="6" borderId="3" xfId="12" applyNumberFormat="1" applyFont="1" applyFill="1" applyBorder="1" applyAlignment="1">
      <alignment horizontal="center" vertical="center"/>
    </xf>
    <xf numFmtId="0" fontId="17" fillId="0" borderId="34" xfId="12" applyFont="1" applyBorder="1" applyAlignment="1">
      <alignment horizontal="center" vertical="center"/>
    </xf>
    <xf numFmtId="0" fontId="17" fillId="0" borderId="35" xfId="12" applyFont="1" applyBorder="1" applyAlignment="1">
      <alignment horizontal="center" vertical="center"/>
    </xf>
    <xf numFmtId="0" fontId="18" fillId="9" borderId="3" xfId="12" applyFont="1" applyFill="1" applyBorder="1" applyAlignment="1">
      <alignment horizontal="center" vertical="center"/>
    </xf>
    <xf numFmtId="2" fontId="18" fillId="9" borderId="6" xfId="9" applyNumberFormat="1" applyFont="1" applyFill="1" applyBorder="1" applyAlignment="1">
      <alignment horizontal="center" vertical="center"/>
    </xf>
    <xf numFmtId="2" fontId="18" fillId="9" borderId="3" xfId="9" applyNumberFormat="1" applyFont="1" applyFill="1" applyBorder="1" applyAlignment="1">
      <alignment horizontal="center" vertical="center"/>
    </xf>
    <xf numFmtId="2" fontId="18" fillId="9" borderId="6" xfId="12" applyNumberFormat="1" applyFont="1" applyFill="1" applyBorder="1" applyAlignment="1">
      <alignment horizontal="center" vertical="center"/>
    </xf>
    <xf numFmtId="2" fontId="18" fillId="5" borderId="38" xfId="9" applyNumberFormat="1" applyFont="1" applyFill="1" applyBorder="1" applyAlignment="1">
      <alignment horizontal="center" vertical="center"/>
    </xf>
    <xf numFmtId="171" fontId="17" fillId="0" borderId="10" xfId="12" applyNumberFormat="1" applyFont="1" applyBorder="1" applyAlignment="1">
      <alignment horizontal="center" vertical="center"/>
    </xf>
    <xf numFmtId="171" fontId="17" fillId="0" borderId="42" xfId="12" applyNumberFormat="1" applyFont="1" applyBorder="1" applyAlignment="1">
      <alignment horizontal="center" vertical="center"/>
    </xf>
    <xf numFmtId="2" fontId="17" fillId="0" borderId="29" xfId="3" applyNumberFormat="1" applyFont="1" applyBorder="1" applyAlignment="1">
      <alignment horizontal="center" vertical="center"/>
    </xf>
    <xf numFmtId="0" fontId="17" fillId="0" borderId="13" xfId="12" applyFont="1" applyBorder="1" applyAlignment="1">
      <alignment horizontal="center" vertical="center"/>
    </xf>
    <xf numFmtId="0" fontId="22" fillId="11" borderId="36" xfId="12" applyFont="1" applyFill="1" applyBorder="1" applyAlignment="1">
      <alignment horizontal="center" vertical="center"/>
    </xf>
    <xf numFmtId="0" fontId="22" fillId="9" borderId="13" xfId="12" applyFont="1" applyFill="1" applyBorder="1" applyAlignment="1">
      <alignment horizontal="center" vertical="center"/>
    </xf>
    <xf numFmtId="0" fontId="22" fillId="11" borderId="13" xfId="12" applyFont="1" applyFill="1" applyBorder="1" applyAlignment="1">
      <alignment horizontal="center" vertical="center" wrapText="1"/>
    </xf>
    <xf numFmtId="0" fontId="22" fillId="11" borderId="17" xfId="12" applyFont="1" applyFill="1" applyBorder="1" applyAlignment="1">
      <alignment horizontal="center" vertical="center" wrapText="1"/>
    </xf>
    <xf numFmtId="2" fontId="23" fillId="9" borderId="1" xfId="12" applyNumberFormat="1" applyFont="1" applyFill="1" applyBorder="1" applyAlignment="1">
      <alignment vertical="center" wrapText="1"/>
    </xf>
    <xf numFmtId="1" fontId="18" fillId="5" borderId="13" xfId="0" applyNumberFormat="1" applyFont="1" applyFill="1" applyBorder="1" applyAlignment="1">
      <alignment horizontal="center" vertical="center"/>
    </xf>
    <xf numFmtId="2" fontId="18" fillId="5" borderId="17" xfId="0" applyNumberFormat="1" applyFont="1" applyFill="1" applyBorder="1" applyAlignment="1">
      <alignment horizontal="center" vertical="center"/>
    </xf>
    <xf numFmtId="0" fontId="18" fillId="12" borderId="1" xfId="12" applyFont="1" applyFill="1" applyBorder="1" applyAlignment="1">
      <alignment horizontal="center" vertical="center"/>
    </xf>
    <xf numFmtId="0" fontId="18" fillId="12" borderId="2" xfId="12" applyFont="1" applyFill="1" applyBorder="1" applyAlignment="1">
      <alignment horizontal="center" vertical="center"/>
    </xf>
    <xf numFmtId="0" fontId="18" fillId="12" borderId="3" xfId="12" applyFont="1" applyFill="1" applyBorder="1" applyAlignment="1">
      <alignment horizontal="center" vertical="center"/>
    </xf>
    <xf numFmtId="0" fontId="20" fillId="12" borderId="6" xfId="12" applyFont="1" applyFill="1" applyBorder="1" applyAlignment="1">
      <alignment horizontal="center" vertical="center"/>
    </xf>
    <xf numFmtId="168" fontId="17" fillId="0" borderId="28" xfId="12" applyNumberFormat="1" applyFont="1" applyBorder="1" applyAlignment="1">
      <alignment horizontal="center" vertical="center"/>
    </xf>
    <xf numFmtId="0" fontId="22" fillId="11" borderId="6" xfId="12" applyFont="1" applyFill="1" applyBorder="1" applyAlignment="1">
      <alignment horizontal="center" vertical="center"/>
    </xf>
    <xf numFmtId="0" fontId="22" fillId="11" borderId="25" xfId="12" applyFont="1" applyFill="1" applyBorder="1" applyAlignment="1">
      <alignment horizontal="center" vertical="center"/>
    </xf>
    <xf numFmtId="1" fontId="23" fillId="8" borderId="27" xfId="12" applyNumberFormat="1" applyFont="1" applyFill="1" applyBorder="1" applyAlignment="1">
      <alignment horizontal="center" vertical="center"/>
    </xf>
    <xf numFmtId="1" fontId="22" fillId="11" borderId="29" xfId="12" applyNumberFormat="1" applyFont="1" applyFill="1" applyBorder="1" applyAlignment="1">
      <alignment horizontal="center" vertical="center"/>
    </xf>
    <xf numFmtId="2" fontId="22" fillId="11" borderId="33" xfId="12" applyNumberFormat="1" applyFont="1" applyFill="1" applyBorder="1" applyAlignment="1">
      <alignment horizontal="center" vertical="center"/>
    </xf>
    <xf numFmtId="1" fontId="24" fillId="9" borderId="3" xfId="12" applyNumberFormat="1" applyFont="1" applyFill="1" applyBorder="1" applyAlignment="1">
      <alignment horizontal="center" vertical="center"/>
    </xf>
    <xf numFmtId="171" fontId="17" fillId="5" borderId="0" xfId="12" applyNumberFormat="1" applyFont="1" applyFill="1" applyAlignment="1">
      <alignment horizontal="center" vertical="center"/>
    </xf>
    <xf numFmtId="0" fontId="25" fillId="0" borderId="0" xfId="12" applyFont="1" applyAlignment="1">
      <alignment vertical="center"/>
    </xf>
    <xf numFmtId="1" fontId="17" fillId="5" borderId="0" xfId="12" applyNumberFormat="1" applyFont="1" applyFill="1" applyAlignment="1">
      <alignment horizontal="center" vertical="center"/>
    </xf>
    <xf numFmtId="0" fontId="25" fillId="0" borderId="0" xfId="12" applyFont="1" applyAlignment="1">
      <alignment horizontal="center" vertical="center"/>
    </xf>
    <xf numFmtId="168" fontId="17" fillId="5" borderId="0" xfId="12" applyNumberFormat="1" applyFont="1" applyFill="1" applyAlignment="1">
      <alignment horizontal="center" vertical="center"/>
    </xf>
    <xf numFmtId="1" fontId="21" fillId="0" borderId="0" xfId="12" applyNumberFormat="1" applyFont="1" applyAlignment="1">
      <alignment horizontal="center" vertical="center"/>
    </xf>
    <xf numFmtId="2" fontId="25" fillId="0" borderId="0" xfId="12" applyNumberFormat="1" applyFont="1" applyAlignment="1">
      <alignment horizontal="center" vertical="center"/>
    </xf>
    <xf numFmtId="1" fontId="25" fillId="0" borderId="0" xfId="12" applyNumberFormat="1" applyFont="1" applyAlignment="1">
      <alignment horizontal="center" vertical="center"/>
    </xf>
    <xf numFmtId="1" fontId="26" fillId="0" borderId="0" xfId="12" applyNumberFormat="1" applyFont="1" applyAlignment="1">
      <alignment vertical="center"/>
    </xf>
    <xf numFmtId="0" fontId="27" fillId="0" borderId="0" xfId="12" applyFont="1" applyAlignment="1">
      <alignment horizontal="center" vertical="center"/>
    </xf>
    <xf numFmtId="2" fontId="18" fillId="12" borderId="4" xfId="12" applyNumberFormat="1" applyFont="1" applyFill="1" applyBorder="1" applyAlignment="1">
      <alignment horizontal="center" vertical="center"/>
    </xf>
    <xf numFmtId="2" fontId="18" fillId="12" borderId="6" xfId="9" applyNumberFormat="1" applyFont="1" applyFill="1" applyBorder="1" applyAlignment="1">
      <alignment horizontal="center" vertical="center"/>
    </xf>
    <xf numFmtId="2" fontId="18" fillId="12" borderId="3" xfId="9" applyNumberFormat="1" applyFont="1" applyFill="1" applyBorder="1" applyAlignment="1">
      <alignment horizontal="center" vertical="center"/>
    </xf>
    <xf numFmtId="2" fontId="18" fillId="12" borderId="7" xfId="12" applyNumberFormat="1" applyFont="1" applyFill="1" applyBorder="1" applyAlignment="1">
      <alignment horizontal="center" vertical="center"/>
    </xf>
    <xf numFmtId="2" fontId="18" fillId="12" borderId="39" xfId="12" applyNumberFormat="1" applyFont="1" applyFill="1" applyBorder="1" applyAlignment="1">
      <alignment horizontal="center" vertical="center"/>
    </xf>
    <xf numFmtId="2" fontId="18" fillId="12" borderId="40" xfId="12" applyNumberFormat="1" applyFont="1" applyFill="1" applyBorder="1" applyAlignment="1">
      <alignment horizontal="center" vertical="center"/>
    </xf>
    <xf numFmtId="2" fontId="18" fillId="12" borderId="40" xfId="9" applyNumberFormat="1" applyFont="1" applyFill="1" applyBorder="1" applyAlignment="1">
      <alignment horizontal="center" vertical="center"/>
    </xf>
    <xf numFmtId="0" fontId="18" fillId="12" borderId="41" xfId="12" applyFont="1" applyFill="1" applyBorder="1" applyAlignment="1">
      <alignment horizontal="center" vertical="center"/>
    </xf>
    <xf numFmtId="0" fontId="18" fillId="5" borderId="13" xfId="12" applyFont="1" applyFill="1" applyBorder="1" applyAlignment="1">
      <alignment horizontal="center" vertical="center"/>
    </xf>
    <xf numFmtId="2" fontId="18" fillId="5" borderId="28" xfId="12" applyNumberFormat="1" applyFont="1" applyFill="1" applyBorder="1" applyAlignment="1">
      <alignment horizontal="center" vertical="center"/>
    </xf>
    <xf numFmtId="2" fontId="18" fillId="0" borderId="29" xfId="12" applyNumberFormat="1" applyFont="1" applyBorder="1" applyAlignment="1">
      <alignment horizontal="center" vertical="center"/>
    </xf>
    <xf numFmtId="0" fontId="18" fillId="0" borderId="44" xfId="12" applyFont="1" applyBorder="1" applyAlignment="1">
      <alignment horizontal="center" vertical="center"/>
    </xf>
    <xf numFmtId="168" fontId="18" fillId="0" borderId="29" xfId="12" applyNumberFormat="1" applyFont="1" applyBorder="1" applyAlignment="1">
      <alignment horizontal="center" vertical="center"/>
    </xf>
    <xf numFmtId="171" fontId="18" fillId="0" borderId="29" xfId="12" applyNumberFormat="1" applyFont="1" applyBorder="1" applyAlignment="1">
      <alignment horizontal="center" vertical="center"/>
    </xf>
    <xf numFmtId="0" fontId="17" fillId="0" borderId="29" xfId="12" applyFont="1" applyBorder="1" applyAlignment="1">
      <alignment horizontal="center" vertical="center"/>
    </xf>
    <xf numFmtId="2" fontId="18" fillId="5" borderId="32" xfId="12" applyNumberFormat="1" applyFont="1" applyFill="1" applyBorder="1" applyAlignment="1">
      <alignment horizontal="center" vertical="center"/>
    </xf>
    <xf numFmtId="0" fontId="17" fillId="0" borderId="33" xfId="12" applyFont="1" applyBorder="1" applyAlignment="1">
      <alignment horizontal="center" vertical="center"/>
    </xf>
    <xf numFmtId="0" fontId="18" fillId="0" borderId="45" xfId="12" applyFont="1" applyBorder="1" applyAlignment="1">
      <alignment horizontal="center" vertical="center"/>
    </xf>
    <xf numFmtId="0" fontId="18" fillId="0" borderId="1" xfId="1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2" applyFont="1" applyAlignment="1">
      <alignment vertical="center"/>
    </xf>
    <xf numFmtId="0" fontId="18" fillId="0" borderId="39" xfId="12" applyFont="1" applyBorder="1" applyAlignment="1">
      <alignment horizontal="center" vertical="center" wrapText="1"/>
    </xf>
    <xf numFmtId="0" fontId="18" fillId="5" borderId="40" xfId="12" applyFont="1" applyFill="1" applyBorder="1" applyAlignment="1">
      <alignment vertical="center"/>
    </xf>
    <xf numFmtId="0" fontId="18" fillId="0" borderId="41" xfId="12" applyFont="1" applyBorder="1" applyAlignment="1">
      <alignment vertical="center" wrapText="1"/>
    </xf>
    <xf numFmtId="0" fontId="18" fillId="0" borderId="13" xfId="12" applyFont="1" applyBorder="1" applyAlignment="1">
      <alignment horizontal="center" vertical="center" wrapText="1"/>
    </xf>
    <xf numFmtId="0" fontId="27" fillId="0" borderId="28" xfId="12" applyFont="1" applyBorder="1" applyAlignment="1">
      <alignment horizontal="center" vertical="center"/>
    </xf>
    <xf numFmtId="0" fontId="27" fillId="0" borderId="29" xfId="12" applyFont="1" applyBorder="1" applyAlignment="1">
      <alignment horizontal="center" vertical="center"/>
    </xf>
    <xf numFmtId="0" fontId="18" fillId="0" borderId="17" xfId="12" applyFont="1" applyBorder="1" applyAlignment="1">
      <alignment horizontal="center" vertical="center" wrapText="1"/>
    </xf>
    <xf numFmtId="0" fontId="27" fillId="0" borderId="32" xfId="12" applyFont="1" applyBorder="1" applyAlignment="1">
      <alignment horizontal="center" vertical="center"/>
    </xf>
    <xf numFmtId="0" fontId="27" fillId="0" borderId="33" xfId="12" applyFont="1" applyBorder="1" applyAlignment="1">
      <alignment horizontal="center" vertical="center"/>
    </xf>
    <xf numFmtId="43" fontId="17" fillId="5" borderId="0" xfId="0" applyNumberFormat="1" applyFont="1" applyFill="1" applyAlignment="1">
      <alignment horizontal="center" vertical="center"/>
    </xf>
    <xf numFmtId="2" fontId="18" fillId="5" borderId="0" xfId="9" applyNumberFormat="1" applyFont="1" applyFill="1" applyBorder="1" applyAlignment="1">
      <alignment horizontal="center" vertical="center"/>
    </xf>
    <xf numFmtId="0" fontId="18" fillId="5" borderId="0" xfId="0" applyFont="1" applyFill="1" applyAlignment="1" applyProtection="1">
      <alignment horizontal="center" vertical="center"/>
      <protection locked="0"/>
    </xf>
    <xf numFmtId="0" fontId="25" fillId="5" borderId="0" xfId="0" applyFont="1" applyFill="1" applyAlignment="1">
      <alignment horizontal="center" vertical="center"/>
    </xf>
    <xf numFmtId="0" fontId="18" fillId="0" borderId="34" xfId="12" applyFont="1" applyBorder="1" applyAlignment="1">
      <alignment horizontal="center" vertical="center"/>
    </xf>
    <xf numFmtId="0" fontId="18" fillId="0" borderId="15" xfId="12" applyFont="1" applyBorder="1" applyAlignment="1">
      <alignment horizontal="center" vertical="center"/>
    </xf>
    <xf numFmtId="0" fontId="18" fillId="0" borderId="39" xfId="12" applyFont="1" applyBorder="1" applyAlignment="1">
      <alignment horizontal="center" vertical="center"/>
    </xf>
    <xf numFmtId="0" fontId="18" fillId="0" borderId="46" xfId="12" applyFont="1" applyBorder="1" applyAlignment="1">
      <alignment horizontal="center" vertical="center"/>
    </xf>
    <xf numFmtId="1" fontId="18" fillId="5" borderId="47" xfId="12" applyNumberFormat="1" applyFont="1" applyFill="1" applyBorder="1" applyAlignment="1">
      <alignment horizontal="center" vertical="center"/>
    </xf>
    <xf numFmtId="1" fontId="18" fillId="5" borderId="48" xfId="12" applyNumberFormat="1" applyFont="1" applyFill="1" applyBorder="1" applyAlignment="1">
      <alignment horizontal="center" vertical="center"/>
    </xf>
    <xf numFmtId="1" fontId="18" fillId="0" borderId="47" xfId="12" applyNumberFormat="1" applyFont="1" applyBorder="1" applyAlignment="1">
      <alignment horizontal="center" vertical="center"/>
    </xf>
    <xf numFmtId="2" fontId="18" fillId="5" borderId="49" xfId="12" applyNumberFormat="1" applyFont="1" applyFill="1" applyBorder="1" applyAlignment="1">
      <alignment horizontal="center" vertical="center"/>
    </xf>
    <xf numFmtId="2" fontId="18" fillId="0" borderId="15" xfId="12" applyNumberFormat="1" applyFont="1" applyBorder="1" applyAlignment="1">
      <alignment horizontal="center" vertical="center"/>
    </xf>
    <xf numFmtId="168" fontId="18" fillId="5" borderId="49" xfId="12" applyNumberFormat="1" applyFont="1" applyFill="1" applyBorder="1" applyAlignment="1">
      <alignment horizontal="center" vertical="center"/>
    </xf>
    <xf numFmtId="171" fontId="18" fillId="0" borderId="15" xfId="12" applyNumberFormat="1" applyFont="1" applyBorder="1" applyAlignment="1">
      <alignment horizontal="center" vertical="center"/>
    </xf>
    <xf numFmtId="171" fontId="18" fillId="5" borderId="49" xfId="12" applyNumberFormat="1" applyFont="1" applyFill="1" applyBorder="1" applyAlignment="1">
      <alignment horizontal="center" vertical="center"/>
    </xf>
    <xf numFmtId="0" fontId="18" fillId="0" borderId="50" xfId="12" applyFont="1" applyBorder="1" applyAlignment="1">
      <alignment horizontal="center" vertical="center"/>
    </xf>
    <xf numFmtId="1" fontId="18" fillId="5" borderId="19" xfId="12" applyNumberFormat="1" applyFont="1" applyFill="1" applyBorder="1" applyAlignment="1">
      <alignment horizontal="center" vertical="center"/>
    </xf>
    <xf numFmtId="2" fontId="18" fillId="5" borderId="51" xfId="12" applyNumberFormat="1" applyFont="1" applyFill="1" applyBorder="1" applyAlignment="1">
      <alignment horizontal="center" vertical="center"/>
    </xf>
    <xf numFmtId="2" fontId="18" fillId="0" borderId="19" xfId="12" applyNumberFormat="1" applyFont="1" applyBorder="1" applyAlignment="1">
      <alignment horizontal="center" vertical="center"/>
    </xf>
    <xf numFmtId="0" fontId="18" fillId="0" borderId="6" xfId="12" applyFont="1" applyBorder="1" applyAlignment="1">
      <alignment horizontal="center" vertical="center"/>
    </xf>
    <xf numFmtId="174" fontId="17" fillId="0" borderId="0" xfId="4" applyNumberFormat="1" applyFont="1" applyBorder="1" applyAlignment="1">
      <alignment horizontal="center" vertical="center"/>
    </xf>
    <xf numFmtId="165" fontId="17" fillId="0" borderId="0" xfId="4" applyFont="1" applyBorder="1" applyAlignment="1">
      <alignment horizontal="center" vertical="center"/>
    </xf>
    <xf numFmtId="0" fontId="17" fillId="5" borderId="10" xfId="12" applyFont="1" applyFill="1" applyBorder="1" applyAlignment="1">
      <alignment horizontal="center" vertical="center" wrapText="1"/>
    </xf>
    <xf numFmtId="0" fontId="17" fillId="5" borderId="26" xfId="12" applyFont="1" applyFill="1" applyBorder="1" applyAlignment="1">
      <alignment horizontal="center" vertical="center" wrapText="1"/>
    </xf>
    <xf numFmtId="2" fontId="17" fillId="5" borderId="27" xfId="12" applyNumberFormat="1" applyFont="1" applyFill="1" applyBorder="1" applyAlignment="1">
      <alignment horizontal="center" vertical="center" wrapText="1"/>
    </xf>
    <xf numFmtId="171" fontId="17" fillId="5" borderId="39" xfId="12" applyNumberFormat="1" applyFont="1" applyFill="1" applyBorder="1" applyAlignment="1">
      <alignment horizontal="center" vertical="center" wrapText="1"/>
    </xf>
    <xf numFmtId="171" fontId="17" fillId="5" borderId="41" xfId="12" applyNumberFormat="1" applyFont="1" applyFill="1" applyBorder="1" applyAlignment="1">
      <alignment horizontal="center" vertical="center" wrapText="1"/>
    </xf>
    <xf numFmtId="0" fontId="17" fillId="5" borderId="53" xfId="12" applyFont="1" applyFill="1" applyBorder="1" applyAlignment="1">
      <alignment horizontal="center" vertical="center"/>
    </xf>
    <xf numFmtId="0" fontId="17" fillId="5" borderId="13" xfId="12" applyFont="1" applyFill="1" applyBorder="1" applyAlignment="1">
      <alignment horizontal="center" vertical="center"/>
    </xf>
    <xf numFmtId="0" fontId="17" fillId="5" borderId="28" xfId="12" applyFont="1" applyFill="1" applyBorder="1" applyAlignment="1">
      <alignment horizontal="center" vertical="center"/>
    </xf>
    <xf numFmtId="2" fontId="17" fillId="5" borderId="29" xfId="12" applyNumberFormat="1" applyFont="1" applyFill="1" applyBorder="1" applyAlignment="1">
      <alignment horizontal="center" vertical="center"/>
    </xf>
    <xf numFmtId="167" fontId="17" fillId="5" borderId="13" xfId="4" applyNumberFormat="1" applyFont="1" applyFill="1" applyBorder="1" applyAlignment="1">
      <alignment horizontal="center" vertical="center" wrapText="1"/>
    </xf>
    <xf numFmtId="167" fontId="17" fillId="5" borderId="29" xfId="12" applyNumberFormat="1" applyFont="1" applyFill="1" applyBorder="1" applyAlignment="1">
      <alignment horizontal="center" vertical="center" wrapText="1"/>
    </xf>
    <xf numFmtId="1" fontId="17" fillId="5" borderId="13" xfId="4" applyNumberFormat="1" applyFont="1" applyFill="1" applyBorder="1" applyAlignment="1">
      <alignment horizontal="center" vertical="center" wrapText="1"/>
    </xf>
    <xf numFmtId="1" fontId="18" fillId="5" borderId="17" xfId="12" applyNumberFormat="1" applyFont="1" applyFill="1" applyBorder="1" applyAlignment="1">
      <alignment horizontal="center" vertical="center"/>
    </xf>
    <xf numFmtId="1" fontId="18" fillId="5" borderId="32" xfId="12" applyNumberFormat="1" applyFont="1" applyFill="1" applyBorder="1" applyAlignment="1">
      <alignment horizontal="center" vertical="center"/>
    </xf>
    <xf numFmtId="1" fontId="18" fillId="5" borderId="33" xfId="12" applyNumberFormat="1" applyFont="1" applyFill="1" applyBorder="1" applyAlignment="1">
      <alignment horizontal="center" vertical="center"/>
    </xf>
    <xf numFmtId="1" fontId="17" fillId="5" borderId="17" xfId="12" applyNumberFormat="1" applyFont="1" applyFill="1" applyBorder="1" applyAlignment="1">
      <alignment horizontal="center"/>
    </xf>
    <xf numFmtId="1" fontId="17" fillId="5" borderId="33" xfId="12" applyNumberFormat="1" applyFont="1" applyFill="1" applyBorder="1" applyAlignment="1">
      <alignment horizontal="center"/>
    </xf>
    <xf numFmtId="175" fontId="17" fillId="0" borderId="0" xfId="12" applyNumberFormat="1" applyFont="1" applyAlignment="1">
      <alignment horizontal="center" vertical="center"/>
    </xf>
    <xf numFmtId="0" fontId="18" fillId="5" borderId="0" xfId="0" applyFont="1" applyFill="1" applyAlignment="1">
      <alignment vertical="center"/>
    </xf>
    <xf numFmtId="0" fontId="22" fillId="11" borderId="10" xfId="12" applyFont="1" applyFill="1" applyBorder="1" applyAlignment="1">
      <alignment horizontal="center" vertical="center"/>
    </xf>
    <xf numFmtId="0" fontId="17" fillId="5" borderId="13" xfId="12" applyFont="1" applyFill="1" applyBorder="1" applyAlignment="1">
      <alignment horizontal="center" vertical="center" wrapText="1"/>
    </xf>
    <xf numFmtId="1" fontId="17" fillId="5" borderId="29" xfId="12" applyNumberFormat="1" applyFont="1" applyFill="1" applyBorder="1" applyAlignment="1">
      <alignment horizontal="center" vertical="center"/>
    </xf>
    <xf numFmtId="2" fontId="18" fillId="5" borderId="28" xfId="0" applyNumberFormat="1" applyFont="1" applyFill="1" applyBorder="1" applyAlignment="1">
      <alignment vertical="center"/>
    </xf>
    <xf numFmtId="0" fontId="18" fillId="5" borderId="28" xfId="0" applyFont="1" applyFill="1" applyBorder="1" applyAlignment="1">
      <alignment vertical="center"/>
    </xf>
    <xf numFmtId="171" fontId="17" fillId="5" borderId="13" xfId="12" applyNumberFormat="1" applyFont="1" applyFill="1" applyBorder="1" applyAlignment="1">
      <alignment horizontal="center" vertical="center" wrapText="1"/>
    </xf>
    <xf numFmtId="1" fontId="17" fillId="5" borderId="29" xfId="0" applyNumberFormat="1" applyFont="1" applyFill="1" applyBorder="1" applyAlignment="1">
      <alignment horizontal="center" vertical="center"/>
    </xf>
    <xf numFmtId="0" fontId="18" fillId="5" borderId="32" xfId="0" applyFont="1" applyFill="1" applyBorder="1" applyAlignment="1">
      <alignment vertical="center"/>
    </xf>
    <xf numFmtId="2" fontId="17" fillId="5" borderId="0" xfId="12" applyNumberFormat="1" applyFont="1" applyFill="1" applyAlignment="1">
      <alignment horizontal="center" vertical="center"/>
    </xf>
    <xf numFmtId="0" fontId="17" fillId="5" borderId="54" xfId="12" applyFont="1" applyFill="1" applyBorder="1" applyAlignment="1">
      <alignment horizontal="center" vertical="center"/>
    </xf>
    <xf numFmtId="0" fontId="17" fillId="5" borderId="26" xfId="12" applyFont="1" applyFill="1" applyBorder="1" applyAlignment="1">
      <alignment horizontal="center" vertical="center"/>
    </xf>
    <xf numFmtId="0" fontId="17" fillId="5" borderId="55" xfId="12" applyFont="1" applyFill="1" applyBorder="1" applyAlignment="1">
      <alignment horizontal="center" vertical="center"/>
    </xf>
    <xf numFmtId="2" fontId="17" fillId="5" borderId="55" xfId="12" applyNumberFormat="1" applyFont="1" applyFill="1" applyBorder="1" applyAlignment="1">
      <alignment horizontal="center" vertical="center"/>
    </xf>
    <xf numFmtId="171" fontId="17" fillId="5" borderId="28" xfId="12" applyNumberFormat="1" applyFont="1" applyFill="1" applyBorder="1" applyAlignment="1">
      <alignment horizontal="center" vertical="center"/>
    </xf>
    <xf numFmtId="171" fontId="17" fillId="5" borderId="55" xfId="12" applyNumberFormat="1" applyFont="1" applyFill="1" applyBorder="1" applyAlignment="1">
      <alignment horizontal="center" vertical="center"/>
    </xf>
    <xf numFmtId="1" fontId="17" fillId="5" borderId="56" xfId="12" applyNumberFormat="1" applyFont="1" applyFill="1" applyBorder="1" applyAlignment="1">
      <alignment horizontal="center" vertical="center"/>
    </xf>
    <xf numFmtId="1" fontId="17" fillId="5" borderId="30" xfId="12" applyNumberFormat="1" applyFont="1" applyFill="1" applyBorder="1" applyAlignment="1">
      <alignment horizontal="center" vertical="center"/>
    </xf>
    <xf numFmtId="0" fontId="17" fillId="2" borderId="30" xfId="12" applyFont="1" applyFill="1" applyBorder="1" applyAlignment="1">
      <alignment horizontal="center" vertical="center"/>
    </xf>
    <xf numFmtId="0" fontId="18" fillId="5" borderId="31" xfId="12" applyFont="1" applyFill="1" applyBorder="1" applyAlignment="1">
      <alignment horizontal="center" vertical="center"/>
    </xf>
    <xf numFmtId="0" fontId="18" fillId="5" borderId="24" xfId="12" applyFont="1" applyFill="1" applyBorder="1" applyAlignment="1">
      <alignment horizontal="center" vertical="center"/>
    </xf>
    <xf numFmtId="171" fontId="18" fillId="14" borderId="24" xfId="12" applyNumberFormat="1" applyFont="1" applyFill="1" applyBorder="1" applyAlignment="1">
      <alignment horizontal="center" vertical="center"/>
    </xf>
    <xf numFmtId="2" fontId="17" fillId="0" borderId="0" xfId="12" applyNumberFormat="1" applyFont="1" applyAlignment="1">
      <alignment vertical="center"/>
    </xf>
    <xf numFmtId="0" fontId="22" fillId="11" borderId="26" xfId="12" applyFont="1" applyFill="1" applyBorder="1" applyAlignment="1">
      <alignment horizontal="center" vertical="center"/>
    </xf>
    <xf numFmtId="0" fontId="22" fillId="11" borderId="27" xfId="12" applyFont="1" applyFill="1" applyBorder="1" applyAlignment="1">
      <alignment horizontal="center" vertical="center"/>
    </xf>
    <xf numFmtId="1" fontId="22" fillId="11" borderId="28" xfId="12" applyNumberFormat="1" applyFont="1" applyFill="1" applyBorder="1" applyAlignment="1">
      <alignment horizontal="center" vertical="center"/>
    </xf>
    <xf numFmtId="1" fontId="23" fillId="11" borderId="28" xfId="12" applyNumberFormat="1" applyFont="1" applyFill="1" applyBorder="1" applyAlignment="1">
      <alignment horizontal="center" vertical="center"/>
    </xf>
    <xf numFmtId="1" fontId="23" fillId="11" borderId="14" xfId="12" applyNumberFormat="1" applyFont="1" applyFill="1" applyBorder="1" applyAlignment="1">
      <alignment horizontal="center" vertical="center"/>
    </xf>
    <xf numFmtId="2" fontId="22" fillId="11" borderId="29" xfId="12" applyNumberFormat="1" applyFont="1" applyFill="1" applyBorder="1" applyAlignment="1">
      <alignment horizontal="center" vertical="center"/>
    </xf>
    <xf numFmtId="1" fontId="22" fillId="11" borderId="32" xfId="12" applyNumberFormat="1" applyFont="1" applyFill="1" applyBorder="1" applyAlignment="1">
      <alignment horizontal="center" vertical="center"/>
    </xf>
    <xf numFmtId="2" fontId="17" fillId="5" borderId="0" xfId="0" applyNumberFormat="1" applyFont="1" applyFill="1" applyAlignment="1">
      <alignment horizontal="center" vertical="center"/>
    </xf>
    <xf numFmtId="0" fontId="17" fillId="0" borderId="59" xfId="12" applyFont="1" applyBorder="1" applyAlignment="1">
      <alignment horizontal="center" vertical="center"/>
    </xf>
    <xf numFmtId="0" fontId="17" fillId="0" borderId="3" xfId="12" applyFont="1" applyBorder="1" applyAlignment="1">
      <alignment horizontal="center" vertical="center"/>
    </xf>
    <xf numFmtId="0" fontId="18" fillId="0" borderId="25" xfId="12" applyFont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15" borderId="0" xfId="0" applyFont="1" applyFill="1" applyAlignment="1">
      <alignment horizontal="center"/>
    </xf>
    <xf numFmtId="0" fontId="28" fillId="15" borderId="0" xfId="0" applyFont="1" applyFill="1"/>
    <xf numFmtId="0" fontId="0" fillId="15" borderId="0" xfId="0" applyFill="1"/>
    <xf numFmtId="0" fontId="31" fillId="15" borderId="0" xfId="0" applyFont="1" applyFill="1"/>
    <xf numFmtId="0" fontId="31" fillId="15" borderId="0" xfId="0" applyFont="1" applyFill="1" applyAlignment="1">
      <alignment horizontal="right"/>
    </xf>
    <xf numFmtId="0" fontId="16" fillId="15" borderId="0" xfId="0" applyFont="1" applyFill="1"/>
    <xf numFmtId="0" fontId="0" fillId="14" borderId="0" xfId="0" applyFill="1" applyProtection="1">
      <protection locked="0"/>
    </xf>
    <xf numFmtId="171" fontId="16" fillId="15" borderId="0" xfId="0" applyNumberFormat="1" applyFont="1" applyFill="1"/>
    <xf numFmtId="0" fontId="32" fillId="16" borderId="0" xfId="0" applyFont="1" applyFill="1"/>
    <xf numFmtId="0" fontId="0" fillId="15" borderId="0" xfId="0" applyFill="1" applyAlignment="1">
      <alignment horizontal="right"/>
    </xf>
    <xf numFmtId="0" fontId="29" fillId="15" borderId="0" xfId="0" applyFont="1" applyFill="1"/>
    <xf numFmtId="0" fontId="33" fillId="15" borderId="0" xfId="0" applyFont="1" applyFill="1"/>
    <xf numFmtId="1" fontId="33" fillId="14" borderId="0" xfId="0" applyNumberFormat="1" applyFont="1" applyFill="1"/>
    <xf numFmtId="2" fontId="34" fillId="16" borderId="0" xfId="0" applyNumberFormat="1" applyFont="1" applyFill="1"/>
    <xf numFmtId="1" fontId="34" fillId="16" borderId="0" xfId="0" applyNumberFormat="1" applyFont="1" applyFill="1"/>
    <xf numFmtId="2" fontId="35" fillId="15" borderId="0" xfId="0" applyNumberFormat="1" applyFont="1" applyFill="1"/>
    <xf numFmtId="1" fontId="35" fillId="17" borderId="0" xfId="0" applyNumberFormat="1" applyFont="1" applyFill="1"/>
    <xf numFmtId="2" fontId="0" fillId="15" borderId="0" xfId="0" applyNumberFormat="1" applyFill="1"/>
    <xf numFmtId="2" fontId="0" fillId="15" borderId="0" xfId="0" applyNumberFormat="1" applyFill="1" applyAlignment="1">
      <alignment horizontal="right"/>
    </xf>
    <xf numFmtId="0" fontId="0" fillId="15" borderId="0" xfId="0" applyFill="1" applyAlignment="1">
      <alignment horizontal="left" vertical="center"/>
    </xf>
    <xf numFmtId="2" fontId="16" fillId="18" borderId="0" xfId="0" applyNumberFormat="1" applyFont="1" applyFill="1"/>
    <xf numFmtId="0" fontId="0" fillId="2" borderId="0" xfId="0" applyFill="1" applyProtection="1">
      <protection locked="0"/>
    </xf>
    <xf numFmtId="0" fontId="16" fillId="15" borderId="0" xfId="0" applyFont="1" applyFill="1" applyAlignment="1">
      <alignment horizontal="left" vertical="center"/>
    </xf>
    <xf numFmtId="2" fontId="0" fillId="19" borderId="0" xfId="0" applyNumberFormat="1" applyFill="1" applyProtection="1">
      <protection locked="0"/>
    </xf>
    <xf numFmtId="2" fontId="16" fillId="15" borderId="0" xfId="0" applyNumberFormat="1" applyFont="1" applyFill="1"/>
    <xf numFmtId="171" fontId="16" fillId="19" borderId="0" xfId="0" applyNumberFormat="1" applyFont="1" applyFill="1"/>
    <xf numFmtId="0" fontId="0" fillId="15" borderId="0" xfId="0" applyFill="1" applyAlignment="1">
      <alignment horizontal="left"/>
    </xf>
    <xf numFmtId="1" fontId="33" fillId="15" borderId="0" xfId="0" applyNumberFormat="1" applyFont="1" applyFill="1"/>
    <xf numFmtId="2" fontId="33" fillId="15" borderId="0" xfId="0" applyNumberFormat="1" applyFont="1" applyFill="1"/>
    <xf numFmtId="173" fontId="33" fillId="15" borderId="0" xfId="0" applyNumberFormat="1" applyFont="1" applyFill="1"/>
    <xf numFmtId="2" fontId="29" fillId="15" borderId="0" xfId="0" applyNumberFormat="1" applyFont="1" applyFill="1"/>
    <xf numFmtId="0" fontId="33" fillId="15" borderId="0" xfId="0" applyFont="1" applyFill="1" applyAlignment="1">
      <alignment horizontal="left" vertical="center"/>
    </xf>
    <xf numFmtId="1" fontId="33" fillId="15" borderId="0" xfId="0" applyNumberFormat="1" applyFont="1" applyFill="1" applyAlignment="1">
      <alignment horizontal="right" vertical="center"/>
    </xf>
    <xf numFmtId="2" fontId="0" fillId="0" borderId="0" xfId="0" applyNumberFormat="1"/>
    <xf numFmtId="2" fontId="35" fillId="16" borderId="0" xfId="0" applyNumberFormat="1" applyFont="1" applyFill="1"/>
    <xf numFmtId="2" fontId="16" fillId="0" borderId="0" xfId="0" applyNumberFormat="1" applyFont="1"/>
    <xf numFmtId="1" fontId="33" fillId="20" borderId="0" xfId="0" applyNumberFormat="1" applyFont="1" applyFill="1"/>
    <xf numFmtId="0" fontId="33" fillId="20" borderId="0" xfId="0" applyFont="1" applyFill="1"/>
    <xf numFmtId="1" fontId="0" fillId="15" borderId="0" xfId="0" applyNumberFormat="1" applyFill="1"/>
    <xf numFmtId="0" fontId="0" fillId="2" borderId="0" xfId="0" applyFill="1" applyAlignment="1" applyProtection="1">
      <alignment horizontal="right" vertical="center"/>
      <protection locked="0"/>
    </xf>
    <xf numFmtId="0" fontId="16" fillId="15" borderId="0" xfId="0" applyFont="1" applyFill="1" applyAlignment="1">
      <alignment horizontal="right" vertical="center"/>
    </xf>
    <xf numFmtId="0" fontId="0" fillId="19" borderId="0" xfId="0" applyFill="1" applyProtection="1">
      <protection locked="0"/>
    </xf>
    <xf numFmtId="9" fontId="0" fillId="2" borderId="0" xfId="1" applyFont="1" applyFill="1" applyProtection="1">
      <protection locked="0"/>
    </xf>
    <xf numFmtId="168" fontId="0" fillId="15" borderId="0" xfId="0" applyNumberFormat="1" applyFill="1"/>
    <xf numFmtId="168" fontId="35" fillId="15" borderId="0" xfId="0" applyNumberFormat="1" applyFont="1" applyFill="1"/>
    <xf numFmtId="1" fontId="0" fillId="0" borderId="0" xfId="0" applyNumberFormat="1"/>
    <xf numFmtId="0" fontId="0" fillId="2" borderId="0" xfId="0" applyFill="1"/>
    <xf numFmtId="171" fontId="0" fillId="15" borderId="0" xfId="0" applyNumberFormat="1" applyFill="1"/>
    <xf numFmtId="0" fontId="35" fillId="15" borderId="0" xfId="0" applyFont="1" applyFill="1"/>
    <xf numFmtId="0" fontId="37" fillId="5" borderId="0" xfId="0" applyFont="1" applyFill="1"/>
    <xf numFmtId="0" fontId="37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22" borderId="22" xfId="0" applyFill="1" applyBorder="1" applyAlignment="1">
      <alignment horizontal="center"/>
    </xf>
    <xf numFmtId="0" fontId="0" fillId="22" borderId="25" xfId="0" applyFill="1" applyBorder="1" applyAlignment="1">
      <alignment horizontal="center"/>
    </xf>
    <xf numFmtId="0" fontId="0" fillId="22" borderId="6" xfId="0" applyFill="1" applyBorder="1" applyAlignment="1">
      <alignment horizontal="center"/>
    </xf>
    <xf numFmtId="0" fontId="0" fillId="0" borderId="45" xfId="0" applyBorder="1" applyAlignment="1" applyProtection="1">
      <alignment horizontal="center"/>
      <protection locked="0"/>
    </xf>
    <xf numFmtId="3" fontId="0" fillId="0" borderId="60" xfId="0" applyNumberFormat="1" applyBorder="1" applyAlignment="1" applyProtection="1">
      <alignment horizontal="center"/>
      <protection locked="0"/>
    </xf>
    <xf numFmtId="3" fontId="37" fillId="0" borderId="57" xfId="11" applyNumberFormat="1" applyFont="1" applyBorder="1" applyAlignment="1" applyProtection="1">
      <alignment horizontal="center" vertical="center"/>
      <protection locked="0"/>
    </xf>
    <xf numFmtId="3" fontId="0" fillId="0" borderId="35" xfId="0" applyNumberFormat="1" applyBorder="1" applyAlignment="1" applyProtection="1">
      <alignment horizontal="center"/>
      <protection locked="0"/>
    </xf>
    <xf numFmtId="0" fontId="35" fillId="5" borderId="0" xfId="0" applyFont="1" applyFill="1" applyAlignment="1">
      <alignment horizontal="center"/>
    </xf>
    <xf numFmtId="0" fontId="16" fillId="22" borderId="22" xfId="0" applyFont="1" applyFill="1" applyBorder="1" applyAlignment="1">
      <alignment horizontal="center"/>
    </xf>
    <xf numFmtId="0" fontId="16" fillId="22" borderId="24" xfId="0" applyFont="1" applyFill="1" applyBorder="1" applyAlignment="1">
      <alignment horizontal="center"/>
    </xf>
    <xf numFmtId="0" fontId="16" fillId="22" borderId="23" xfId="0" applyFont="1" applyFill="1" applyBorder="1" applyAlignment="1">
      <alignment horizontal="center"/>
    </xf>
    <xf numFmtId="0" fontId="16" fillId="22" borderId="25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0" fillId="0" borderId="39" xfId="0" applyBorder="1"/>
    <xf numFmtId="2" fontId="0" fillId="0" borderId="40" xfId="0" applyNumberFormat="1" applyBorder="1"/>
    <xf numFmtId="2" fontId="0" fillId="0" borderId="46" xfId="0" applyNumberFormat="1" applyBorder="1"/>
    <xf numFmtId="10" fontId="0" fillId="0" borderId="41" xfId="1" applyNumberFormat="1" applyFont="1" applyBorder="1"/>
    <xf numFmtId="10" fontId="0" fillId="5" borderId="0" xfId="1" applyNumberFormat="1" applyFont="1" applyFill="1" applyBorder="1"/>
    <xf numFmtId="3" fontId="0" fillId="0" borderId="0" xfId="0" applyNumberFormat="1"/>
    <xf numFmtId="0" fontId="0" fillId="0" borderId="17" xfId="0" applyBorder="1"/>
    <xf numFmtId="4" fontId="0" fillId="0" borderId="32" xfId="0" applyNumberFormat="1" applyBorder="1"/>
    <xf numFmtId="4" fontId="0" fillId="0" borderId="61" xfId="0" applyNumberFormat="1" applyBorder="1"/>
    <xf numFmtId="10" fontId="0" fillId="0" borderId="62" xfId="1" applyNumberFormat="1" applyFont="1" applyBorder="1"/>
    <xf numFmtId="0" fontId="0" fillId="5" borderId="0" xfId="0" applyFill="1"/>
    <xf numFmtId="0" fontId="16" fillId="22" borderId="11" xfId="0" applyFont="1" applyFill="1" applyBorder="1" applyAlignment="1">
      <alignment horizontal="center"/>
    </xf>
    <xf numFmtId="0" fontId="16" fillId="22" borderId="63" xfId="0" applyFont="1" applyFill="1" applyBorder="1" applyAlignment="1">
      <alignment horizontal="center"/>
    </xf>
    <xf numFmtId="0" fontId="16" fillId="22" borderId="64" xfId="0" applyFont="1" applyFill="1" applyBorder="1" applyAlignment="1">
      <alignment horizontal="center"/>
    </xf>
    <xf numFmtId="0" fontId="0" fillId="0" borderId="39" xfId="0" applyBorder="1" applyAlignment="1">
      <alignment horizontal="left"/>
    </xf>
    <xf numFmtId="2" fontId="0" fillId="0" borderId="40" xfId="0" applyNumberFormat="1" applyBorder="1" applyAlignment="1" applyProtection="1">
      <alignment horizontal="center"/>
      <protection locked="0"/>
    </xf>
    <xf numFmtId="2" fontId="0" fillId="0" borderId="46" xfId="0" applyNumberFormat="1" applyBorder="1" applyAlignment="1" applyProtection="1">
      <alignment horizontal="center"/>
      <protection locked="0"/>
    </xf>
    <xf numFmtId="2" fontId="0" fillId="0" borderId="41" xfId="0" applyNumberFormat="1" applyBorder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2" fontId="0" fillId="0" borderId="28" xfId="0" applyNumberFormat="1" applyBorder="1" applyAlignment="1" applyProtection="1">
      <alignment horizontal="center"/>
      <protection locked="0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center"/>
      <protection locked="0"/>
    </xf>
    <xf numFmtId="0" fontId="31" fillId="0" borderId="13" xfId="0" applyFont="1" applyBorder="1" applyAlignment="1">
      <alignment horizontal="left"/>
    </xf>
    <xf numFmtId="0" fontId="0" fillId="0" borderId="29" xfId="0" applyBorder="1"/>
    <xf numFmtId="0" fontId="0" fillId="0" borderId="17" xfId="0" applyBorder="1" applyAlignment="1">
      <alignment horizontal="left"/>
    </xf>
    <xf numFmtId="2" fontId="0" fillId="0" borderId="32" xfId="0" applyNumberForma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center"/>
      <protection locked="0"/>
    </xf>
    <xf numFmtId="0" fontId="0" fillId="0" borderId="33" xfId="0" applyBorder="1"/>
    <xf numFmtId="0" fontId="35" fillId="5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3" fontId="0" fillId="0" borderId="62" xfId="0" applyNumberFormat="1" applyBorder="1" applyAlignment="1" applyProtection="1">
      <alignment horizontal="center"/>
      <protection locked="0"/>
    </xf>
    <xf numFmtId="3" fontId="0" fillId="0" borderId="57" xfId="0" applyNumberFormat="1" applyBorder="1" applyAlignment="1" applyProtection="1">
      <alignment horizontal="center"/>
      <protection locked="0"/>
    </xf>
    <xf numFmtId="3" fontId="37" fillId="5" borderId="0" xfId="11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4" fontId="37" fillId="5" borderId="0" xfId="0" applyNumberFormat="1" applyFont="1" applyFill="1"/>
    <xf numFmtId="4" fontId="37" fillId="0" borderId="0" xfId="0" applyNumberFormat="1" applyFont="1"/>
    <xf numFmtId="4" fontId="0" fillId="0" borderId="0" xfId="0" applyNumberFormat="1"/>
    <xf numFmtId="0" fontId="16" fillId="22" borderId="65" xfId="0" applyFont="1" applyFill="1" applyBorder="1" applyAlignment="1">
      <alignment horizontal="center" vertical="center"/>
    </xf>
    <xf numFmtId="0" fontId="16" fillId="2" borderId="31" xfId="0" applyFont="1" applyFill="1" applyBorder="1" applyAlignment="1">
      <alignment horizontal="center"/>
    </xf>
    <xf numFmtId="0" fontId="0" fillId="0" borderId="39" xfId="0" applyBorder="1" applyAlignment="1">
      <alignment horizontal="center" vertical="center" wrapText="1"/>
    </xf>
    <xf numFmtId="0" fontId="0" fillId="0" borderId="41" xfId="0" applyBorder="1"/>
    <xf numFmtId="3" fontId="0" fillId="0" borderId="66" xfId="0" applyNumberFormat="1" applyBorder="1" applyAlignment="1">
      <alignment horizontal="right"/>
    </xf>
    <xf numFmtId="3" fontId="0" fillId="2" borderId="66" xfId="0" applyNumberFormat="1" applyFill="1" applyBorder="1" applyAlignment="1">
      <alignment horizontal="right"/>
    </xf>
    <xf numFmtId="3" fontId="0" fillId="0" borderId="40" xfId="0" applyNumberFormat="1" applyBorder="1" applyAlignment="1">
      <alignment horizontal="right"/>
    </xf>
    <xf numFmtId="10" fontId="0" fillId="0" borderId="41" xfId="1" applyNumberFormat="1" applyFont="1" applyFill="1" applyBorder="1"/>
    <xf numFmtId="0" fontId="0" fillId="0" borderId="13" xfId="0" applyBorder="1" applyAlignment="1">
      <alignment horizontal="center" vertical="center" wrapText="1"/>
    </xf>
    <xf numFmtId="3" fontId="0" fillId="0" borderId="55" xfId="0" applyNumberFormat="1" applyBorder="1" applyAlignment="1">
      <alignment horizontal="right"/>
    </xf>
    <xf numFmtId="3" fontId="0" fillId="2" borderId="55" xfId="0" applyNumberFormat="1" applyFill="1" applyBorder="1" applyAlignment="1">
      <alignment horizontal="right"/>
    </xf>
    <xf numFmtId="3" fontId="0" fillId="0" borderId="28" xfId="0" applyNumberFormat="1" applyBorder="1" applyAlignment="1">
      <alignment horizontal="right"/>
    </xf>
    <xf numFmtId="10" fontId="0" fillId="0" borderId="29" xfId="1" applyNumberFormat="1" applyFont="1" applyBorder="1"/>
    <xf numFmtId="0" fontId="0" fillId="0" borderId="21" xfId="0" applyBorder="1" applyAlignment="1">
      <alignment horizontal="center" vertical="center" wrapText="1"/>
    </xf>
    <xf numFmtId="0" fontId="0" fillId="0" borderId="59" xfId="0" applyBorder="1"/>
    <xf numFmtId="4" fontId="0" fillId="0" borderId="56" xfId="0" applyNumberFormat="1" applyBorder="1" applyAlignment="1">
      <alignment horizontal="right"/>
    </xf>
    <xf numFmtId="4" fontId="0" fillId="2" borderId="56" xfId="0" applyNumberFormat="1" applyFill="1" applyBorder="1" applyAlignment="1">
      <alignment horizontal="right"/>
    </xf>
    <xf numFmtId="4" fontId="0" fillId="0" borderId="30" xfId="0" applyNumberFormat="1" applyBorder="1" applyAlignment="1">
      <alignment horizontal="right"/>
    </xf>
    <xf numFmtId="10" fontId="0" fillId="0" borderId="59" xfId="1" applyNumberFormat="1" applyFont="1" applyBorder="1"/>
    <xf numFmtId="0" fontId="0" fillId="0" borderId="17" xfId="0" applyBorder="1" applyAlignment="1">
      <alignment horizontal="center" vertical="center" wrapText="1"/>
    </xf>
    <xf numFmtId="4" fontId="0" fillId="0" borderId="67" xfId="0" applyNumberFormat="1" applyBorder="1" applyAlignment="1">
      <alignment horizontal="right"/>
    </xf>
    <xf numFmtId="4" fontId="0" fillId="2" borderId="67" xfId="0" applyNumberFormat="1" applyFill="1" applyBorder="1" applyAlignment="1">
      <alignment horizontal="right"/>
    </xf>
    <xf numFmtId="4" fontId="0" fillId="0" borderId="32" xfId="0" applyNumberFormat="1" applyBorder="1" applyAlignment="1">
      <alignment horizontal="right"/>
    </xf>
    <xf numFmtId="10" fontId="0" fillId="0" borderId="33" xfId="1" applyNumberFormat="1" applyFont="1" applyBorder="1"/>
    <xf numFmtId="0" fontId="28" fillId="0" borderId="0" xfId="0" applyFont="1" applyAlignment="1">
      <alignment vertical="center" textRotation="90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right"/>
    </xf>
    <xf numFmtId="4" fontId="0" fillId="5" borderId="0" xfId="0" applyNumberFormat="1" applyFill="1" applyAlignment="1">
      <alignment horizontal="right"/>
    </xf>
    <xf numFmtId="10" fontId="0" fillId="0" borderId="0" xfId="1" applyNumberFormat="1" applyFont="1" applyFill="1" applyBorder="1"/>
    <xf numFmtId="3" fontId="39" fillId="0" borderId="66" xfId="0" applyNumberFormat="1" applyFont="1" applyBorder="1" applyAlignment="1">
      <alignment horizontal="right"/>
    </xf>
    <xf numFmtId="3" fontId="39" fillId="2" borderId="66" xfId="0" applyNumberFormat="1" applyFont="1" applyFill="1" applyBorder="1" applyAlignment="1">
      <alignment horizontal="right"/>
    </xf>
    <xf numFmtId="3" fontId="39" fillId="0" borderId="40" xfId="0" applyNumberFormat="1" applyFont="1" applyBorder="1" applyAlignment="1">
      <alignment horizontal="right"/>
    </xf>
    <xf numFmtId="10" fontId="39" fillId="0" borderId="41" xfId="1" applyNumberFormat="1" applyFont="1" applyFill="1" applyBorder="1"/>
    <xf numFmtId="0" fontId="40" fillId="0" borderId="33" xfId="0" applyFont="1" applyBorder="1"/>
    <xf numFmtId="4" fontId="40" fillId="0" borderId="67" xfId="0" applyNumberFormat="1" applyFont="1" applyBorder="1" applyAlignment="1">
      <alignment horizontal="right"/>
    </xf>
    <xf numFmtId="4" fontId="40" fillId="2" borderId="67" xfId="0" applyNumberFormat="1" applyFont="1" applyFill="1" applyBorder="1" applyAlignment="1">
      <alignment horizontal="right"/>
    </xf>
    <xf numFmtId="4" fontId="40" fillId="0" borderId="32" xfId="0" applyNumberFormat="1" applyFont="1" applyBorder="1" applyAlignment="1">
      <alignment horizontal="right"/>
    </xf>
    <xf numFmtId="10" fontId="40" fillId="0" borderId="33" xfId="1" applyNumberFormat="1" applyFont="1" applyBorder="1"/>
    <xf numFmtId="0" fontId="0" fillId="0" borderId="55" xfId="0" applyBorder="1" applyAlignment="1">
      <alignment horizontal="center" vertical="center" wrapText="1"/>
    </xf>
    <xf numFmtId="0" fontId="0" fillId="0" borderId="28" xfId="0" applyBorder="1"/>
    <xf numFmtId="3" fontId="0" fillId="2" borderId="28" xfId="0" applyNumberFormat="1" applyFill="1" applyBorder="1" applyAlignment="1">
      <alignment horizontal="right"/>
    </xf>
    <xf numFmtId="0" fontId="0" fillId="0" borderId="56" xfId="0" applyBorder="1" applyAlignment="1">
      <alignment horizontal="center" vertical="center" wrapText="1"/>
    </xf>
    <xf numFmtId="4" fontId="0" fillId="23" borderId="30" xfId="0" applyNumberFormat="1" applyFill="1" applyBorder="1" applyAlignment="1">
      <alignment horizontal="left" vertical="center"/>
    </xf>
    <xf numFmtId="3" fontId="0" fillId="0" borderId="30" xfId="0" applyNumberFormat="1" applyBorder="1" applyAlignment="1">
      <alignment horizontal="right"/>
    </xf>
    <xf numFmtId="3" fontId="0" fillId="2" borderId="30" xfId="0" applyNumberFormat="1" applyFill="1" applyBorder="1" applyAlignment="1">
      <alignment horizontal="right"/>
    </xf>
    <xf numFmtId="4" fontId="0" fillId="0" borderId="22" xfId="0" applyNumberFormat="1" applyBorder="1" applyAlignment="1">
      <alignment horizontal="center" vertical="center"/>
    </xf>
    <xf numFmtId="4" fontId="0" fillId="0" borderId="23" xfId="0" applyNumberFormat="1" applyBorder="1" applyAlignment="1">
      <alignment horizontal="left" vertical="center"/>
    </xf>
    <xf numFmtId="3" fontId="0" fillId="0" borderId="24" xfId="0" applyNumberFormat="1" applyBorder="1" applyAlignment="1">
      <alignment horizontal="right"/>
    </xf>
    <xf numFmtId="3" fontId="0" fillId="2" borderId="24" xfId="0" applyNumberFormat="1" applyFill="1" applyBorder="1" applyAlignment="1">
      <alignment horizontal="right"/>
    </xf>
    <xf numFmtId="10" fontId="0" fillId="0" borderId="25" xfId="1" applyNumberFormat="1" applyFont="1" applyBorder="1"/>
    <xf numFmtId="9" fontId="41" fillId="5" borderId="0" xfId="0" applyNumberFormat="1" applyFont="1" applyFill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right"/>
    </xf>
    <xf numFmtId="3" fontId="0" fillId="2" borderId="0" xfId="0" applyNumberFormat="1" applyFill="1" applyAlignment="1">
      <alignment horizontal="right"/>
    </xf>
    <xf numFmtId="10" fontId="0" fillId="0" borderId="0" xfId="1" applyNumberFormat="1" applyFont="1" applyBorder="1"/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32" xfId="0" applyBorder="1"/>
    <xf numFmtId="3" fontId="0" fillId="0" borderId="32" xfId="0" applyNumberFormat="1" applyBorder="1" applyAlignment="1">
      <alignment horizontal="right"/>
    </xf>
    <xf numFmtId="3" fontId="0" fillId="2" borderId="32" xfId="0" applyNumberFormat="1" applyFill="1" applyBorder="1" applyAlignment="1">
      <alignment horizontal="right"/>
    </xf>
    <xf numFmtId="3" fontId="0" fillId="0" borderId="67" xfId="0" applyNumberFormat="1" applyBorder="1" applyAlignment="1">
      <alignment horizontal="right"/>
    </xf>
    <xf numFmtId="9" fontId="41" fillId="22" borderId="0" xfId="0" applyNumberFormat="1" applyFont="1" applyFill="1" applyAlignment="1">
      <alignment horizontal="center" vertical="center" wrapText="1"/>
    </xf>
    <xf numFmtId="0" fontId="37" fillId="5" borderId="0" xfId="0" applyFont="1" applyFill="1" applyAlignment="1">
      <alignment horizontal="center" vertical="center"/>
    </xf>
    <xf numFmtId="0" fontId="37" fillId="5" borderId="28" xfId="0" applyFont="1" applyFill="1" applyBorder="1" applyAlignment="1">
      <alignment horizontal="center"/>
    </xf>
    <xf numFmtId="0" fontId="37" fillId="24" borderId="28" xfId="0" applyFont="1" applyFill="1" applyBorder="1"/>
    <xf numFmtId="0" fontId="37" fillId="25" borderId="28" xfId="0" applyFont="1" applyFill="1" applyBorder="1"/>
    <xf numFmtId="0" fontId="42" fillId="5" borderId="28" xfId="0" applyFont="1" applyFill="1" applyBorder="1" applyAlignment="1">
      <alignment horizontal="center" vertical="center" wrapText="1"/>
    </xf>
    <xf numFmtId="0" fontId="37" fillId="24" borderId="28" xfId="0" applyFont="1" applyFill="1" applyBorder="1" applyAlignment="1">
      <alignment horizontal="center" vertical="center" wrapText="1"/>
    </xf>
    <xf numFmtId="0" fontId="43" fillId="24" borderId="28" xfId="0" applyFont="1" applyFill="1" applyBorder="1" applyAlignment="1">
      <alignment horizontal="center" vertical="center" wrapText="1"/>
    </xf>
    <xf numFmtId="0" fontId="37" fillId="25" borderId="28" xfId="0" applyFont="1" applyFill="1" applyBorder="1" applyAlignment="1">
      <alignment horizontal="center" vertical="center" wrapText="1"/>
    </xf>
    <xf numFmtId="4" fontId="0" fillId="24" borderId="28" xfId="0" applyNumberFormat="1" applyFill="1" applyBorder="1" applyAlignment="1">
      <alignment horizontal="center" vertical="center"/>
    </xf>
    <xf numFmtId="4" fontId="0" fillId="24" borderId="28" xfId="0" applyNumberFormat="1" applyFill="1" applyBorder="1" applyAlignment="1">
      <alignment horizontal="center" vertical="center" wrapText="1"/>
    </xf>
    <xf numFmtId="0" fontId="37" fillId="0" borderId="28" xfId="0" applyFont="1" applyBorder="1" applyAlignment="1">
      <alignment horizontal="center" vertical="center" wrapText="1"/>
    </xf>
    <xf numFmtId="0" fontId="42" fillId="0" borderId="28" xfId="0" applyFont="1" applyBorder="1" applyAlignment="1">
      <alignment horizontal="center" vertical="center" wrapText="1"/>
    </xf>
    <xf numFmtId="0" fontId="0" fillId="24" borderId="28" xfId="0" applyFill="1" applyBorder="1" applyAlignment="1">
      <alignment horizontal="center" vertical="center" wrapText="1"/>
    </xf>
    <xf numFmtId="0" fontId="44" fillId="24" borderId="28" xfId="0" applyFont="1" applyFill="1" applyBorder="1" applyAlignment="1">
      <alignment horizontal="center" vertical="center" wrapText="1"/>
    </xf>
    <xf numFmtId="176" fontId="45" fillId="25" borderId="28" xfId="0" applyNumberFormat="1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176" fontId="45" fillId="0" borderId="28" xfId="0" applyNumberFormat="1" applyFont="1" applyBorder="1" applyAlignment="1">
      <alignment horizontal="center" vertical="center" wrapText="1"/>
    </xf>
    <xf numFmtId="0" fontId="0" fillId="25" borderId="28" xfId="0" applyFill="1" applyBorder="1" applyAlignment="1">
      <alignment horizontal="center" vertical="center" wrapText="1"/>
    </xf>
    <xf numFmtId="4" fontId="0" fillId="25" borderId="28" xfId="0" applyNumberFormat="1" applyFill="1" applyBorder="1" applyAlignment="1">
      <alignment horizontal="center" vertical="center" wrapText="1"/>
    </xf>
    <xf numFmtId="4" fontId="0" fillId="0" borderId="28" xfId="0" applyNumberFormat="1" applyBorder="1" applyAlignment="1">
      <alignment horizontal="center" vertical="center" wrapText="1"/>
    </xf>
    <xf numFmtId="0" fontId="42" fillId="5" borderId="68" xfId="0" applyFont="1" applyFill="1" applyBorder="1" applyAlignment="1">
      <alignment horizontal="center" vertical="center" wrapText="1"/>
    </xf>
    <xf numFmtId="0" fontId="0" fillId="26" borderId="28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 wrapText="1"/>
    </xf>
    <xf numFmtId="4" fontId="0" fillId="25" borderId="69" xfId="0" applyNumberFormat="1" applyFill="1" applyBorder="1" applyAlignment="1">
      <alignment horizontal="center" vertical="center"/>
    </xf>
    <xf numFmtId="4" fontId="0" fillId="25" borderId="32" xfId="0" applyNumberFormat="1" applyFill="1" applyBorder="1" applyAlignment="1">
      <alignment horizontal="left" vertical="center" wrapText="1"/>
    </xf>
    <xf numFmtId="0" fontId="37" fillId="0" borderId="0" xfId="0" applyFont="1" applyAlignment="1">
      <alignment horizontal="center" vertical="center" wrapText="1"/>
    </xf>
    <xf numFmtId="4" fontId="0" fillId="25" borderId="60" xfId="0" applyNumberFormat="1" applyFill="1" applyBorder="1" applyAlignment="1">
      <alignment horizontal="center" vertical="center"/>
    </xf>
    <xf numFmtId="0" fontId="42" fillId="5" borderId="0" xfId="0" applyFont="1" applyFill="1" applyAlignment="1">
      <alignment horizontal="center"/>
    </xf>
    <xf numFmtId="176" fontId="45" fillId="0" borderId="0" xfId="0" applyNumberFormat="1" applyFont="1" applyAlignment="1">
      <alignment wrapText="1"/>
    </xf>
    <xf numFmtId="176" fontId="45" fillId="0" borderId="0" xfId="0" applyNumberFormat="1" applyFont="1"/>
    <xf numFmtId="0" fontId="32" fillId="27" borderId="28" xfId="0" applyFont="1" applyFill="1" applyBorder="1" applyAlignment="1">
      <alignment horizontal="center"/>
    </xf>
    <xf numFmtId="0" fontId="32" fillId="27" borderId="28" xfId="0" applyFont="1" applyFill="1" applyBorder="1" applyAlignment="1">
      <alignment horizontal="center" wrapText="1"/>
    </xf>
    <xf numFmtId="4" fontId="32" fillId="27" borderId="28" xfId="0" applyNumberFormat="1" applyFont="1" applyFill="1" applyBorder="1" applyAlignment="1">
      <alignment horizontal="center" vertical="center"/>
    </xf>
    <xf numFmtId="4" fontId="32" fillId="27" borderId="28" xfId="0" applyNumberFormat="1" applyFont="1" applyFill="1" applyBorder="1" applyAlignment="1">
      <alignment horizontal="center" vertical="center" wrapText="1"/>
    </xf>
    <xf numFmtId="0" fontId="32" fillId="5" borderId="0" xfId="0" applyFont="1" applyFill="1" applyAlignment="1">
      <alignment horizontal="center"/>
    </xf>
    <xf numFmtId="0" fontId="32" fillId="5" borderId="0" xfId="0" applyFont="1" applyFill="1" applyAlignment="1">
      <alignment horizontal="center" wrapText="1"/>
    </xf>
    <xf numFmtId="4" fontId="32" fillId="5" borderId="0" xfId="0" applyNumberFormat="1" applyFont="1" applyFill="1" applyAlignment="1">
      <alignment horizontal="center" vertical="center"/>
    </xf>
    <xf numFmtId="4" fontId="32" fillId="5" borderId="0" xfId="0" applyNumberFormat="1" applyFont="1" applyFill="1" applyAlignment="1">
      <alignment horizontal="center" vertical="center" wrapText="1"/>
    </xf>
    <xf numFmtId="0" fontId="37" fillId="5" borderId="0" xfId="0" applyFont="1" applyFill="1" applyAlignment="1">
      <alignment wrapText="1"/>
    </xf>
    <xf numFmtId="0" fontId="32" fillId="27" borderId="28" xfId="0" applyFont="1" applyFill="1" applyBorder="1"/>
    <xf numFmtId="0" fontId="32" fillId="27" borderId="28" xfId="0" applyFont="1" applyFill="1" applyBorder="1" applyAlignment="1">
      <alignment horizontal="center" vertical="center" wrapText="1"/>
    </xf>
    <xf numFmtId="0" fontId="37" fillId="5" borderId="28" xfId="0" applyFont="1" applyFill="1" applyBorder="1"/>
    <xf numFmtId="0" fontId="37" fillId="0" borderId="28" xfId="0" applyFont="1" applyBorder="1"/>
    <xf numFmtId="0" fontId="0" fillId="0" borderId="0" xfId="0" applyAlignment="1">
      <alignment horizontal="left"/>
    </xf>
    <xf numFmtId="0" fontId="16" fillId="5" borderId="28" xfId="0" applyFont="1" applyFill="1" applyBorder="1"/>
    <xf numFmtId="0" fontId="16" fillId="5" borderId="70" xfId="0" applyFont="1" applyFill="1" applyBorder="1"/>
    <xf numFmtId="0" fontId="16" fillId="5" borderId="0" xfId="0" applyFont="1" applyFill="1" applyProtection="1">
      <protection locked="0"/>
    </xf>
    <xf numFmtId="0" fontId="16" fillId="5" borderId="0" xfId="0" applyFont="1" applyFill="1"/>
    <xf numFmtId="4" fontId="16" fillId="5" borderId="0" xfId="0" applyNumberFormat="1" applyFont="1" applyFill="1"/>
    <xf numFmtId="4" fontId="16" fillId="5" borderId="0" xfId="0" applyNumberFormat="1" applyFont="1" applyFill="1" applyAlignment="1">
      <alignment horizontal="center" vertical="center"/>
    </xf>
    <xf numFmtId="4" fontId="16" fillId="5" borderId="0" xfId="0" applyNumberFormat="1" applyFont="1" applyFill="1" applyAlignment="1">
      <alignment horizontal="left" vertical="center"/>
    </xf>
    <xf numFmtId="4" fontId="16" fillId="5" borderId="0" xfId="0" applyNumberFormat="1" applyFont="1" applyFill="1" applyAlignment="1">
      <alignment vertical="center"/>
    </xf>
    <xf numFmtId="4" fontId="46" fillId="5" borderId="4" xfId="0" applyNumberFormat="1" applyFont="1" applyFill="1" applyBorder="1" applyAlignment="1">
      <alignment horizontal="center" vertical="center"/>
    </xf>
    <xf numFmtId="49" fontId="16" fillId="5" borderId="0" xfId="0" applyNumberFormat="1" applyFont="1" applyFill="1" applyAlignment="1">
      <alignment vertical="center" wrapText="1"/>
    </xf>
    <xf numFmtId="4" fontId="46" fillId="5" borderId="7" xfId="0" applyNumberFormat="1" applyFont="1" applyFill="1" applyBorder="1" applyAlignment="1">
      <alignment horizontal="center" vertical="center"/>
    </xf>
    <xf numFmtId="4" fontId="46" fillId="5" borderId="45" xfId="0" applyNumberFormat="1" applyFont="1" applyFill="1" applyBorder="1" applyAlignment="1">
      <alignment horizontal="center" vertical="center"/>
    </xf>
    <xf numFmtId="49" fontId="16" fillId="5" borderId="0" xfId="0" applyNumberFormat="1" applyFont="1" applyFill="1" applyAlignment="1">
      <alignment vertical="center"/>
    </xf>
    <xf numFmtId="17" fontId="46" fillId="5" borderId="1" xfId="0" applyNumberFormat="1" applyFont="1" applyFill="1" applyBorder="1" applyAlignment="1" applyProtection="1">
      <alignment vertical="center"/>
      <protection locked="0"/>
    </xf>
    <xf numFmtId="0" fontId="16" fillId="31" borderId="73" xfId="0" applyFont="1" applyFill="1" applyBorder="1" applyAlignment="1" applyProtection="1">
      <alignment horizontal="center" vertical="center"/>
      <protection locked="0"/>
    </xf>
    <xf numFmtId="0" fontId="16" fillId="31" borderId="74" xfId="0" applyFont="1" applyFill="1" applyBorder="1" applyAlignment="1" applyProtection="1">
      <alignment horizontal="center" vertical="center"/>
      <protection locked="0"/>
    </xf>
    <xf numFmtId="0" fontId="16" fillId="31" borderId="77" xfId="0" applyFont="1" applyFill="1" applyBorder="1" applyAlignment="1" applyProtection="1">
      <alignment horizontal="center" vertical="center"/>
      <protection locked="0"/>
    </xf>
    <xf numFmtId="0" fontId="16" fillId="31" borderId="70" xfId="0" applyFont="1" applyFill="1" applyBorder="1" applyAlignment="1" applyProtection="1">
      <alignment horizontal="center" vertical="center"/>
      <protection locked="0"/>
    </xf>
    <xf numFmtId="0" fontId="16" fillId="31" borderId="81" xfId="0" applyFont="1" applyFill="1" applyBorder="1" applyAlignment="1" applyProtection="1">
      <alignment horizontal="center" vertical="center"/>
      <protection locked="0"/>
    </xf>
    <xf numFmtId="0" fontId="16" fillId="31" borderId="78" xfId="0" applyFont="1" applyFill="1" applyBorder="1" applyAlignment="1" applyProtection="1">
      <alignment horizontal="center" vertical="center"/>
      <protection locked="0"/>
    </xf>
    <xf numFmtId="4" fontId="16" fillId="28" borderId="82" xfId="0" applyNumberFormat="1" applyFont="1" applyFill="1" applyBorder="1" applyAlignment="1">
      <alignment horizontal="center" vertical="center"/>
    </xf>
    <xf numFmtId="4" fontId="16" fillId="29" borderId="71" xfId="0" applyNumberFormat="1" applyFont="1" applyFill="1" applyBorder="1" applyAlignment="1">
      <alignment horizontal="left" vertical="center"/>
    </xf>
    <xf numFmtId="177" fontId="16" fillId="30" borderId="72" xfId="0" applyNumberFormat="1" applyFont="1" applyFill="1" applyBorder="1" applyAlignment="1" applyProtection="1">
      <alignment horizontal="right" vertical="center"/>
      <protection locked="0"/>
    </xf>
    <xf numFmtId="178" fontId="0" fillId="5" borderId="73" xfId="0" applyNumberFormat="1" applyFill="1" applyBorder="1" applyAlignment="1" applyProtection="1">
      <alignment horizontal="center" vertical="center"/>
      <protection locked="0"/>
    </xf>
    <xf numFmtId="178" fontId="0" fillId="5" borderId="74" xfId="0" applyNumberFormat="1" applyFill="1" applyBorder="1" applyAlignment="1" applyProtection="1">
      <alignment horizontal="center" vertical="center"/>
      <protection locked="0"/>
    </xf>
    <xf numFmtId="178" fontId="0" fillId="5" borderId="74" xfId="0" applyNumberFormat="1" applyFill="1" applyBorder="1" applyAlignment="1" applyProtection="1">
      <alignment horizontal="center" vertical="center" wrapText="1"/>
      <protection locked="0"/>
    </xf>
    <xf numFmtId="4" fontId="16" fillId="28" borderId="83" xfId="0" applyNumberFormat="1" applyFont="1" applyFill="1" applyBorder="1" applyAlignment="1">
      <alignment horizontal="center" vertical="center"/>
    </xf>
    <xf numFmtId="4" fontId="16" fillId="29" borderId="75" xfId="0" applyNumberFormat="1" applyFont="1" applyFill="1" applyBorder="1" applyAlignment="1">
      <alignment horizontal="left" vertical="center"/>
    </xf>
    <xf numFmtId="177" fontId="16" fillId="30" borderId="76" xfId="0" applyNumberFormat="1" applyFont="1" applyFill="1" applyBorder="1" applyAlignment="1" applyProtection="1">
      <alignment horizontal="right" vertical="center"/>
      <protection locked="0"/>
    </xf>
    <xf numFmtId="178" fontId="0" fillId="5" borderId="77" xfId="0" applyNumberFormat="1" applyFill="1" applyBorder="1" applyAlignment="1" applyProtection="1">
      <alignment horizontal="center" vertical="center"/>
      <protection locked="0"/>
    </xf>
    <xf numFmtId="178" fontId="0" fillId="5" borderId="70" xfId="0" applyNumberFormat="1" applyFill="1" applyBorder="1" applyAlignment="1" applyProtection="1">
      <alignment horizontal="center" vertical="center"/>
      <protection locked="0"/>
    </xf>
    <xf numFmtId="178" fontId="0" fillId="5" borderId="70" xfId="0" applyNumberFormat="1" applyFill="1" applyBorder="1" applyAlignment="1" applyProtection="1">
      <alignment horizontal="center" vertical="center" wrapText="1"/>
      <protection locked="0"/>
    </xf>
    <xf numFmtId="0" fontId="16" fillId="29" borderId="75" xfId="0" applyFont="1" applyFill="1" applyBorder="1" applyAlignment="1">
      <alignment horizontal="left"/>
    </xf>
    <xf numFmtId="4" fontId="16" fillId="28" borderId="84" xfId="0" applyNumberFormat="1" applyFont="1" applyFill="1" applyBorder="1" applyAlignment="1">
      <alignment horizontal="center" vertical="center"/>
    </xf>
    <xf numFmtId="4" fontId="16" fillId="29" borderId="79" xfId="0" applyNumberFormat="1" applyFont="1" applyFill="1" applyBorder="1" applyAlignment="1">
      <alignment horizontal="left" vertical="center"/>
    </xf>
    <xf numFmtId="177" fontId="16" fillId="30" borderId="80" xfId="0" applyNumberFormat="1" applyFont="1" applyFill="1" applyBorder="1" applyAlignment="1" applyProtection="1">
      <alignment horizontal="right" vertical="center"/>
      <protection locked="0"/>
    </xf>
    <xf numFmtId="178" fontId="0" fillId="5" borderId="81" xfId="0" applyNumberFormat="1" applyFill="1" applyBorder="1" applyAlignment="1" applyProtection="1">
      <alignment horizontal="center" vertical="center"/>
      <protection locked="0"/>
    </xf>
    <xf numFmtId="178" fontId="0" fillId="5" borderId="78" xfId="0" applyNumberFormat="1" applyFill="1" applyBorder="1" applyAlignment="1" applyProtection="1">
      <alignment horizontal="center" vertical="center"/>
      <protection locked="0"/>
    </xf>
    <xf numFmtId="4" fontId="16" fillId="28" borderId="85" xfId="0" applyNumberFormat="1" applyFont="1" applyFill="1" applyBorder="1" applyAlignment="1">
      <alignment horizontal="center" vertical="center"/>
    </xf>
    <xf numFmtId="0" fontId="16" fillId="29" borderId="86" xfId="0" applyFont="1" applyFill="1" applyBorder="1" applyAlignment="1">
      <alignment horizontal="left"/>
    </xf>
    <xf numFmtId="179" fontId="16" fillId="30" borderId="87" xfId="0" applyNumberFormat="1" applyFont="1" applyFill="1" applyBorder="1" applyAlignment="1" applyProtection="1">
      <alignment horizontal="right" vertical="center"/>
      <protection locked="0"/>
    </xf>
    <xf numFmtId="179" fontId="0" fillId="5" borderId="88" xfId="0" applyNumberFormat="1" applyFill="1" applyBorder="1" applyAlignment="1" applyProtection="1">
      <alignment horizontal="center" vertical="center"/>
      <protection locked="0"/>
    </xf>
    <xf numFmtId="179" fontId="0" fillId="5" borderId="89" xfId="0" applyNumberFormat="1" applyFill="1" applyBorder="1" applyAlignment="1" applyProtection="1">
      <alignment horizontal="center" vertical="center"/>
      <protection locked="0"/>
    </xf>
    <xf numFmtId="179" fontId="16" fillId="5" borderId="89" xfId="0" applyNumberFormat="1" applyFont="1" applyFill="1" applyBorder="1" applyAlignment="1" applyProtection="1">
      <alignment horizontal="center" vertical="center"/>
      <protection locked="0"/>
    </xf>
    <xf numFmtId="4" fontId="16" fillId="28" borderId="90" xfId="0" applyNumberFormat="1" applyFont="1" applyFill="1" applyBorder="1" applyAlignment="1">
      <alignment horizontal="center" vertical="center"/>
    </xf>
    <xf numFmtId="0" fontId="16" fillId="29" borderId="91" xfId="0" applyFont="1" applyFill="1" applyBorder="1" applyAlignment="1">
      <alignment horizontal="left"/>
    </xf>
    <xf numFmtId="179" fontId="16" fillId="30" borderId="91" xfId="0" applyNumberFormat="1" applyFont="1" applyFill="1" applyBorder="1" applyAlignment="1" applyProtection="1">
      <alignment horizontal="right" vertical="center"/>
      <protection locked="0"/>
    </xf>
    <xf numFmtId="179" fontId="0" fillId="5" borderId="91" xfId="0" applyNumberFormat="1" applyFill="1" applyBorder="1" applyAlignment="1" applyProtection="1">
      <alignment horizontal="center" vertical="center"/>
      <protection locked="0"/>
    </xf>
    <xf numFmtId="179" fontId="16" fillId="5" borderId="91" xfId="0" applyNumberFormat="1" applyFont="1" applyFill="1" applyBorder="1" applyAlignment="1" applyProtection="1">
      <alignment horizontal="center" vertical="center"/>
      <protection locked="0"/>
    </xf>
    <xf numFmtId="4" fontId="16" fillId="28" borderId="92" xfId="0" applyNumberFormat="1" applyFont="1" applyFill="1" applyBorder="1" applyAlignment="1">
      <alignment horizontal="center" vertical="center"/>
    </xf>
    <xf numFmtId="0" fontId="16" fillId="29" borderId="93" xfId="0" applyFont="1" applyFill="1" applyBorder="1" applyAlignment="1">
      <alignment horizontal="left"/>
    </xf>
    <xf numFmtId="179" fontId="16" fillId="30" borderId="93" xfId="0" applyNumberFormat="1" applyFont="1" applyFill="1" applyBorder="1" applyAlignment="1" applyProtection="1">
      <alignment horizontal="right" vertical="center"/>
      <protection locked="0"/>
    </xf>
    <xf numFmtId="179" fontId="16" fillId="5" borderId="93" xfId="0" applyNumberFormat="1" applyFont="1" applyFill="1" applyBorder="1" applyAlignment="1" applyProtection="1">
      <alignment horizontal="center" vertical="center"/>
      <protection locked="0"/>
    </xf>
    <xf numFmtId="4" fontId="16" fillId="28" borderId="94" xfId="0" applyNumberFormat="1" applyFont="1" applyFill="1" applyBorder="1" applyAlignment="1">
      <alignment horizontal="center" vertical="center"/>
    </xf>
    <xf numFmtId="4" fontId="16" fillId="29" borderId="95" xfId="0" applyNumberFormat="1" applyFont="1" applyFill="1" applyBorder="1" applyAlignment="1">
      <alignment horizontal="left" vertical="center"/>
    </xf>
    <xf numFmtId="178" fontId="16" fillId="30" borderId="94" xfId="0" applyNumberFormat="1" applyFont="1" applyFill="1" applyBorder="1" applyAlignment="1" applyProtection="1">
      <alignment horizontal="right" vertical="center"/>
      <protection locked="0"/>
    </xf>
    <xf numFmtId="177" fontId="16" fillId="5" borderId="96" xfId="0" applyNumberFormat="1" applyFont="1" applyFill="1" applyBorder="1" applyAlignment="1" applyProtection="1">
      <alignment horizontal="center" vertical="center"/>
      <protection locked="0"/>
    </xf>
    <xf numFmtId="177" fontId="16" fillId="5" borderId="97" xfId="0" applyNumberFormat="1" applyFont="1" applyFill="1" applyBorder="1" applyAlignment="1" applyProtection="1">
      <alignment horizontal="center" vertical="center"/>
      <protection locked="0"/>
    </xf>
    <xf numFmtId="4" fontId="16" fillId="28" borderId="76" xfId="0" applyNumberFormat="1" applyFont="1" applyFill="1" applyBorder="1" applyAlignment="1">
      <alignment horizontal="center" vertical="center"/>
    </xf>
    <xf numFmtId="178" fontId="16" fillId="30" borderId="76" xfId="0" applyNumberFormat="1" applyFont="1" applyFill="1" applyBorder="1" applyAlignment="1" applyProtection="1">
      <alignment horizontal="right" vertical="center"/>
      <protection locked="0"/>
    </xf>
    <xf numFmtId="177" fontId="16" fillId="5" borderId="77" xfId="0" applyNumberFormat="1" applyFont="1" applyFill="1" applyBorder="1" applyAlignment="1" applyProtection="1">
      <alignment horizontal="center" vertical="center"/>
      <protection locked="0"/>
    </xf>
    <xf numFmtId="177" fontId="16" fillId="5" borderId="70" xfId="0" applyNumberFormat="1" applyFont="1" applyFill="1" applyBorder="1" applyAlignment="1" applyProtection="1">
      <alignment horizontal="center" vertical="center"/>
      <protection locked="0"/>
    </xf>
    <xf numFmtId="177" fontId="0" fillId="5" borderId="77" xfId="0" applyNumberFormat="1" applyFill="1" applyBorder="1" applyAlignment="1" applyProtection="1">
      <alignment horizontal="center" vertical="center"/>
      <protection locked="0"/>
    </xf>
    <xf numFmtId="4" fontId="16" fillId="28" borderId="98" xfId="0" applyNumberFormat="1" applyFont="1" applyFill="1" applyBorder="1" applyAlignment="1">
      <alignment horizontal="center" vertical="center"/>
    </xf>
    <xf numFmtId="4" fontId="16" fillId="29" borderId="99" xfId="0" applyNumberFormat="1" applyFont="1" applyFill="1" applyBorder="1" applyAlignment="1">
      <alignment horizontal="left" vertical="center"/>
    </xf>
    <xf numFmtId="178" fontId="16" fillId="30" borderId="98" xfId="0" applyNumberFormat="1" applyFont="1" applyFill="1" applyBorder="1" applyAlignment="1" applyProtection="1">
      <alignment horizontal="right" vertical="center"/>
      <protection locked="0"/>
    </xf>
    <xf numFmtId="177" fontId="0" fillId="5" borderId="100" xfId="0" applyNumberFormat="1" applyFill="1" applyBorder="1" applyAlignment="1" applyProtection="1">
      <alignment horizontal="center" vertical="center"/>
      <protection locked="0"/>
    </xf>
    <xf numFmtId="177" fontId="16" fillId="5" borderId="91" xfId="0" applyNumberFormat="1" applyFont="1" applyFill="1" applyBorder="1" applyAlignment="1" applyProtection="1">
      <alignment horizontal="right" vertical="center"/>
      <protection locked="0"/>
    </xf>
    <xf numFmtId="4" fontId="16" fillId="28" borderId="72" xfId="0" applyNumberFormat="1" applyFont="1" applyFill="1" applyBorder="1" applyAlignment="1">
      <alignment horizontal="center" vertical="center"/>
    </xf>
    <xf numFmtId="178" fontId="16" fillId="30" borderId="72" xfId="0" applyNumberFormat="1" applyFont="1" applyFill="1" applyBorder="1" applyAlignment="1" applyProtection="1">
      <alignment horizontal="right" vertical="center"/>
      <protection locked="0"/>
    </xf>
    <xf numFmtId="177" fontId="16" fillId="5" borderId="73" xfId="0" applyNumberFormat="1" applyFont="1" applyFill="1" applyBorder="1" applyAlignment="1" applyProtection="1">
      <alignment horizontal="right" vertical="center"/>
      <protection locked="0"/>
    </xf>
    <xf numFmtId="177" fontId="16" fillId="5" borderId="74" xfId="0" applyNumberFormat="1" applyFont="1" applyFill="1" applyBorder="1" applyAlignment="1" applyProtection="1">
      <alignment horizontal="right" vertical="center"/>
      <protection locked="0"/>
    </xf>
    <xf numFmtId="4" fontId="16" fillId="29" borderId="0" xfId="0" applyNumberFormat="1" applyFont="1" applyFill="1" applyAlignment="1">
      <alignment horizontal="left" vertical="center"/>
    </xf>
    <xf numFmtId="178" fontId="16" fillId="30" borderId="101" xfId="0" applyNumberFormat="1" applyFont="1" applyFill="1" applyBorder="1" applyAlignment="1" applyProtection="1">
      <alignment horizontal="right" vertical="center"/>
      <protection locked="0"/>
    </xf>
    <xf numFmtId="177" fontId="16" fillId="5" borderId="102" xfId="0" applyNumberFormat="1" applyFont="1" applyFill="1" applyBorder="1" applyAlignment="1" applyProtection="1">
      <alignment horizontal="right" vertical="center"/>
      <protection locked="0"/>
    </xf>
    <xf numFmtId="177" fontId="16" fillId="5" borderId="103" xfId="0" applyNumberFormat="1" applyFont="1" applyFill="1" applyBorder="1" applyAlignment="1" applyProtection="1">
      <alignment horizontal="right" vertical="center"/>
      <protection locked="0"/>
    </xf>
    <xf numFmtId="177" fontId="16" fillId="5" borderId="100" xfId="0" applyNumberFormat="1" applyFont="1" applyFill="1" applyBorder="1" applyAlignment="1" applyProtection="1">
      <alignment horizontal="right" vertical="center"/>
      <protection locked="0"/>
    </xf>
    <xf numFmtId="177" fontId="16" fillId="5" borderId="77" xfId="0" applyNumberFormat="1" applyFont="1" applyFill="1" applyBorder="1" applyAlignment="1" applyProtection="1">
      <alignment horizontal="right" vertical="center"/>
      <protection locked="0"/>
    </xf>
    <xf numFmtId="177" fontId="16" fillId="5" borderId="70" xfId="0" applyNumberFormat="1" applyFont="1" applyFill="1" applyBorder="1" applyAlignment="1" applyProtection="1">
      <alignment horizontal="right" vertical="center"/>
      <protection locked="0"/>
    </xf>
    <xf numFmtId="178" fontId="16" fillId="30" borderId="80" xfId="0" applyNumberFormat="1" applyFont="1" applyFill="1" applyBorder="1" applyAlignment="1" applyProtection="1">
      <alignment horizontal="right" vertical="center"/>
      <protection locked="0"/>
    </xf>
    <xf numFmtId="177" fontId="16" fillId="5" borderId="81" xfId="0" applyNumberFormat="1" applyFont="1" applyFill="1" applyBorder="1" applyAlignment="1" applyProtection="1">
      <alignment horizontal="right" vertical="center"/>
      <protection locked="0"/>
    </xf>
    <xf numFmtId="0" fontId="16" fillId="5" borderId="14" xfId="0" applyFont="1" applyFill="1" applyBorder="1"/>
    <xf numFmtId="4" fontId="16" fillId="28" borderId="104" xfId="0" applyNumberFormat="1" applyFont="1" applyFill="1" applyBorder="1" applyAlignment="1">
      <alignment horizontal="center" vertical="center"/>
    </xf>
    <xf numFmtId="4" fontId="16" fillId="29" borderId="105" xfId="0" applyNumberFormat="1" applyFont="1" applyFill="1" applyBorder="1" applyAlignment="1">
      <alignment horizontal="left" vertical="center"/>
    </xf>
    <xf numFmtId="178" fontId="16" fillId="30" borderId="106" xfId="0" applyNumberFormat="1" applyFont="1" applyFill="1" applyBorder="1" applyAlignment="1" applyProtection="1">
      <alignment horizontal="right" vertical="center"/>
      <protection locked="0"/>
    </xf>
    <xf numFmtId="4" fontId="16" fillId="29" borderId="107" xfId="0" applyNumberFormat="1" applyFont="1" applyFill="1" applyBorder="1" applyAlignment="1">
      <alignment horizontal="left" vertical="center"/>
    </xf>
    <xf numFmtId="178" fontId="16" fillId="30" borderId="56" xfId="0" applyNumberFormat="1" applyFont="1" applyFill="1" applyBorder="1" applyAlignment="1" applyProtection="1">
      <alignment horizontal="right" vertical="center"/>
      <protection locked="0"/>
    </xf>
    <xf numFmtId="4" fontId="16" fillId="29" borderId="74" xfId="0" applyNumberFormat="1" applyFont="1" applyFill="1" applyBorder="1" applyAlignment="1">
      <alignment horizontal="left" vertical="center"/>
    </xf>
    <xf numFmtId="178" fontId="16" fillId="30" borderId="74" xfId="0" applyNumberFormat="1" applyFont="1" applyFill="1" applyBorder="1" applyAlignment="1" applyProtection="1">
      <alignment horizontal="right" vertical="center"/>
      <protection locked="0"/>
    </xf>
    <xf numFmtId="4" fontId="16" fillId="29" borderId="70" xfId="0" applyNumberFormat="1" applyFont="1" applyFill="1" applyBorder="1" applyAlignment="1">
      <alignment horizontal="left" vertical="center"/>
    </xf>
    <xf numFmtId="178" fontId="16" fillId="30" borderId="70" xfId="0" applyNumberFormat="1" applyFont="1" applyFill="1" applyBorder="1" applyAlignment="1" applyProtection="1">
      <alignment horizontal="right" vertical="center"/>
      <protection locked="0"/>
    </xf>
    <xf numFmtId="4" fontId="16" fillId="29" borderId="91" xfId="0" applyNumberFormat="1" applyFont="1" applyFill="1" applyBorder="1" applyAlignment="1">
      <alignment horizontal="left" vertical="center"/>
    </xf>
    <xf numFmtId="178" fontId="16" fillId="30" borderId="91" xfId="0" applyNumberFormat="1" applyFont="1" applyFill="1" applyBorder="1" applyAlignment="1" applyProtection="1">
      <alignment horizontal="right" vertical="center"/>
      <protection locked="0"/>
    </xf>
    <xf numFmtId="177" fontId="16" fillId="5" borderId="96" xfId="0" applyNumberFormat="1" applyFont="1" applyFill="1" applyBorder="1" applyAlignment="1" applyProtection="1">
      <alignment horizontal="right" vertical="center"/>
      <protection locked="0"/>
    </xf>
    <xf numFmtId="177" fontId="16" fillId="5" borderId="97" xfId="0" applyNumberFormat="1" applyFont="1" applyFill="1" applyBorder="1" applyAlignment="1" applyProtection="1">
      <alignment horizontal="right" vertical="center"/>
      <protection locked="0"/>
    </xf>
    <xf numFmtId="179" fontId="0" fillId="5" borderId="93" xfId="0" applyNumberFormat="1" applyFill="1" applyBorder="1" applyAlignment="1" applyProtection="1">
      <alignment horizontal="center" vertical="center"/>
      <protection locked="0"/>
    </xf>
    <xf numFmtId="177" fontId="0" fillId="5" borderId="97" xfId="0" applyNumberFormat="1" applyFill="1" applyBorder="1" applyAlignment="1" applyProtection="1">
      <alignment horizontal="center" vertical="center"/>
      <protection locked="0"/>
    </xf>
    <xf numFmtId="180" fontId="0" fillId="5" borderId="97" xfId="0" applyNumberFormat="1" applyFill="1" applyBorder="1" applyAlignment="1" applyProtection="1">
      <alignment horizontal="center" vertical="center"/>
      <protection locked="0"/>
    </xf>
    <xf numFmtId="0" fontId="0" fillId="5" borderId="97" xfId="0" applyFill="1" applyBorder="1" applyAlignment="1">
      <alignment horizontal="center"/>
    </xf>
    <xf numFmtId="177" fontId="0" fillId="5" borderId="70" xfId="0" applyNumberFormat="1" applyFill="1" applyBorder="1" applyAlignment="1" applyProtection="1">
      <alignment horizontal="center" vertical="center"/>
      <protection locked="0"/>
    </xf>
    <xf numFmtId="177" fontId="0" fillId="5" borderId="91" xfId="0" applyNumberFormat="1" applyFill="1" applyBorder="1" applyAlignment="1" applyProtection="1">
      <alignment horizontal="right" vertical="center"/>
      <protection locked="0"/>
    </xf>
    <xf numFmtId="177" fontId="0" fillId="5" borderId="74" xfId="0" applyNumberFormat="1" applyFill="1" applyBorder="1" applyAlignment="1" applyProtection="1">
      <alignment horizontal="right" vertical="center"/>
      <protection locked="0"/>
    </xf>
    <xf numFmtId="177" fontId="0" fillId="5" borderId="103" xfId="0" applyNumberFormat="1" applyFill="1" applyBorder="1" applyAlignment="1" applyProtection="1">
      <alignment horizontal="right" vertical="center"/>
      <protection locked="0"/>
    </xf>
    <xf numFmtId="177" fontId="0" fillId="5" borderId="70" xfId="0" applyNumberFormat="1" applyFill="1" applyBorder="1" applyAlignment="1" applyProtection="1">
      <alignment horizontal="right" vertical="center"/>
      <protection locked="0"/>
    </xf>
    <xf numFmtId="0" fontId="0" fillId="5" borderId="70" xfId="0" applyFill="1" applyBorder="1"/>
    <xf numFmtId="177" fontId="0" fillId="5" borderId="81" xfId="0" applyNumberFormat="1" applyFill="1" applyBorder="1" applyAlignment="1" applyProtection="1">
      <alignment horizontal="right" vertical="center"/>
      <protection locked="0"/>
    </xf>
    <xf numFmtId="177" fontId="0" fillId="5" borderId="73" xfId="0" applyNumberFormat="1" applyFill="1" applyBorder="1" applyAlignment="1" applyProtection="1">
      <alignment horizontal="right" vertical="center"/>
      <protection locked="0"/>
    </xf>
    <xf numFmtId="177" fontId="0" fillId="5" borderId="97" xfId="0" applyNumberFormat="1" applyFill="1" applyBorder="1" applyAlignment="1" applyProtection="1">
      <alignment horizontal="right" vertical="center"/>
      <protection locked="0"/>
    </xf>
    <xf numFmtId="177" fontId="0" fillId="5" borderId="89" xfId="0" applyNumberFormat="1" applyFill="1" applyBorder="1" applyAlignment="1" applyProtection="1">
      <alignment horizontal="center" vertical="center"/>
      <protection locked="0"/>
    </xf>
    <xf numFmtId="177" fontId="0" fillId="5" borderId="91" xfId="0" applyNumberFormat="1" applyFill="1" applyBorder="1" applyAlignment="1" applyProtection="1">
      <alignment horizontal="center" vertical="center"/>
      <protection locked="0"/>
    </xf>
    <xf numFmtId="177" fontId="0" fillId="5" borderId="93" xfId="0" applyNumberFormat="1" applyFill="1" applyBorder="1" applyAlignment="1" applyProtection="1">
      <alignment horizontal="center" vertical="center"/>
      <protection locked="0"/>
    </xf>
    <xf numFmtId="180" fontId="0" fillId="5" borderId="91" xfId="0" applyNumberFormat="1" applyFill="1" applyBorder="1" applyAlignment="1" applyProtection="1">
      <alignment horizontal="right" vertical="center"/>
      <protection locked="0"/>
    </xf>
    <xf numFmtId="178" fontId="0" fillId="5" borderId="97" xfId="0" applyNumberFormat="1" applyFill="1" applyBorder="1" applyAlignment="1" applyProtection="1">
      <alignment horizontal="center" vertical="center"/>
      <protection locked="0"/>
    </xf>
    <xf numFmtId="178" fontId="0" fillId="5" borderId="91" xfId="0" applyNumberFormat="1" applyFill="1" applyBorder="1" applyAlignment="1" applyProtection="1">
      <alignment horizontal="right" vertical="center"/>
      <protection locked="0"/>
    </xf>
    <xf numFmtId="178" fontId="0" fillId="5" borderId="74" xfId="0" applyNumberFormat="1" applyFill="1" applyBorder="1" applyAlignment="1" applyProtection="1">
      <alignment horizontal="right" vertical="center"/>
      <protection locked="0"/>
    </xf>
    <xf numFmtId="178" fontId="0" fillId="5" borderId="103" xfId="0" applyNumberFormat="1" applyFill="1" applyBorder="1" applyAlignment="1" applyProtection="1">
      <alignment horizontal="right" vertical="center"/>
      <protection locked="0"/>
    </xf>
    <xf numFmtId="178" fontId="0" fillId="5" borderId="70" xfId="0" applyNumberFormat="1" applyFill="1" applyBorder="1" applyAlignment="1" applyProtection="1">
      <alignment horizontal="right" vertical="center"/>
      <protection locked="0"/>
    </xf>
    <xf numFmtId="178" fontId="0" fillId="5" borderId="97" xfId="0" applyNumberFormat="1" applyFill="1" applyBorder="1" applyAlignment="1" applyProtection="1">
      <alignment horizontal="right" vertical="center"/>
      <protection locked="0"/>
    </xf>
    <xf numFmtId="178" fontId="0" fillId="5" borderId="70" xfId="0" applyNumberFormat="1" applyFill="1" applyBorder="1" applyAlignment="1" applyProtection="1">
      <alignment horizontal="center"/>
      <protection locked="0"/>
    </xf>
    <xf numFmtId="0" fontId="16" fillId="28" borderId="74" xfId="0" applyFont="1" applyFill="1" applyBorder="1" applyAlignment="1" applyProtection="1">
      <alignment horizontal="center" vertical="center"/>
      <protection locked="0"/>
    </xf>
    <xf numFmtId="0" fontId="16" fillId="28" borderId="70" xfId="0" applyFont="1" applyFill="1" applyBorder="1" applyAlignment="1" applyProtection="1">
      <alignment horizontal="center" vertical="center"/>
      <protection locked="0"/>
    </xf>
    <xf numFmtId="0" fontId="16" fillId="28" borderId="78" xfId="0" applyFont="1" applyFill="1" applyBorder="1" applyAlignment="1" applyProtection="1">
      <alignment horizontal="center" vertical="center"/>
      <protection locked="0"/>
    </xf>
    <xf numFmtId="178" fontId="0" fillId="5" borderId="109" xfId="0" applyNumberFormat="1" applyFill="1" applyBorder="1" applyAlignment="1" applyProtection="1">
      <alignment horizontal="center" vertical="center"/>
      <protection locked="0"/>
    </xf>
    <xf numFmtId="178" fontId="16" fillId="31" borderId="72" xfId="0" applyNumberFormat="1" applyFont="1" applyFill="1" applyBorder="1" applyAlignment="1">
      <alignment horizontal="right" vertical="center"/>
    </xf>
    <xf numFmtId="178" fontId="0" fillId="5" borderId="110" xfId="0" applyNumberFormat="1" applyFill="1" applyBorder="1" applyAlignment="1" applyProtection="1">
      <alignment horizontal="center" vertical="center"/>
      <protection locked="0"/>
    </xf>
    <xf numFmtId="178" fontId="16" fillId="31" borderId="76" xfId="0" applyNumberFormat="1" applyFont="1" applyFill="1" applyBorder="1" applyAlignment="1">
      <alignment horizontal="right" vertical="center"/>
    </xf>
    <xf numFmtId="178" fontId="0" fillId="5" borderId="111" xfId="0" applyNumberFormat="1" applyFill="1" applyBorder="1" applyAlignment="1" applyProtection="1">
      <alignment horizontal="center" vertical="center"/>
      <protection locked="0"/>
    </xf>
    <xf numFmtId="178" fontId="16" fillId="31" borderId="98" xfId="0" applyNumberFormat="1" applyFont="1" applyFill="1" applyBorder="1" applyAlignment="1">
      <alignment horizontal="right" vertical="center"/>
    </xf>
    <xf numFmtId="177" fontId="16" fillId="5" borderId="78" xfId="0" applyNumberFormat="1" applyFont="1" applyFill="1" applyBorder="1" applyAlignment="1" applyProtection="1">
      <alignment horizontal="right" vertical="center"/>
      <protection locked="0"/>
    </xf>
    <xf numFmtId="179" fontId="0" fillId="5" borderId="112" xfId="0" applyNumberFormat="1" applyFill="1" applyBorder="1" applyAlignment="1" applyProtection="1">
      <alignment horizontal="center" vertical="center"/>
      <protection locked="0"/>
    </xf>
    <xf numFmtId="179" fontId="16" fillId="5" borderId="88" xfId="0" applyNumberFormat="1" applyFont="1" applyFill="1" applyBorder="1" applyAlignment="1" applyProtection="1">
      <alignment horizontal="right" vertical="center"/>
      <protection locked="0"/>
    </xf>
    <xf numFmtId="179" fontId="16" fillId="5" borderId="89" xfId="0" applyNumberFormat="1" applyFont="1" applyFill="1" applyBorder="1" applyAlignment="1" applyProtection="1">
      <alignment horizontal="right" vertical="center"/>
      <protection locked="0"/>
    </xf>
    <xf numFmtId="179" fontId="0" fillId="5" borderId="113" xfId="0" applyNumberFormat="1" applyFill="1" applyBorder="1" applyAlignment="1" applyProtection="1">
      <alignment horizontal="center" vertical="center"/>
      <protection locked="0"/>
    </xf>
    <xf numFmtId="179" fontId="16" fillId="5" borderId="100" xfId="0" applyNumberFormat="1" applyFont="1" applyFill="1" applyBorder="1" applyAlignment="1" applyProtection="1">
      <alignment horizontal="right" vertical="center"/>
      <protection locked="0"/>
    </xf>
    <xf numFmtId="179" fontId="16" fillId="5" borderId="91" xfId="0" applyNumberFormat="1" applyFont="1" applyFill="1" applyBorder="1" applyAlignment="1" applyProtection="1">
      <alignment horizontal="right" vertical="center"/>
      <protection locked="0"/>
    </xf>
    <xf numFmtId="179" fontId="0" fillId="5" borderId="114" xfId="0" applyNumberFormat="1" applyFill="1" applyBorder="1" applyAlignment="1" applyProtection="1">
      <alignment horizontal="center" vertical="center"/>
      <protection locked="0"/>
    </xf>
    <xf numFmtId="178" fontId="16" fillId="31" borderId="115" xfId="0" applyNumberFormat="1" applyFont="1" applyFill="1" applyBorder="1" applyAlignment="1">
      <alignment horizontal="right" vertical="center"/>
    </xf>
    <xf numFmtId="179" fontId="16" fillId="5" borderId="116" xfId="0" applyNumberFormat="1" applyFont="1" applyFill="1" applyBorder="1" applyAlignment="1" applyProtection="1">
      <alignment horizontal="right" vertical="center"/>
      <protection locked="0"/>
    </xf>
    <xf numFmtId="179" fontId="16" fillId="5" borderId="93" xfId="0" applyNumberFormat="1" applyFont="1" applyFill="1" applyBorder="1" applyAlignment="1" applyProtection="1">
      <alignment horizontal="right" vertical="center"/>
      <protection locked="0"/>
    </xf>
    <xf numFmtId="178" fontId="0" fillId="5" borderId="117" xfId="0" applyNumberFormat="1" applyFill="1" applyBorder="1" applyAlignment="1" applyProtection="1">
      <alignment horizontal="center" vertical="center"/>
      <protection locked="0"/>
    </xf>
    <xf numFmtId="178" fontId="16" fillId="5" borderId="96" xfId="0" applyNumberFormat="1" applyFont="1" applyFill="1" applyBorder="1" applyAlignment="1" applyProtection="1">
      <alignment horizontal="right" vertical="center"/>
      <protection locked="0"/>
    </xf>
    <xf numFmtId="178" fontId="16" fillId="5" borderId="97" xfId="0" applyNumberFormat="1" applyFont="1" applyFill="1" applyBorder="1" applyAlignment="1" applyProtection="1">
      <alignment horizontal="right" vertical="center"/>
      <protection locked="0"/>
    </xf>
    <xf numFmtId="178" fontId="16" fillId="5" borderId="77" xfId="0" applyNumberFormat="1" applyFont="1" applyFill="1" applyBorder="1" applyAlignment="1" applyProtection="1">
      <alignment horizontal="right" vertical="center"/>
      <protection locked="0"/>
    </xf>
    <xf numFmtId="178" fontId="16" fillId="5" borderId="70" xfId="0" applyNumberFormat="1" applyFont="1" applyFill="1" applyBorder="1" applyAlignment="1" applyProtection="1">
      <alignment horizontal="right" vertical="center"/>
      <protection locked="0"/>
    </xf>
    <xf numFmtId="178" fontId="0" fillId="5" borderId="113" xfId="0" applyNumberFormat="1" applyFill="1" applyBorder="1" applyAlignment="1" applyProtection="1">
      <alignment horizontal="right" vertical="center"/>
      <protection locked="0"/>
    </xf>
    <xf numFmtId="178" fontId="16" fillId="5" borderId="100" xfId="0" applyNumberFormat="1" applyFont="1" applyFill="1" applyBorder="1" applyAlignment="1" applyProtection="1">
      <alignment horizontal="right" vertical="center"/>
      <protection locked="0"/>
    </xf>
    <xf numFmtId="178" fontId="16" fillId="5" borderId="91" xfId="0" applyNumberFormat="1" applyFont="1" applyFill="1" applyBorder="1" applyAlignment="1" applyProtection="1">
      <alignment horizontal="right" vertical="center"/>
      <protection locked="0"/>
    </xf>
    <xf numFmtId="178" fontId="0" fillId="5" borderId="109" xfId="0" applyNumberFormat="1" applyFill="1" applyBorder="1" applyAlignment="1" applyProtection="1">
      <alignment horizontal="right" vertical="center"/>
      <protection locked="0"/>
    </xf>
    <xf numFmtId="178" fontId="16" fillId="5" borderId="73" xfId="0" applyNumberFormat="1" applyFont="1" applyFill="1" applyBorder="1" applyAlignment="1" applyProtection="1">
      <alignment horizontal="right" vertical="center"/>
      <protection locked="0"/>
    </xf>
    <xf numFmtId="178" fontId="16" fillId="5" borderId="74" xfId="0" applyNumberFormat="1" applyFont="1" applyFill="1" applyBorder="1" applyAlignment="1" applyProtection="1">
      <alignment horizontal="right" vertical="center"/>
      <protection locked="0"/>
    </xf>
    <xf numFmtId="178" fontId="0" fillId="5" borderId="118" xfId="0" applyNumberFormat="1" applyFill="1" applyBorder="1" applyAlignment="1" applyProtection="1">
      <alignment horizontal="right" vertical="center"/>
      <protection locked="0"/>
    </xf>
    <xf numFmtId="178" fontId="16" fillId="5" borderId="102" xfId="0" applyNumberFormat="1" applyFont="1" applyFill="1" applyBorder="1" applyAlignment="1" applyProtection="1">
      <alignment horizontal="right" vertical="center"/>
      <protection locked="0"/>
    </xf>
    <xf numFmtId="178" fontId="16" fillId="5" borderId="103" xfId="0" applyNumberFormat="1" applyFont="1" applyFill="1" applyBorder="1" applyAlignment="1" applyProtection="1">
      <alignment horizontal="right" vertical="center"/>
      <protection locked="0"/>
    </xf>
    <xf numFmtId="178" fontId="0" fillId="5" borderId="110" xfId="0" applyNumberFormat="1" applyFill="1" applyBorder="1" applyAlignment="1" applyProtection="1">
      <alignment horizontal="right" vertical="center"/>
      <protection locked="0"/>
    </xf>
    <xf numFmtId="178" fontId="16" fillId="2" borderId="70" xfId="0" applyNumberFormat="1" applyFont="1" applyFill="1" applyBorder="1" applyAlignment="1" applyProtection="1">
      <alignment horizontal="right" vertical="center"/>
      <protection locked="0"/>
    </xf>
    <xf numFmtId="178" fontId="16" fillId="31" borderId="94" xfId="0" applyNumberFormat="1" applyFont="1" applyFill="1" applyBorder="1" applyAlignment="1">
      <alignment horizontal="right" vertical="center"/>
    </xf>
    <xf numFmtId="177" fontId="0" fillId="5" borderId="79" xfId="0" applyNumberFormat="1" applyFill="1" applyBorder="1" applyAlignment="1" applyProtection="1">
      <alignment horizontal="right" vertical="center"/>
      <protection locked="0"/>
    </xf>
    <xf numFmtId="178" fontId="16" fillId="31" borderId="80" xfId="0" applyNumberFormat="1" applyFont="1" applyFill="1" applyBorder="1" applyAlignment="1">
      <alignment horizontal="right" vertical="center"/>
    </xf>
    <xf numFmtId="178" fontId="16" fillId="5" borderId="81" xfId="0" applyNumberFormat="1" applyFont="1" applyFill="1" applyBorder="1" applyAlignment="1" applyProtection="1">
      <alignment horizontal="right" vertical="center"/>
      <protection locked="0"/>
    </xf>
    <xf numFmtId="178" fontId="16" fillId="5" borderId="78" xfId="0" applyNumberFormat="1" applyFont="1" applyFill="1" applyBorder="1" applyAlignment="1" applyProtection="1">
      <alignment horizontal="right" vertical="center"/>
      <protection locked="0"/>
    </xf>
    <xf numFmtId="177" fontId="0" fillId="5" borderId="71" xfId="0" applyNumberFormat="1" applyFill="1" applyBorder="1" applyAlignment="1" applyProtection="1">
      <alignment horizontal="right" vertical="center"/>
      <protection locked="0"/>
    </xf>
    <xf numFmtId="178" fontId="16" fillId="5" borderId="106" xfId="0" applyNumberFormat="1" applyFont="1" applyFill="1" applyBorder="1" applyAlignment="1" applyProtection="1">
      <alignment horizontal="right" vertical="center"/>
      <protection locked="0"/>
    </xf>
    <xf numFmtId="178" fontId="16" fillId="5" borderId="119" xfId="0" applyNumberFormat="1" applyFont="1" applyFill="1" applyBorder="1" applyAlignment="1" applyProtection="1">
      <alignment horizontal="right" vertical="center"/>
      <protection locked="0"/>
    </xf>
    <xf numFmtId="178" fontId="16" fillId="5" borderId="56" xfId="0" applyNumberFormat="1" applyFont="1" applyFill="1" applyBorder="1" applyAlignment="1" applyProtection="1">
      <alignment horizontal="right" vertical="center"/>
      <protection locked="0"/>
    </xf>
    <xf numFmtId="178" fontId="16" fillId="5" borderId="30" xfId="0" applyNumberFormat="1" applyFont="1" applyFill="1" applyBorder="1" applyAlignment="1" applyProtection="1">
      <alignment horizontal="right" vertical="center"/>
      <protection locked="0"/>
    </xf>
    <xf numFmtId="177" fontId="0" fillId="5" borderId="109" xfId="0" applyNumberFormat="1" applyFill="1" applyBorder="1" applyAlignment="1" applyProtection="1">
      <alignment horizontal="right" vertical="center"/>
      <protection locked="0"/>
    </xf>
    <xf numFmtId="177" fontId="0" fillId="5" borderId="110" xfId="0" applyNumberFormat="1" applyFill="1" applyBorder="1" applyAlignment="1" applyProtection="1">
      <alignment horizontal="right" vertical="center"/>
      <protection locked="0"/>
    </xf>
    <xf numFmtId="177" fontId="0" fillId="5" borderId="113" xfId="0" applyNumberFormat="1" applyFill="1" applyBorder="1" applyAlignment="1" applyProtection="1">
      <alignment horizontal="right" vertical="center"/>
      <protection locked="0"/>
    </xf>
    <xf numFmtId="178" fontId="0" fillId="5" borderId="117" xfId="0" applyNumberFormat="1" applyFill="1" applyBorder="1" applyAlignment="1" applyProtection="1">
      <alignment horizontal="right" vertical="center"/>
      <protection locked="0"/>
    </xf>
    <xf numFmtId="178" fontId="16" fillId="5" borderId="70" xfId="0" applyNumberFormat="1" applyFont="1" applyFill="1" applyBorder="1" applyAlignment="1" applyProtection="1">
      <alignment horizontal="right"/>
      <protection locked="0"/>
    </xf>
    <xf numFmtId="178" fontId="16" fillId="23" borderId="70" xfId="0" applyNumberFormat="1" applyFont="1" applyFill="1" applyBorder="1" applyAlignment="1" applyProtection="1">
      <alignment horizontal="right" vertical="center"/>
      <protection locked="0"/>
    </xf>
    <xf numFmtId="178" fontId="16" fillId="23" borderId="91" xfId="0" applyNumberFormat="1" applyFont="1" applyFill="1" applyBorder="1" applyAlignment="1" applyProtection="1">
      <alignment horizontal="right" vertical="center"/>
      <protection locked="0"/>
    </xf>
    <xf numFmtId="178" fontId="16" fillId="23" borderId="74" xfId="0" applyNumberFormat="1" applyFont="1" applyFill="1" applyBorder="1" applyAlignment="1" applyProtection="1">
      <alignment horizontal="right" vertical="center"/>
      <protection locked="0"/>
    </xf>
    <xf numFmtId="178" fontId="16" fillId="23" borderId="103" xfId="0" applyNumberFormat="1" applyFont="1" applyFill="1" applyBorder="1" applyAlignment="1" applyProtection="1">
      <alignment horizontal="right" vertical="center"/>
      <protection locked="0"/>
    </xf>
    <xf numFmtId="178" fontId="16" fillId="23" borderId="97" xfId="0" applyNumberFormat="1" applyFont="1" applyFill="1" applyBorder="1" applyAlignment="1" applyProtection="1">
      <alignment horizontal="right" vertical="center"/>
      <protection locked="0"/>
    </xf>
    <xf numFmtId="178" fontId="16" fillId="10" borderId="97" xfId="0" applyNumberFormat="1" applyFont="1" applyFill="1" applyBorder="1" applyAlignment="1" applyProtection="1">
      <alignment horizontal="right" vertical="center"/>
      <protection locked="0"/>
    </xf>
    <xf numFmtId="178" fontId="16" fillId="10" borderId="70" xfId="0" applyNumberFormat="1" applyFont="1" applyFill="1" applyBorder="1" applyAlignment="1" applyProtection="1">
      <alignment horizontal="right" vertical="center"/>
      <protection locked="0"/>
    </xf>
    <xf numFmtId="178" fontId="16" fillId="10" borderId="91" xfId="0" applyNumberFormat="1" applyFont="1" applyFill="1" applyBorder="1" applyAlignment="1" applyProtection="1">
      <alignment horizontal="right" vertical="center"/>
      <protection locked="0"/>
    </xf>
    <xf numFmtId="178" fontId="16" fillId="10" borderId="74" xfId="0" applyNumberFormat="1" applyFont="1" applyFill="1" applyBorder="1" applyAlignment="1" applyProtection="1">
      <alignment horizontal="right" vertical="center"/>
      <protection locked="0"/>
    </xf>
    <xf numFmtId="178" fontId="16" fillId="10" borderId="103" xfId="0" applyNumberFormat="1" applyFont="1" applyFill="1" applyBorder="1" applyAlignment="1" applyProtection="1">
      <alignment horizontal="right" vertical="center"/>
      <protection locked="0"/>
    </xf>
    <xf numFmtId="178" fontId="16" fillId="10" borderId="78" xfId="0" applyNumberFormat="1" applyFont="1" applyFill="1" applyBorder="1" applyAlignment="1" applyProtection="1">
      <alignment horizontal="right" vertical="center"/>
      <protection locked="0"/>
    </xf>
    <xf numFmtId="178" fontId="16" fillId="10" borderId="119" xfId="0" applyNumberFormat="1" applyFont="1" applyFill="1" applyBorder="1" applyAlignment="1" applyProtection="1">
      <alignment horizontal="right" vertical="center"/>
      <protection locked="0"/>
    </xf>
    <xf numFmtId="178" fontId="16" fillId="10" borderId="30" xfId="0" applyNumberFormat="1" applyFont="1" applyFill="1" applyBorder="1" applyAlignment="1" applyProtection="1">
      <alignment horizontal="right" vertical="center"/>
      <protection locked="0"/>
    </xf>
    <xf numFmtId="0" fontId="16" fillId="30" borderId="74" xfId="0" applyFont="1" applyFill="1" applyBorder="1" applyAlignment="1">
      <alignment horizontal="center" vertical="center"/>
    </xf>
    <xf numFmtId="0" fontId="16" fillId="30" borderId="70" xfId="0" applyFont="1" applyFill="1" applyBorder="1" applyAlignment="1" applyProtection="1">
      <alignment horizontal="center" vertical="center"/>
      <protection locked="0"/>
    </xf>
    <xf numFmtId="0" fontId="42" fillId="30" borderId="70" xfId="0" applyFont="1" applyFill="1" applyBorder="1" applyAlignment="1" applyProtection="1">
      <alignment horizontal="center" vertical="center"/>
      <protection locked="0"/>
    </xf>
    <xf numFmtId="0" fontId="16" fillId="30" borderId="78" xfId="0" applyFont="1" applyFill="1" applyBorder="1" applyAlignment="1" applyProtection="1">
      <alignment horizontal="center" vertical="center"/>
      <protection locked="0"/>
    </xf>
    <xf numFmtId="177" fontId="16" fillId="28" borderId="89" xfId="0" applyNumberFormat="1" applyFont="1" applyFill="1" applyBorder="1" applyAlignment="1">
      <alignment horizontal="right" vertical="center"/>
    </xf>
    <xf numFmtId="177" fontId="16" fillId="28" borderId="70" xfId="0" applyNumberFormat="1" applyFont="1" applyFill="1" applyBorder="1" applyAlignment="1">
      <alignment horizontal="right" vertical="center"/>
    </xf>
    <xf numFmtId="177" fontId="16" fillId="28" borderId="78" xfId="0" applyNumberFormat="1" applyFont="1" applyFill="1" applyBorder="1" applyAlignment="1">
      <alignment horizontal="right" vertical="center"/>
    </xf>
    <xf numFmtId="177" fontId="16" fillId="28" borderId="74" xfId="0" applyNumberFormat="1" applyFont="1" applyFill="1" applyBorder="1" applyAlignment="1">
      <alignment horizontal="right" vertical="center"/>
    </xf>
    <xf numFmtId="177" fontId="16" fillId="28" borderId="91" xfId="0" applyNumberFormat="1" applyFont="1" applyFill="1" applyBorder="1" applyAlignment="1">
      <alignment horizontal="right" vertical="center"/>
    </xf>
    <xf numFmtId="177" fontId="16" fillId="28" borderId="93" xfId="0" applyNumberFormat="1" applyFont="1" applyFill="1" applyBorder="1" applyAlignment="1">
      <alignment horizontal="right" vertical="center"/>
    </xf>
    <xf numFmtId="178" fontId="16" fillId="28" borderId="97" xfId="0" applyNumberFormat="1" applyFont="1" applyFill="1" applyBorder="1" applyAlignment="1">
      <alignment horizontal="right" vertical="center"/>
    </xf>
    <xf numFmtId="178" fontId="16" fillId="28" borderId="70" xfId="0" applyNumberFormat="1" applyFont="1" applyFill="1" applyBorder="1" applyAlignment="1">
      <alignment horizontal="right" vertical="center"/>
    </xf>
    <xf numFmtId="178" fontId="16" fillId="28" borderId="91" xfId="0" applyNumberFormat="1" applyFont="1" applyFill="1" applyBorder="1" applyAlignment="1">
      <alignment horizontal="right" vertical="center"/>
    </xf>
    <xf numFmtId="178" fontId="16" fillId="28" borderId="74" xfId="0" applyNumberFormat="1" applyFont="1" applyFill="1" applyBorder="1" applyAlignment="1">
      <alignment horizontal="right" vertical="center"/>
    </xf>
    <xf numFmtId="178" fontId="16" fillId="28" borderId="103" xfId="0" applyNumberFormat="1" applyFont="1" applyFill="1" applyBorder="1" applyAlignment="1">
      <alignment horizontal="right" vertical="center"/>
    </xf>
    <xf numFmtId="178" fontId="16" fillId="28" borderId="78" xfId="0" applyNumberFormat="1" applyFont="1" applyFill="1" applyBorder="1" applyAlignment="1">
      <alignment horizontal="right" vertical="center"/>
    </xf>
    <xf numFmtId="4" fontId="42" fillId="30" borderId="78" xfId="0" applyNumberFormat="1" applyFont="1" applyFill="1" applyBorder="1" applyAlignment="1" applyProtection="1">
      <alignment horizontal="center" vertical="center" wrapText="1"/>
      <protection locked="0"/>
    </xf>
    <xf numFmtId="0" fontId="41" fillId="30" borderId="78" xfId="0" applyFont="1" applyFill="1" applyBorder="1" applyAlignment="1" applyProtection="1">
      <alignment horizontal="center" vertical="center" wrapText="1"/>
      <protection locked="0"/>
    </xf>
    <xf numFmtId="0" fontId="42" fillId="30" borderId="78" xfId="0" applyFont="1" applyFill="1" applyBorder="1" applyAlignment="1" applyProtection="1">
      <alignment horizontal="center" vertical="center" wrapText="1"/>
      <protection locked="0"/>
    </xf>
    <xf numFmtId="177" fontId="16" fillId="5" borderId="74" xfId="0" applyNumberFormat="1" applyFont="1" applyFill="1" applyBorder="1" applyAlignment="1" applyProtection="1">
      <alignment horizontal="center" vertical="center"/>
      <protection locked="0"/>
    </xf>
    <xf numFmtId="0" fontId="16" fillId="5" borderId="74" xfId="0" applyFont="1" applyFill="1" applyBorder="1" applyProtection="1">
      <protection locked="0"/>
    </xf>
    <xf numFmtId="0" fontId="16" fillId="5" borderId="70" xfId="0" applyFont="1" applyFill="1" applyBorder="1" applyProtection="1">
      <protection locked="0"/>
    </xf>
    <xf numFmtId="177" fontId="16" fillId="5" borderId="78" xfId="0" applyNumberFormat="1" applyFont="1" applyFill="1" applyBorder="1" applyAlignment="1" applyProtection="1">
      <alignment horizontal="center" vertical="center"/>
      <protection locked="0"/>
    </xf>
    <xf numFmtId="0" fontId="16" fillId="5" borderId="78" xfId="0" applyFont="1" applyFill="1" applyBorder="1" applyProtection="1">
      <protection locked="0"/>
    </xf>
    <xf numFmtId="179" fontId="16" fillId="5" borderId="78" xfId="0" applyNumberFormat="1" applyFont="1" applyFill="1" applyBorder="1" applyAlignment="1" applyProtection="1">
      <alignment horizontal="center" vertical="center"/>
      <protection locked="0"/>
    </xf>
    <xf numFmtId="0" fontId="16" fillId="5" borderId="89" xfId="0" applyFont="1" applyFill="1" applyBorder="1" applyProtection="1">
      <protection locked="0"/>
    </xf>
    <xf numFmtId="177" fontId="16" fillId="5" borderId="91" xfId="0" applyNumberFormat="1" applyFont="1" applyFill="1" applyBorder="1" applyAlignment="1" applyProtection="1">
      <alignment horizontal="center" vertical="center"/>
      <protection locked="0"/>
    </xf>
    <xf numFmtId="0" fontId="16" fillId="5" borderId="91" xfId="0" applyFont="1" applyFill="1" applyBorder="1" applyProtection="1">
      <protection locked="0"/>
    </xf>
    <xf numFmtId="177" fontId="16" fillId="5" borderId="93" xfId="0" applyNumberFormat="1" applyFont="1" applyFill="1" applyBorder="1" applyAlignment="1" applyProtection="1">
      <alignment horizontal="center" vertical="center"/>
      <protection locked="0"/>
    </xf>
    <xf numFmtId="0" fontId="16" fillId="5" borderId="93" xfId="0" applyFont="1" applyFill="1" applyBorder="1" applyProtection="1">
      <protection locked="0"/>
    </xf>
    <xf numFmtId="178" fontId="16" fillId="5" borderId="97" xfId="0" applyNumberFormat="1" applyFont="1" applyFill="1" applyBorder="1" applyAlignment="1" applyProtection="1">
      <alignment horizontal="center" vertical="center"/>
      <protection locked="0"/>
    </xf>
    <xf numFmtId="178" fontId="16" fillId="5" borderId="97" xfId="0" applyNumberFormat="1" applyFont="1" applyFill="1" applyBorder="1" applyProtection="1">
      <protection locked="0"/>
    </xf>
    <xf numFmtId="178" fontId="16" fillId="5" borderId="70" xfId="0" applyNumberFormat="1" applyFont="1" applyFill="1" applyBorder="1" applyAlignment="1" applyProtection="1">
      <alignment horizontal="center" vertical="center"/>
      <protection locked="0"/>
    </xf>
    <xf numFmtId="178" fontId="16" fillId="5" borderId="70" xfId="0" applyNumberFormat="1" applyFont="1" applyFill="1" applyBorder="1" applyProtection="1">
      <protection locked="0"/>
    </xf>
    <xf numFmtId="178" fontId="16" fillId="5" borderId="91" xfId="0" applyNumberFormat="1" applyFont="1" applyFill="1" applyBorder="1" applyAlignment="1" applyProtection="1">
      <alignment horizontal="center" vertical="center"/>
      <protection locked="0"/>
    </xf>
    <xf numFmtId="178" fontId="16" fillId="5" borderId="91" xfId="0" applyNumberFormat="1" applyFont="1" applyFill="1" applyBorder="1" applyProtection="1">
      <protection locked="0"/>
    </xf>
    <xf numFmtId="178" fontId="16" fillId="5" borderId="74" xfId="0" applyNumberFormat="1" applyFont="1" applyFill="1" applyBorder="1" applyAlignment="1" applyProtection="1">
      <alignment horizontal="center" vertical="center"/>
      <protection locked="0"/>
    </xf>
    <xf numFmtId="178" fontId="16" fillId="5" borderId="74" xfId="0" applyNumberFormat="1" applyFont="1" applyFill="1" applyBorder="1" applyProtection="1">
      <protection locked="0"/>
    </xf>
    <xf numFmtId="178" fontId="16" fillId="5" borderId="103" xfId="0" applyNumberFormat="1" applyFont="1" applyFill="1" applyBorder="1" applyAlignment="1" applyProtection="1">
      <alignment horizontal="center" vertical="center"/>
      <protection locked="0"/>
    </xf>
    <xf numFmtId="178" fontId="16" fillId="5" borderId="103" xfId="0" applyNumberFormat="1" applyFont="1" applyFill="1" applyBorder="1" applyProtection="1">
      <protection locked="0"/>
    </xf>
    <xf numFmtId="178" fontId="16" fillId="5" borderId="78" xfId="0" applyNumberFormat="1" applyFont="1" applyFill="1" applyBorder="1" applyAlignment="1" applyProtection="1">
      <alignment horizontal="center" vertical="center"/>
      <protection locked="0"/>
    </xf>
    <xf numFmtId="178" fontId="16" fillId="5" borderId="78" xfId="0" applyNumberFormat="1" applyFont="1" applyFill="1" applyBorder="1" applyProtection="1">
      <protection locked="0"/>
    </xf>
    <xf numFmtId="178" fontId="16" fillId="5" borderId="119" xfId="0" applyNumberFormat="1" applyFont="1" applyFill="1" applyBorder="1" applyAlignment="1" applyProtection="1">
      <alignment horizontal="center" vertical="center"/>
      <protection locked="0"/>
    </xf>
    <xf numFmtId="178" fontId="16" fillId="5" borderId="119" xfId="0" applyNumberFormat="1" applyFont="1" applyFill="1" applyBorder="1" applyProtection="1">
      <protection locked="0"/>
    </xf>
    <xf numFmtId="178" fontId="16" fillId="5" borderId="30" xfId="0" applyNumberFormat="1" applyFont="1" applyFill="1" applyBorder="1" applyAlignment="1" applyProtection="1">
      <alignment horizontal="center" vertical="center"/>
      <protection locked="0"/>
    </xf>
    <xf numFmtId="178" fontId="16" fillId="5" borderId="30" xfId="0" applyNumberFormat="1" applyFont="1" applyFill="1" applyBorder="1" applyProtection="1">
      <protection locked="0"/>
    </xf>
    <xf numFmtId="4" fontId="16" fillId="30" borderId="74" xfId="0" applyNumberFormat="1" applyFont="1" applyFill="1" applyBorder="1" applyAlignment="1">
      <alignment horizontal="center" vertical="center"/>
    </xf>
    <xf numFmtId="4" fontId="16" fillId="30" borderId="70" xfId="0" applyNumberFormat="1" applyFont="1" applyFill="1" applyBorder="1" applyAlignment="1" applyProtection="1">
      <alignment horizontal="center" vertical="center"/>
      <protection locked="0"/>
    </xf>
    <xf numFmtId="4" fontId="42" fillId="30" borderId="70" xfId="0" applyNumberFormat="1" applyFont="1" applyFill="1" applyBorder="1" applyAlignment="1" applyProtection="1">
      <alignment horizontal="center" vertical="center"/>
      <protection locked="0"/>
    </xf>
    <xf numFmtId="0" fontId="16" fillId="30" borderId="78" xfId="0" applyFont="1" applyFill="1" applyBorder="1" applyAlignment="1" applyProtection="1">
      <alignment horizontal="center" vertical="center" wrapText="1"/>
      <protection locked="0"/>
    </xf>
    <xf numFmtId="4" fontId="16" fillId="5" borderId="74" xfId="0" applyNumberFormat="1" applyFont="1" applyFill="1" applyBorder="1" applyAlignment="1" applyProtection="1">
      <alignment horizontal="right" vertical="center"/>
      <protection locked="0"/>
    </xf>
    <xf numFmtId="4" fontId="16" fillId="5" borderId="70" xfId="0" applyNumberFormat="1" applyFont="1" applyFill="1" applyBorder="1" applyAlignment="1" applyProtection="1">
      <alignment horizontal="right" vertical="center"/>
      <protection locked="0"/>
    </xf>
    <xf numFmtId="4" fontId="16" fillId="5" borderId="78" xfId="0" applyNumberFormat="1" applyFont="1" applyFill="1" applyBorder="1" applyAlignment="1" applyProtection="1">
      <alignment horizontal="right" vertical="center"/>
      <protection locked="0"/>
    </xf>
    <xf numFmtId="4" fontId="16" fillId="5" borderId="89" xfId="0" applyNumberFormat="1" applyFont="1" applyFill="1" applyBorder="1" applyAlignment="1" applyProtection="1">
      <alignment horizontal="right" vertical="center"/>
      <protection locked="0"/>
    </xf>
    <xf numFmtId="4" fontId="16" fillId="5" borderId="91" xfId="0" applyNumberFormat="1" applyFont="1" applyFill="1" applyBorder="1" applyAlignment="1" applyProtection="1">
      <alignment horizontal="right" vertical="center"/>
      <protection locked="0"/>
    </xf>
    <xf numFmtId="4" fontId="16" fillId="5" borderId="93" xfId="0" applyNumberFormat="1" applyFont="1" applyFill="1" applyBorder="1" applyAlignment="1" applyProtection="1">
      <alignment horizontal="right" vertical="center"/>
      <protection locked="0"/>
    </xf>
    <xf numFmtId="4" fontId="16" fillId="5" borderId="97" xfId="0" applyNumberFormat="1" applyFont="1" applyFill="1" applyBorder="1" applyAlignment="1" applyProtection="1">
      <alignment horizontal="right" vertical="center"/>
      <protection locked="0"/>
    </xf>
    <xf numFmtId="4" fontId="16" fillId="5" borderId="103" xfId="0" applyNumberFormat="1" applyFont="1" applyFill="1" applyBorder="1" applyAlignment="1" applyProtection="1">
      <alignment horizontal="right" vertical="center"/>
      <protection locked="0"/>
    </xf>
    <xf numFmtId="4" fontId="16" fillId="5" borderId="119" xfId="0" applyNumberFormat="1" applyFont="1" applyFill="1" applyBorder="1" applyAlignment="1" applyProtection="1">
      <alignment horizontal="right" vertical="center"/>
      <protection locked="0"/>
    </xf>
    <xf numFmtId="4" fontId="16" fillId="5" borderId="30" xfId="0" applyNumberFormat="1" applyFont="1" applyFill="1" applyBorder="1" applyAlignment="1" applyProtection="1">
      <alignment horizontal="right" vertical="center"/>
      <protection locked="0"/>
    </xf>
    <xf numFmtId="177" fontId="16" fillId="5" borderId="109" xfId="0" applyNumberFormat="1" applyFont="1" applyFill="1" applyBorder="1" applyAlignment="1" applyProtection="1">
      <alignment horizontal="right" vertical="center"/>
      <protection locked="0"/>
    </xf>
    <xf numFmtId="178" fontId="16" fillId="30" borderId="120" xfId="0" applyNumberFormat="1" applyFont="1" applyFill="1" applyBorder="1" applyAlignment="1" applyProtection="1">
      <alignment horizontal="right" vertical="center"/>
      <protection locked="0"/>
    </xf>
    <xf numFmtId="177" fontId="16" fillId="5" borderId="110" xfId="0" applyNumberFormat="1" applyFont="1" applyFill="1" applyBorder="1" applyAlignment="1" applyProtection="1">
      <alignment horizontal="right" vertical="center"/>
      <protection locked="0"/>
    </xf>
    <xf numFmtId="178" fontId="16" fillId="30" borderId="121" xfId="0" applyNumberFormat="1" applyFont="1" applyFill="1" applyBorder="1" applyAlignment="1" applyProtection="1">
      <alignment horizontal="right" vertical="center"/>
      <protection locked="0"/>
    </xf>
    <xf numFmtId="177" fontId="16" fillId="5" borderId="111" xfId="0" applyNumberFormat="1" applyFont="1" applyFill="1" applyBorder="1" applyAlignment="1" applyProtection="1">
      <alignment horizontal="right" vertical="center"/>
      <protection locked="0"/>
    </xf>
    <xf numFmtId="178" fontId="16" fillId="30" borderId="122" xfId="0" applyNumberFormat="1" applyFont="1" applyFill="1" applyBorder="1" applyAlignment="1" applyProtection="1">
      <alignment horizontal="right" vertical="center"/>
      <protection locked="0"/>
    </xf>
    <xf numFmtId="178" fontId="16" fillId="30" borderId="103" xfId="0" applyNumberFormat="1" applyFont="1" applyFill="1" applyBorder="1" applyAlignment="1" applyProtection="1">
      <alignment horizontal="right" vertical="center"/>
      <protection locked="0"/>
    </xf>
    <xf numFmtId="178" fontId="16" fillId="30" borderId="93" xfId="0" applyNumberFormat="1" applyFont="1" applyFill="1" applyBorder="1" applyAlignment="1" applyProtection="1">
      <alignment horizontal="right" vertical="center"/>
      <protection locked="0"/>
    </xf>
    <xf numFmtId="178" fontId="16" fillId="30" borderId="97" xfId="0" applyNumberFormat="1" applyFont="1" applyFill="1" applyBorder="1" applyAlignment="1" applyProtection="1">
      <alignment horizontal="right" vertical="center"/>
      <protection locked="0"/>
    </xf>
    <xf numFmtId="178" fontId="16" fillId="30" borderId="78" xfId="0" applyNumberFormat="1" applyFont="1" applyFill="1" applyBorder="1" applyAlignment="1" applyProtection="1">
      <alignment horizontal="right" vertical="center"/>
      <protection locked="0"/>
    </xf>
    <xf numFmtId="177" fontId="16" fillId="31" borderId="82" xfId="0" applyNumberFormat="1" applyFont="1" applyFill="1" applyBorder="1" applyAlignment="1" applyProtection="1">
      <alignment horizontal="right" vertical="center"/>
      <protection locked="0"/>
    </xf>
    <xf numFmtId="177" fontId="16" fillId="31" borderId="83" xfId="0" applyNumberFormat="1" applyFont="1" applyFill="1" applyBorder="1" applyAlignment="1" applyProtection="1">
      <alignment horizontal="right" vertical="center"/>
      <protection locked="0"/>
    </xf>
    <xf numFmtId="177" fontId="16" fillId="31" borderId="90" xfId="0" applyNumberFormat="1" applyFont="1" applyFill="1" applyBorder="1" applyAlignment="1" applyProtection="1">
      <alignment horizontal="right" vertical="center"/>
      <protection locked="0"/>
    </xf>
    <xf numFmtId="177" fontId="16" fillId="31" borderId="96" xfId="0" applyNumberFormat="1" applyFont="1" applyFill="1" applyBorder="1" applyAlignment="1" applyProtection="1">
      <alignment horizontal="right" vertical="center"/>
      <protection locked="0"/>
    </xf>
    <xf numFmtId="177" fontId="16" fillId="31" borderId="77" xfId="0" applyNumberFormat="1" applyFont="1" applyFill="1" applyBorder="1" applyAlignment="1" applyProtection="1">
      <alignment horizontal="right" vertical="center"/>
      <protection locked="0"/>
    </xf>
    <xf numFmtId="177" fontId="16" fillId="31" borderId="81" xfId="0" applyNumberFormat="1" applyFont="1" applyFill="1" applyBorder="1" applyAlignment="1" applyProtection="1">
      <alignment horizontal="right" vertical="center"/>
      <protection locked="0"/>
    </xf>
    <xf numFmtId="177" fontId="0" fillId="5" borderId="78" xfId="0" applyNumberFormat="1" applyFill="1" applyBorder="1" applyAlignment="1" applyProtection="1">
      <alignment horizontal="right" vertical="center"/>
      <protection locked="0"/>
    </xf>
    <xf numFmtId="177" fontId="16" fillId="31" borderId="89" xfId="0" applyNumberFormat="1" applyFont="1" applyFill="1" applyBorder="1" applyAlignment="1" applyProtection="1">
      <alignment horizontal="right" vertical="center"/>
      <protection locked="0"/>
    </xf>
    <xf numFmtId="179" fontId="0" fillId="5" borderId="89" xfId="0" applyNumberFormat="1" applyFill="1" applyBorder="1" applyAlignment="1" applyProtection="1">
      <alignment horizontal="right" vertical="center"/>
      <protection locked="0"/>
    </xf>
    <xf numFmtId="177" fontId="16" fillId="31" borderId="91" xfId="0" applyNumberFormat="1" applyFont="1" applyFill="1" applyBorder="1" applyAlignment="1" applyProtection="1">
      <alignment horizontal="right" vertical="center"/>
      <protection locked="0"/>
    </xf>
    <xf numFmtId="179" fontId="0" fillId="5" borderId="91" xfId="0" applyNumberFormat="1" applyFill="1" applyBorder="1" applyAlignment="1" applyProtection="1">
      <alignment horizontal="right" vertical="center"/>
      <protection locked="0"/>
    </xf>
    <xf numFmtId="177" fontId="16" fillId="31" borderId="93" xfId="0" applyNumberFormat="1" applyFont="1" applyFill="1" applyBorder="1" applyAlignment="1" applyProtection="1">
      <alignment horizontal="right" vertical="center"/>
      <protection locked="0"/>
    </xf>
    <xf numFmtId="178" fontId="16" fillId="31" borderId="97" xfId="0" applyNumberFormat="1" applyFont="1" applyFill="1" applyBorder="1" applyAlignment="1" applyProtection="1">
      <alignment horizontal="right" vertical="center"/>
      <protection locked="0"/>
    </xf>
    <xf numFmtId="178" fontId="16" fillId="31" borderId="70" xfId="0" applyNumberFormat="1" applyFont="1" applyFill="1" applyBorder="1" applyAlignment="1" applyProtection="1">
      <alignment horizontal="right" vertical="center"/>
      <protection locked="0"/>
    </xf>
    <xf numFmtId="180" fontId="16" fillId="5" borderId="70" xfId="0" applyNumberFormat="1" applyFont="1" applyFill="1" applyBorder="1" applyAlignment="1" applyProtection="1">
      <alignment horizontal="right" vertical="center"/>
      <protection locked="0"/>
    </xf>
    <xf numFmtId="178" fontId="16" fillId="31" borderId="91" xfId="0" applyNumberFormat="1" applyFont="1" applyFill="1" applyBorder="1" applyAlignment="1" applyProtection="1">
      <alignment horizontal="right" vertical="center"/>
      <protection locked="0"/>
    </xf>
    <xf numFmtId="180" fontId="16" fillId="5" borderId="91" xfId="0" applyNumberFormat="1" applyFont="1" applyFill="1" applyBorder="1" applyAlignment="1" applyProtection="1">
      <alignment horizontal="right" vertical="center"/>
      <protection locked="0"/>
    </xf>
    <xf numFmtId="178" fontId="16" fillId="31" borderId="74" xfId="0" applyNumberFormat="1" applyFont="1" applyFill="1" applyBorder="1" applyAlignment="1" applyProtection="1">
      <alignment horizontal="right" vertical="center"/>
      <protection locked="0"/>
    </xf>
    <xf numFmtId="178" fontId="16" fillId="31" borderId="103" xfId="0" applyNumberFormat="1" applyFont="1" applyFill="1" applyBorder="1" applyAlignment="1" applyProtection="1">
      <alignment horizontal="right" vertical="center"/>
      <protection locked="0"/>
    </xf>
    <xf numFmtId="178" fontId="16" fillId="31" borderId="78" xfId="0" applyNumberFormat="1" applyFont="1" applyFill="1" applyBorder="1" applyAlignment="1" applyProtection="1">
      <alignment horizontal="right" vertical="center"/>
      <protection locked="0"/>
    </xf>
    <xf numFmtId="178" fontId="16" fillId="31" borderId="89" xfId="0" applyNumberFormat="1" applyFont="1" applyFill="1" applyBorder="1" applyAlignment="1" applyProtection="1">
      <alignment horizontal="right" vertical="center"/>
      <protection locked="0"/>
    </xf>
    <xf numFmtId="177" fontId="16" fillId="5" borderId="117" xfId="0" applyNumberFormat="1" applyFont="1" applyFill="1" applyBorder="1" applyAlignment="1" applyProtection="1">
      <alignment horizontal="right" vertical="center"/>
      <protection locked="0"/>
    </xf>
    <xf numFmtId="0" fontId="16" fillId="5" borderId="74" xfId="0" applyFont="1" applyFill="1" applyBorder="1" applyAlignment="1" applyProtection="1">
      <alignment horizontal="center" vertical="center"/>
      <protection locked="0"/>
    </xf>
    <xf numFmtId="0" fontId="16" fillId="5" borderId="70" xfId="0" applyFont="1" applyFill="1" applyBorder="1" applyAlignment="1" applyProtection="1">
      <alignment horizontal="center" vertical="center"/>
      <protection locked="0"/>
    </xf>
    <xf numFmtId="0" fontId="16" fillId="5" borderId="78" xfId="0" applyFont="1" applyFill="1" applyBorder="1" applyAlignment="1" applyProtection="1">
      <alignment horizontal="center" vertical="center"/>
      <protection locked="0"/>
    </xf>
    <xf numFmtId="177" fontId="16" fillId="28" borderId="123" xfId="0" applyNumberFormat="1" applyFont="1" applyFill="1" applyBorder="1" applyAlignment="1" applyProtection="1">
      <alignment horizontal="right" vertical="center"/>
      <protection locked="0"/>
    </xf>
    <xf numFmtId="177" fontId="16" fillId="28" borderId="124" xfId="0" applyNumberFormat="1" applyFont="1" applyFill="1" applyBorder="1" applyAlignment="1" applyProtection="1">
      <alignment horizontal="right" vertical="center"/>
      <protection locked="0"/>
    </xf>
    <xf numFmtId="177" fontId="16" fillId="28" borderId="125" xfId="0" applyNumberFormat="1" applyFont="1" applyFill="1" applyBorder="1" applyAlignment="1" applyProtection="1">
      <alignment horizontal="right" vertical="center"/>
      <protection locked="0"/>
    </xf>
    <xf numFmtId="177" fontId="16" fillId="28" borderId="104" xfId="0" applyNumberFormat="1" applyFont="1" applyFill="1" applyBorder="1" applyAlignment="1" applyProtection="1">
      <alignment horizontal="right" vertical="center"/>
      <protection locked="0"/>
    </xf>
    <xf numFmtId="177" fontId="16" fillId="28" borderId="83" xfId="0" applyNumberFormat="1" applyFont="1" applyFill="1" applyBorder="1" applyAlignment="1" applyProtection="1">
      <alignment horizontal="right" vertical="center"/>
      <protection locked="0"/>
    </xf>
    <xf numFmtId="177" fontId="16" fillId="28" borderId="90" xfId="0" applyNumberFormat="1" applyFont="1" applyFill="1" applyBorder="1" applyAlignment="1" applyProtection="1">
      <alignment horizontal="right" vertical="center"/>
      <protection locked="0"/>
    </xf>
    <xf numFmtId="177" fontId="16" fillId="28" borderId="89" xfId="0" applyNumberFormat="1" applyFont="1" applyFill="1" applyBorder="1" applyAlignment="1" applyProtection="1">
      <alignment horizontal="right" vertical="center"/>
      <protection locked="0"/>
    </xf>
    <xf numFmtId="177" fontId="16" fillId="28" borderId="91" xfId="0" applyNumberFormat="1" applyFont="1" applyFill="1" applyBorder="1" applyAlignment="1" applyProtection="1">
      <alignment horizontal="right" vertical="center"/>
      <protection locked="0"/>
    </xf>
    <xf numFmtId="177" fontId="16" fillId="28" borderId="93" xfId="0" applyNumberFormat="1" applyFont="1" applyFill="1" applyBorder="1" applyAlignment="1" applyProtection="1">
      <alignment horizontal="right" vertical="center"/>
      <protection locked="0"/>
    </xf>
    <xf numFmtId="178" fontId="16" fillId="28" borderId="97" xfId="0" applyNumberFormat="1" applyFont="1" applyFill="1" applyBorder="1" applyAlignment="1" applyProtection="1">
      <alignment horizontal="right" vertical="center"/>
      <protection locked="0"/>
    </xf>
    <xf numFmtId="178" fontId="16" fillId="28" borderId="70" xfId="0" applyNumberFormat="1" applyFont="1" applyFill="1" applyBorder="1" applyAlignment="1" applyProtection="1">
      <alignment horizontal="right" vertical="center"/>
      <protection locked="0"/>
    </xf>
    <xf numFmtId="178" fontId="16" fillId="28" borderId="91" xfId="0" applyNumberFormat="1" applyFont="1" applyFill="1" applyBorder="1" applyAlignment="1" applyProtection="1">
      <alignment horizontal="right" vertical="center"/>
      <protection locked="0"/>
    </xf>
    <xf numFmtId="178" fontId="16" fillId="28" borderId="74" xfId="0" applyNumberFormat="1" applyFont="1" applyFill="1" applyBorder="1" applyAlignment="1" applyProtection="1">
      <alignment horizontal="right" vertical="center"/>
      <protection locked="0"/>
    </xf>
    <xf numFmtId="178" fontId="16" fillId="28" borderId="103" xfId="0" applyNumberFormat="1" applyFont="1" applyFill="1" applyBorder="1" applyAlignment="1" applyProtection="1">
      <alignment horizontal="right" vertical="center"/>
      <protection locked="0"/>
    </xf>
    <xf numFmtId="178" fontId="16" fillId="28" borderId="78" xfId="0" applyNumberFormat="1" applyFont="1" applyFill="1" applyBorder="1" applyAlignment="1" applyProtection="1">
      <alignment horizontal="right" vertical="center"/>
      <protection locked="0"/>
    </xf>
    <xf numFmtId="178" fontId="16" fillId="28" borderId="89" xfId="0" applyNumberFormat="1" applyFont="1" applyFill="1" applyBorder="1" applyAlignment="1" applyProtection="1">
      <alignment horizontal="right" vertical="center"/>
      <protection locked="0"/>
    </xf>
    <xf numFmtId="179" fontId="16" fillId="5" borderId="70" xfId="0" applyNumberFormat="1" applyFont="1" applyFill="1" applyBorder="1" applyAlignment="1" applyProtection="1">
      <alignment horizontal="right" vertical="center"/>
      <protection locked="0"/>
    </xf>
    <xf numFmtId="179" fontId="16" fillId="5" borderId="78" xfId="0" applyNumberFormat="1" applyFont="1" applyFill="1" applyBorder="1" applyAlignment="1" applyProtection="1">
      <alignment horizontal="right" vertical="center"/>
      <protection locked="0"/>
    </xf>
    <xf numFmtId="179" fontId="16" fillId="5" borderId="74" xfId="0" applyNumberFormat="1" applyFont="1" applyFill="1" applyBorder="1" applyAlignment="1" applyProtection="1">
      <alignment horizontal="right" vertical="center"/>
      <protection locked="0"/>
    </xf>
    <xf numFmtId="4" fontId="16" fillId="5" borderId="70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78" xfId="0" applyNumberFormat="1" applyFont="1" applyFill="1" applyBorder="1" applyAlignment="1" applyProtection="1">
      <alignment horizontal="center" vertical="center" wrapText="1"/>
      <protection locked="0"/>
    </xf>
    <xf numFmtId="177" fontId="16" fillId="32" borderId="109" xfId="0" applyNumberFormat="1" applyFont="1" applyFill="1" applyBorder="1" applyAlignment="1" applyProtection="1">
      <alignment horizontal="right" vertical="center"/>
      <protection locked="0"/>
    </xf>
    <xf numFmtId="177" fontId="16" fillId="32" borderId="110" xfId="0" applyNumberFormat="1" applyFont="1" applyFill="1" applyBorder="1" applyAlignment="1" applyProtection="1">
      <alignment horizontal="right" vertical="center"/>
      <protection locked="0"/>
    </xf>
    <xf numFmtId="177" fontId="16" fillId="32" borderId="111" xfId="0" applyNumberFormat="1" applyFont="1" applyFill="1" applyBorder="1" applyAlignment="1" applyProtection="1">
      <alignment horizontal="right" vertical="center"/>
      <protection locked="0"/>
    </xf>
    <xf numFmtId="177" fontId="16" fillId="5" borderId="123" xfId="0" applyNumberFormat="1" applyFont="1" applyFill="1" applyBorder="1" applyAlignment="1" applyProtection="1">
      <alignment horizontal="right" vertical="center"/>
      <protection locked="0"/>
    </xf>
    <xf numFmtId="177" fontId="16" fillId="5" borderId="124" xfId="0" applyNumberFormat="1" applyFont="1" applyFill="1" applyBorder="1" applyAlignment="1" applyProtection="1">
      <alignment horizontal="right" vertical="center"/>
      <protection locked="0"/>
    </xf>
    <xf numFmtId="177" fontId="16" fillId="5" borderId="125" xfId="0" applyNumberFormat="1" applyFont="1" applyFill="1" applyBorder="1" applyAlignment="1" applyProtection="1">
      <alignment horizontal="right" vertical="center"/>
      <protection locked="0"/>
    </xf>
    <xf numFmtId="177" fontId="16" fillId="32" borderId="113" xfId="0" applyNumberFormat="1" applyFont="1" applyFill="1" applyBorder="1" applyAlignment="1" applyProtection="1">
      <alignment horizontal="right" vertical="center"/>
      <protection locked="0"/>
    </xf>
    <xf numFmtId="177" fontId="16" fillId="5" borderId="89" xfId="0" applyNumberFormat="1" applyFont="1" applyFill="1" applyBorder="1" applyAlignment="1" applyProtection="1">
      <alignment horizontal="right" vertical="center"/>
      <protection locked="0"/>
    </xf>
    <xf numFmtId="179" fontId="16" fillId="32" borderId="112" xfId="0" applyNumberFormat="1" applyFont="1" applyFill="1" applyBorder="1" applyAlignment="1" applyProtection="1">
      <alignment horizontal="right" vertical="center"/>
      <protection locked="0"/>
    </xf>
    <xf numFmtId="179" fontId="16" fillId="32" borderId="113" xfId="0" applyNumberFormat="1" applyFont="1" applyFill="1" applyBorder="1" applyAlignment="1" applyProtection="1">
      <alignment horizontal="right" vertical="center"/>
      <protection locked="0"/>
    </xf>
    <xf numFmtId="177" fontId="16" fillId="5" borderId="93" xfId="0" applyNumberFormat="1" applyFont="1" applyFill="1" applyBorder="1" applyAlignment="1" applyProtection="1">
      <alignment horizontal="right" vertical="center"/>
      <protection locked="0"/>
    </xf>
    <xf numFmtId="179" fontId="16" fillId="32" borderId="114" xfId="0" applyNumberFormat="1" applyFont="1" applyFill="1" applyBorder="1" applyAlignment="1" applyProtection="1">
      <alignment horizontal="right" vertical="center"/>
      <protection locked="0"/>
    </xf>
    <xf numFmtId="0" fontId="16" fillId="31" borderId="97" xfId="0" applyFont="1" applyFill="1" applyBorder="1" applyAlignment="1" applyProtection="1">
      <alignment horizontal="right" vertical="center"/>
      <protection locked="0"/>
    </xf>
    <xf numFmtId="4" fontId="16" fillId="31" borderId="70" xfId="0" applyNumberFormat="1" applyFont="1" applyFill="1" applyBorder="1" applyAlignment="1" applyProtection="1">
      <alignment horizontal="right" vertical="center"/>
      <protection locked="0"/>
    </xf>
    <xf numFmtId="1" fontId="16" fillId="31" borderId="70" xfId="0" applyNumberFormat="1" applyFont="1" applyFill="1" applyBorder="1" applyAlignment="1" applyProtection="1">
      <alignment horizontal="right" vertical="center"/>
      <protection locked="0"/>
    </xf>
    <xf numFmtId="178" fontId="16" fillId="5" borderId="89" xfId="0" applyNumberFormat="1" applyFont="1" applyFill="1" applyBorder="1" applyAlignment="1" applyProtection="1">
      <alignment horizontal="right" vertical="center"/>
      <protection locked="0"/>
    </xf>
    <xf numFmtId="178" fontId="16" fillId="31" borderId="119" xfId="0" applyNumberFormat="1" applyFont="1" applyFill="1" applyBorder="1" applyAlignment="1" applyProtection="1">
      <alignment horizontal="right" vertical="center"/>
      <protection locked="0"/>
    </xf>
    <xf numFmtId="178" fontId="16" fillId="31" borderId="30" xfId="0" applyNumberFormat="1" applyFont="1" applyFill="1" applyBorder="1" applyAlignment="1" applyProtection="1">
      <alignment horizontal="right" vertical="center"/>
      <protection locked="0"/>
    </xf>
    <xf numFmtId="178" fontId="16" fillId="33" borderId="120" xfId="0" applyNumberFormat="1" applyFont="1" applyFill="1" applyBorder="1" applyAlignment="1" applyProtection="1">
      <alignment horizontal="right" vertical="center"/>
      <protection locked="0"/>
    </xf>
    <xf numFmtId="177" fontId="16" fillId="29" borderId="72" xfId="0" applyNumberFormat="1" applyFont="1" applyFill="1" applyBorder="1" applyAlignment="1" applyProtection="1">
      <alignment horizontal="right" vertical="center"/>
      <protection locked="0"/>
    </xf>
    <xf numFmtId="0" fontId="16" fillId="8" borderId="105" xfId="0" applyFont="1" applyFill="1" applyBorder="1"/>
    <xf numFmtId="178" fontId="16" fillId="33" borderId="121" xfId="0" applyNumberFormat="1" applyFont="1" applyFill="1" applyBorder="1" applyAlignment="1" applyProtection="1">
      <alignment horizontal="right" vertical="center"/>
      <protection locked="0"/>
    </xf>
    <xf numFmtId="177" fontId="16" fillId="29" borderId="76" xfId="0" applyNumberFormat="1" applyFont="1" applyFill="1" applyBorder="1" applyAlignment="1" applyProtection="1">
      <alignment horizontal="right" vertical="center"/>
      <protection locked="0"/>
    </xf>
    <xf numFmtId="0" fontId="16" fillId="8" borderId="127" xfId="0" applyFont="1" applyFill="1" applyBorder="1"/>
    <xf numFmtId="4" fontId="16" fillId="8" borderId="127" xfId="0" applyNumberFormat="1" applyFont="1" applyFill="1" applyBorder="1" applyAlignment="1">
      <alignment horizontal="center" vertical="center"/>
    </xf>
    <xf numFmtId="1" fontId="16" fillId="8" borderId="127" xfId="0" applyNumberFormat="1" applyFont="1" applyFill="1" applyBorder="1" applyAlignment="1">
      <alignment horizontal="center" vertical="center"/>
    </xf>
    <xf numFmtId="178" fontId="16" fillId="33" borderId="126" xfId="0" applyNumberFormat="1" applyFont="1" applyFill="1" applyBorder="1" applyAlignment="1" applyProtection="1">
      <alignment horizontal="right" vertical="center"/>
      <protection locked="0"/>
    </xf>
    <xf numFmtId="177" fontId="16" fillId="29" borderId="98" xfId="0" applyNumberFormat="1" applyFont="1" applyFill="1" applyBorder="1" applyAlignment="1" applyProtection="1">
      <alignment horizontal="right" vertical="center"/>
      <protection locked="0"/>
    </xf>
    <xf numFmtId="1" fontId="38" fillId="8" borderId="127" xfId="0" applyNumberFormat="1" applyFont="1" applyFill="1" applyBorder="1" applyAlignment="1">
      <alignment horizontal="center" vertical="center"/>
    </xf>
    <xf numFmtId="178" fontId="16" fillId="33" borderId="72" xfId="0" applyNumberFormat="1" applyFont="1" applyFill="1" applyBorder="1" applyAlignment="1" applyProtection="1">
      <alignment horizontal="right" vertical="center"/>
      <protection locked="0"/>
    </xf>
    <xf numFmtId="177" fontId="16" fillId="29" borderId="128" xfId="0" applyNumberFormat="1" applyFont="1" applyFill="1" applyBorder="1" applyAlignment="1" applyProtection="1">
      <alignment horizontal="right" vertical="center"/>
      <protection locked="0"/>
    </xf>
    <xf numFmtId="1" fontId="16" fillId="8" borderId="76" xfId="0" applyNumberFormat="1" applyFont="1" applyFill="1" applyBorder="1" applyAlignment="1">
      <alignment horizontal="center"/>
    </xf>
    <xf numFmtId="178" fontId="16" fillId="33" borderId="76" xfId="0" applyNumberFormat="1" applyFont="1" applyFill="1" applyBorder="1" applyAlignment="1" applyProtection="1">
      <alignment horizontal="right" vertical="center"/>
      <protection locked="0"/>
    </xf>
    <xf numFmtId="177" fontId="16" fillId="29" borderId="127" xfId="0" applyNumberFormat="1" applyFont="1" applyFill="1" applyBorder="1" applyAlignment="1" applyProtection="1">
      <alignment horizontal="right" vertical="center"/>
      <protection locked="0"/>
    </xf>
    <xf numFmtId="178" fontId="16" fillId="33" borderId="98" xfId="0" applyNumberFormat="1" applyFont="1" applyFill="1" applyBorder="1" applyAlignment="1" applyProtection="1">
      <alignment horizontal="right" vertical="center"/>
      <protection locked="0"/>
    </xf>
    <xf numFmtId="177" fontId="16" fillId="29" borderId="129" xfId="0" applyNumberFormat="1" applyFont="1" applyFill="1" applyBorder="1" applyAlignment="1" applyProtection="1">
      <alignment horizontal="right" vertical="center"/>
      <protection locked="0"/>
    </xf>
    <xf numFmtId="1" fontId="16" fillId="8" borderId="80" xfId="0" applyNumberFormat="1" applyFont="1" applyFill="1" applyBorder="1" applyAlignment="1">
      <alignment horizontal="center"/>
    </xf>
    <xf numFmtId="177" fontId="16" fillId="29" borderId="86" xfId="0" applyNumberFormat="1" applyFont="1" applyFill="1" applyBorder="1" applyAlignment="1" applyProtection="1">
      <alignment horizontal="right" vertical="center"/>
      <protection locked="0"/>
    </xf>
    <xf numFmtId="1" fontId="16" fillId="8" borderId="87" xfId="0" applyNumberFormat="1" applyFont="1" applyFill="1" applyBorder="1" applyAlignment="1">
      <alignment horizontal="center"/>
    </xf>
    <xf numFmtId="177" fontId="16" fillId="29" borderId="100" xfId="0" applyNumberFormat="1" applyFont="1" applyFill="1" applyBorder="1" applyAlignment="1" applyProtection="1">
      <alignment horizontal="right" vertical="center"/>
      <protection locked="0"/>
    </xf>
    <xf numFmtId="1" fontId="16" fillId="8" borderId="125" xfId="0" applyNumberFormat="1" applyFont="1" applyFill="1" applyBorder="1" applyAlignment="1">
      <alignment horizontal="center"/>
    </xf>
    <xf numFmtId="178" fontId="16" fillId="33" borderId="130" xfId="0" applyNumberFormat="1" applyFont="1" applyFill="1" applyBorder="1" applyAlignment="1" applyProtection="1">
      <alignment horizontal="right" vertical="center"/>
      <protection locked="0"/>
    </xf>
    <xf numFmtId="177" fontId="16" fillId="29" borderId="116" xfId="0" applyNumberFormat="1" applyFont="1" applyFill="1" applyBorder="1" applyAlignment="1" applyProtection="1">
      <alignment horizontal="right" vertical="center"/>
      <protection locked="0"/>
    </xf>
    <xf numFmtId="1" fontId="16" fillId="8" borderId="131" xfId="0" applyNumberFormat="1" applyFont="1" applyFill="1" applyBorder="1" applyAlignment="1">
      <alignment horizontal="center"/>
    </xf>
    <xf numFmtId="178" fontId="16" fillId="33" borderId="94" xfId="0" applyNumberFormat="1" applyFont="1" applyFill="1" applyBorder="1" applyAlignment="1" applyProtection="1">
      <alignment horizontal="right" vertical="center"/>
      <protection locked="0"/>
    </xf>
    <xf numFmtId="178" fontId="16" fillId="29" borderId="95" xfId="0" applyNumberFormat="1" applyFont="1" applyFill="1" applyBorder="1" applyAlignment="1" applyProtection="1">
      <alignment horizontal="right" vertical="center"/>
      <protection locked="0"/>
    </xf>
    <xf numFmtId="1" fontId="16" fillId="8" borderId="94" xfId="0" applyNumberFormat="1" applyFont="1" applyFill="1" applyBorder="1" applyAlignment="1">
      <alignment horizontal="center"/>
    </xf>
    <xf numFmtId="178" fontId="16" fillId="29" borderId="75" xfId="0" applyNumberFormat="1" applyFont="1" applyFill="1" applyBorder="1" applyAlignment="1" applyProtection="1">
      <alignment horizontal="right" vertical="center"/>
      <protection locked="0"/>
    </xf>
    <xf numFmtId="178" fontId="16" fillId="29" borderId="99" xfId="0" applyNumberFormat="1" applyFont="1" applyFill="1" applyBorder="1" applyAlignment="1" applyProtection="1">
      <alignment horizontal="right" vertical="center"/>
      <protection locked="0"/>
    </xf>
    <xf numFmtId="178" fontId="16" fillId="29" borderId="71" xfId="0" applyNumberFormat="1" applyFont="1" applyFill="1" applyBorder="1" applyAlignment="1" applyProtection="1">
      <alignment horizontal="right" vertical="center"/>
      <protection locked="0"/>
    </xf>
    <xf numFmtId="178" fontId="16" fillId="29" borderId="0" xfId="0" applyNumberFormat="1" applyFont="1" applyFill="1" applyAlignment="1" applyProtection="1">
      <alignment horizontal="right" vertical="center"/>
      <protection locked="0"/>
    </xf>
    <xf numFmtId="178" fontId="16" fillId="29" borderId="79" xfId="0" applyNumberFormat="1" applyFont="1" applyFill="1" applyBorder="1" applyAlignment="1" applyProtection="1">
      <alignment horizontal="right" vertical="center"/>
      <protection locked="0"/>
    </xf>
    <xf numFmtId="178" fontId="16" fillId="29" borderId="86" xfId="0" applyNumberFormat="1" applyFont="1" applyFill="1" applyBorder="1" applyAlignment="1" applyProtection="1">
      <alignment horizontal="right" vertical="center"/>
      <protection locked="0"/>
    </xf>
    <xf numFmtId="4" fontId="16" fillId="5" borderId="0" xfId="0" applyNumberFormat="1" applyFont="1" applyFill="1" applyAlignment="1" applyProtection="1">
      <alignment horizontal="center" vertical="center"/>
      <protection locked="0"/>
    </xf>
    <xf numFmtId="2" fontId="16" fillId="5" borderId="0" xfId="0" applyNumberFormat="1" applyFont="1" applyFill="1" applyAlignment="1" applyProtection="1">
      <alignment horizontal="center" vertical="center"/>
      <protection locked="0"/>
    </xf>
    <xf numFmtId="0" fontId="16" fillId="5" borderId="0" xfId="0" applyFont="1" applyFill="1" applyAlignment="1" applyProtection="1">
      <alignment horizontal="center" vertical="center"/>
      <protection locked="0"/>
    </xf>
    <xf numFmtId="4" fontId="38" fillId="5" borderId="0" xfId="0" applyNumberFormat="1" applyFont="1" applyFill="1" applyAlignment="1">
      <alignment horizontal="center" vertical="center"/>
    </xf>
    <xf numFmtId="0" fontId="16" fillId="5" borderId="110" xfId="0" applyFont="1" applyFill="1" applyBorder="1"/>
    <xf numFmtId="4" fontId="16" fillId="29" borderId="128" xfId="0" applyNumberFormat="1" applyFont="1" applyFill="1" applyBorder="1" applyAlignment="1">
      <alignment horizontal="left" vertical="center"/>
    </xf>
    <xf numFmtId="4" fontId="16" fillId="29" borderId="127" xfId="0" applyNumberFormat="1" applyFont="1" applyFill="1" applyBorder="1" applyAlignment="1">
      <alignment horizontal="left" vertical="center"/>
    </xf>
    <xf numFmtId="4" fontId="16" fillId="29" borderId="129" xfId="0" applyNumberFormat="1" applyFont="1" applyFill="1" applyBorder="1" applyAlignment="1">
      <alignment horizontal="left" vertical="center"/>
    </xf>
    <xf numFmtId="178" fontId="16" fillId="30" borderId="126" xfId="0" applyNumberFormat="1" applyFont="1" applyFill="1" applyBorder="1" applyAlignment="1" applyProtection="1">
      <alignment horizontal="right" vertical="center"/>
      <protection locked="0"/>
    </xf>
    <xf numFmtId="177" fontId="16" fillId="5" borderId="82" xfId="0" applyNumberFormat="1" applyFont="1" applyFill="1" applyBorder="1" applyAlignment="1" applyProtection="1">
      <alignment horizontal="right" vertical="center"/>
      <protection locked="0"/>
    </xf>
    <xf numFmtId="177" fontId="16" fillId="5" borderId="83" xfId="0" applyNumberFormat="1" applyFont="1" applyFill="1" applyBorder="1" applyAlignment="1" applyProtection="1">
      <alignment horizontal="right" vertical="center"/>
      <protection locked="0"/>
    </xf>
    <xf numFmtId="177" fontId="16" fillId="5" borderId="90" xfId="0" applyNumberFormat="1" applyFont="1" applyFill="1" applyBorder="1" applyAlignment="1" applyProtection="1">
      <alignment horizontal="right" vertical="center"/>
      <protection locked="0"/>
    </xf>
    <xf numFmtId="177" fontId="16" fillId="5" borderId="104" xfId="0" applyNumberFormat="1" applyFont="1" applyFill="1" applyBorder="1" applyAlignment="1" applyProtection="1">
      <alignment horizontal="right" vertical="center"/>
      <protection locked="0"/>
    </xf>
    <xf numFmtId="4" fontId="16" fillId="28" borderId="80" xfId="0" applyNumberFormat="1" applyFont="1" applyFill="1" applyBorder="1" applyAlignment="1">
      <alignment horizontal="center" vertical="center"/>
    </xf>
    <xf numFmtId="0" fontId="16" fillId="29" borderId="74" xfId="0" applyFont="1" applyFill="1" applyBorder="1" applyAlignment="1">
      <alignment horizontal="left"/>
    </xf>
    <xf numFmtId="0" fontId="16" fillId="29" borderId="70" xfId="0" applyFont="1" applyFill="1" applyBorder="1" applyAlignment="1">
      <alignment horizontal="left"/>
    </xf>
    <xf numFmtId="0" fontId="16" fillId="28" borderId="83" xfId="0" applyFont="1" applyFill="1" applyBorder="1" applyAlignment="1">
      <alignment horizontal="center"/>
    </xf>
    <xf numFmtId="0" fontId="16" fillId="28" borderId="90" xfId="0" applyFont="1" applyFill="1" applyBorder="1" applyAlignment="1">
      <alignment horizontal="center"/>
    </xf>
    <xf numFmtId="0" fontId="16" fillId="29" borderId="105" xfId="0" applyFont="1" applyFill="1" applyBorder="1" applyAlignment="1">
      <alignment horizontal="left"/>
    </xf>
    <xf numFmtId="178" fontId="16" fillId="30" borderId="105" xfId="0" applyNumberFormat="1" applyFont="1" applyFill="1" applyBorder="1" applyAlignment="1" applyProtection="1">
      <alignment horizontal="right" vertical="center"/>
      <protection locked="0"/>
    </xf>
    <xf numFmtId="178" fontId="16" fillId="30" borderId="129" xfId="0" applyNumberFormat="1" applyFont="1" applyFill="1" applyBorder="1" applyAlignment="1" applyProtection="1">
      <alignment horizontal="right" vertical="center"/>
      <protection locked="0"/>
    </xf>
    <xf numFmtId="178" fontId="16" fillId="30" borderId="128" xfId="0" applyNumberFormat="1" applyFont="1" applyFill="1" applyBorder="1" applyAlignment="1" applyProtection="1">
      <alignment horizontal="right" vertical="center"/>
      <protection locked="0"/>
    </xf>
    <xf numFmtId="178" fontId="16" fillId="30" borderId="127" xfId="0" applyNumberFormat="1" applyFont="1" applyFill="1" applyBorder="1" applyAlignment="1" applyProtection="1">
      <alignment horizontal="right" vertical="center"/>
      <protection locked="0"/>
    </xf>
    <xf numFmtId="4" fontId="16" fillId="28" borderId="83" xfId="0" applyNumberFormat="1" applyFont="1" applyFill="1" applyBorder="1" applyAlignment="1" applyProtection="1">
      <alignment horizontal="center" vertical="center"/>
      <protection locked="0"/>
    </xf>
    <xf numFmtId="4" fontId="16" fillId="29" borderId="127" xfId="0" applyNumberFormat="1" applyFont="1" applyFill="1" applyBorder="1" applyAlignment="1" applyProtection="1">
      <alignment horizontal="left" vertical="center"/>
      <protection locked="0"/>
    </xf>
    <xf numFmtId="4" fontId="16" fillId="5" borderId="77" xfId="0" applyNumberFormat="1" applyFont="1" applyFill="1" applyBorder="1" applyAlignment="1" applyProtection="1">
      <alignment horizontal="left" vertical="center"/>
      <protection locked="0"/>
    </xf>
    <xf numFmtId="4" fontId="16" fillId="5" borderId="70" xfId="0" applyNumberFormat="1" applyFont="1" applyFill="1" applyBorder="1" applyAlignment="1" applyProtection="1">
      <alignment horizontal="left" vertical="center"/>
      <protection locked="0"/>
    </xf>
    <xf numFmtId="4" fontId="16" fillId="28" borderId="84" xfId="0" applyNumberFormat="1" applyFont="1" applyFill="1" applyBorder="1" applyAlignment="1" applyProtection="1">
      <alignment horizontal="center" vertical="center"/>
      <protection locked="0"/>
    </xf>
    <xf numFmtId="177" fontId="16" fillId="29" borderId="107" xfId="0" applyNumberFormat="1" applyFont="1" applyFill="1" applyBorder="1" applyAlignment="1" applyProtection="1">
      <alignment horizontal="left" vertical="center"/>
      <protection locked="0"/>
    </xf>
    <xf numFmtId="4" fontId="16" fillId="30" borderId="107" xfId="0" applyNumberFormat="1" applyFont="1" applyFill="1" applyBorder="1" applyAlignment="1" applyProtection="1">
      <alignment horizontal="right" vertical="center"/>
      <protection locked="0"/>
    </xf>
    <xf numFmtId="4" fontId="16" fillId="28" borderId="120" xfId="0" applyNumberFormat="1" applyFont="1" applyFill="1" applyBorder="1" applyAlignment="1" applyProtection="1">
      <alignment horizontal="center" vertical="center"/>
      <protection locked="0"/>
    </xf>
    <xf numFmtId="177" fontId="16" fillId="29" borderId="72" xfId="0" applyNumberFormat="1" applyFont="1" applyFill="1" applyBorder="1" applyAlignment="1" applyProtection="1">
      <alignment horizontal="left" vertical="center"/>
      <protection locked="0"/>
    </xf>
    <xf numFmtId="4" fontId="16" fillId="30" borderId="72" xfId="0" applyNumberFormat="1" applyFont="1" applyFill="1" applyBorder="1" applyAlignment="1" applyProtection="1">
      <alignment horizontal="right" vertical="center"/>
      <protection locked="0"/>
    </xf>
    <xf numFmtId="4" fontId="16" fillId="28" borderId="121" xfId="0" applyNumberFormat="1" applyFont="1" applyFill="1" applyBorder="1" applyAlignment="1" applyProtection="1">
      <alignment horizontal="center" vertical="center"/>
      <protection locked="0"/>
    </xf>
    <xf numFmtId="177" fontId="16" fillId="29" borderId="76" xfId="0" applyNumberFormat="1" applyFont="1" applyFill="1" applyBorder="1" applyAlignment="1" applyProtection="1">
      <alignment horizontal="left" vertical="center"/>
      <protection locked="0"/>
    </xf>
    <xf numFmtId="4" fontId="16" fillId="30" borderId="76" xfId="0" applyNumberFormat="1" applyFont="1" applyFill="1" applyBorder="1" applyAlignment="1" applyProtection="1">
      <alignment horizontal="right" vertical="center"/>
      <protection locked="0"/>
    </xf>
    <xf numFmtId="4" fontId="16" fillId="28" borderId="122" xfId="0" applyNumberFormat="1" applyFont="1" applyFill="1" applyBorder="1" applyAlignment="1" applyProtection="1">
      <alignment horizontal="center" vertical="center"/>
      <protection locked="0"/>
    </xf>
    <xf numFmtId="177" fontId="16" fillId="29" borderId="98" xfId="0" applyNumberFormat="1" applyFont="1" applyFill="1" applyBorder="1" applyAlignment="1" applyProtection="1">
      <alignment horizontal="left" vertical="center"/>
      <protection locked="0"/>
    </xf>
    <xf numFmtId="4" fontId="16" fillId="30" borderId="98" xfId="0" applyNumberFormat="1" applyFont="1" applyFill="1" applyBorder="1" applyAlignment="1" applyProtection="1">
      <alignment horizontal="right" vertical="center"/>
      <protection locked="0"/>
    </xf>
    <xf numFmtId="4" fontId="0" fillId="5" borderId="70" xfId="0" applyNumberFormat="1" applyFill="1" applyBorder="1" applyAlignment="1" applyProtection="1">
      <alignment horizontal="left" vertical="center"/>
      <protection locked="0"/>
    </xf>
    <xf numFmtId="4" fontId="0" fillId="5" borderId="78" xfId="0" applyNumberFormat="1" applyFill="1" applyBorder="1" applyAlignment="1" applyProtection="1">
      <alignment horizontal="left" vertical="center"/>
      <protection locked="0"/>
    </xf>
    <xf numFmtId="4" fontId="0" fillId="5" borderId="74" xfId="0" applyNumberFormat="1" applyFill="1" applyBorder="1" applyAlignment="1" applyProtection="1">
      <alignment horizontal="left" vertical="center"/>
      <protection locked="0"/>
    </xf>
    <xf numFmtId="4" fontId="0" fillId="5" borderId="91" xfId="0" applyNumberFormat="1" applyFill="1" applyBorder="1" applyAlignment="1" applyProtection="1">
      <alignment horizontal="left" vertical="center"/>
      <protection locked="0"/>
    </xf>
    <xf numFmtId="178" fontId="0" fillId="5" borderId="78" xfId="0" applyNumberFormat="1" applyFill="1" applyBorder="1" applyAlignment="1" applyProtection="1">
      <alignment horizontal="right" vertical="center"/>
      <protection locked="0"/>
    </xf>
    <xf numFmtId="178" fontId="0" fillId="5" borderId="70" xfId="0" applyNumberFormat="1" applyFill="1" applyBorder="1" applyAlignment="1" applyProtection="1">
      <alignment horizontal="left" vertical="center"/>
      <protection locked="0"/>
    </xf>
    <xf numFmtId="180" fontId="0" fillId="5" borderId="78" xfId="0" applyNumberFormat="1" applyFill="1" applyBorder="1" applyAlignment="1" applyProtection="1">
      <alignment horizontal="right" vertical="center"/>
      <protection locked="0"/>
    </xf>
    <xf numFmtId="180" fontId="0" fillId="0" borderId="78" xfId="0" applyNumberFormat="1" applyBorder="1" applyAlignment="1" applyProtection="1">
      <alignment horizontal="right" vertical="center"/>
      <protection locked="0"/>
    </xf>
    <xf numFmtId="180" fontId="0" fillId="5" borderId="74" xfId="0" applyNumberFormat="1" applyFill="1" applyBorder="1" applyAlignment="1" applyProtection="1">
      <alignment horizontal="right" vertical="center"/>
      <protection locked="0"/>
    </xf>
    <xf numFmtId="180" fontId="0" fillId="0" borderId="74" xfId="0" applyNumberFormat="1" applyBorder="1" applyAlignment="1" applyProtection="1">
      <alignment horizontal="right" vertical="center"/>
      <protection locked="0"/>
    </xf>
    <xf numFmtId="180" fontId="0" fillId="5" borderId="70" xfId="0" applyNumberFormat="1" applyFill="1" applyBorder="1" applyAlignment="1" applyProtection="1">
      <alignment horizontal="right" vertical="center"/>
      <protection locked="0"/>
    </xf>
    <xf numFmtId="180" fontId="0" fillId="0" borderId="70" xfId="0" applyNumberFormat="1" applyBorder="1" applyAlignment="1" applyProtection="1">
      <alignment horizontal="right" vertical="center"/>
      <protection locked="0"/>
    </xf>
    <xf numFmtId="180" fontId="0" fillId="0" borderId="91" xfId="0" applyNumberFormat="1" applyBorder="1" applyAlignment="1" applyProtection="1">
      <alignment horizontal="right" vertical="center"/>
      <protection locked="0"/>
    </xf>
    <xf numFmtId="180" fontId="16" fillId="5" borderId="0" xfId="0" applyNumberFormat="1" applyFont="1" applyFill="1"/>
    <xf numFmtId="178" fontId="0" fillId="5" borderId="111" xfId="0" applyNumberFormat="1" applyFill="1" applyBorder="1" applyAlignment="1" applyProtection="1">
      <alignment horizontal="right" vertical="center"/>
      <protection locked="0"/>
    </xf>
    <xf numFmtId="178" fontId="16" fillId="5" borderId="116" xfId="0" applyNumberFormat="1" applyFont="1" applyFill="1" applyBorder="1" applyAlignment="1" applyProtection="1">
      <alignment horizontal="right" vertical="center"/>
      <protection locked="0"/>
    </xf>
    <xf numFmtId="178" fontId="16" fillId="5" borderId="93" xfId="0" applyNumberFormat="1" applyFont="1" applyFill="1" applyBorder="1" applyAlignment="1" applyProtection="1">
      <alignment horizontal="right" vertical="center"/>
      <protection locked="0"/>
    </xf>
    <xf numFmtId="178" fontId="0" fillId="5" borderId="110" xfId="0" applyNumberFormat="1" applyFill="1" applyBorder="1" applyAlignment="1" applyProtection="1">
      <alignment horizontal="left" vertical="center"/>
      <protection locked="0"/>
    </xf>
    <xf numFmtId="178" fontId="16" fillId="5" borderId="77" xfId="0" applyNumberFormat="1" applyFont="1" applyFill="1" applyBorder="1" applyAlignment="1" applyProtection="1">
      <alignment horizontal="left" vertical="center"/>
      <protection locked="0"/>
    </xf>
    <xf numFmtId="178" fontId="16" fillId="5" borderId="70" xfId="0" applyNumberFormat="1" applyFont="1" applyFill="1" applyBorder="1" applyAlignment="1" applyProtection="1">
      <alignment horizontal="left" vertical="center"/>
      <protection locked="0"/>
    </xf>
    <xf numFmtId="177" fontId="0" fillId="5" borderId="111" xfId="0" applyNumberFormat="1" applyFill="1" applyBorder="1" applyAlignment="1" applyProtection="1">
      <alignment horizontal="right" vertical="center"/>
      <protection locked="0"/>
    </xf>
    <xf numFmtId="177" fontId="16" fillId="31" borderId="98" xfId="0" applyNumberFormat="1" applyFont="1" applyFill="1" applyBorder="1" applyAlignment="1">
      <alignment horizontal="right" vertical="center"/>
    </xf>
    <xf numFmtId="177" fontId="16" fillId="31" borderId="94" xfId="0" applyNumberFormat="1" applyFont="1" applyFill="1" applyBorder="1" applyAlignment="1">
      <alignment horizontal="right" vertical="center"/>
    </xf>
    <xf numFmtId="177" fontId="16" fillId="31" borderId="76" xfId="0" applyNumberFormat="1" applyFont="1" applyFill="1" applyBorder="1" applyAlignment="1">
      <alignment horizontal="right" vertical="center"/>
    </xf>
    <xf numFmtId="178" fontId="16" fillId="23" borderId="103" xfId="0" applyNumberFormat="1" applyFont="1" applyFill="1" applyBorder="1" applyAlignment="1" applyProtection="1">
      <alignment horizontal="center" vertical="center"/>
      <protection locked="0"/>
    </xf>
    <xf numFmtId="178" fontId="16" fillId="2" borderId="74" xfId="0" applyNumberFormat="1" applyFont="1" applyFill="1" applyBorder="1" applyAlignment="1" applyProtection="1">
      <alignment horizontal="right" vertical="center"/>
      <protection locked="0"/>
    </xf>
    <xf numFmtId="178" fontId="16" fillId="0" borderId="74" xfId="0" applyNumberFormat="1" applyFont="1" applyBorder="1" applyAlignment="1" applyProtection="1">
      <alignment horizontal="right" vertical="center"/>
      <protection locked="0"/>
    </xf>
    <xf numFmtId="178" fontId="16" fillId="23" borderId="74" xfId="0" applyNumberFormat="1" applyFont="1" applyFill="1" applyBorder="1" applyAlignment="1" applyProtection="1">
      <alignment horizontal="center" vertical="center"/>
      <protection locked="0"/>
    </xf>
    <xf numFmtId="178" fontId="16" fillId="23" borderId="91" xfId="0" applyNumberFormat="1" applyFont="1" applyFill="1" applyBorder="1" applyAlignment="1" applyProtection="1">
      <alignment horizontal="center" vertical="center"/>
      <protection locked="0"/>
    </xf>
    <xf numFmtId="178" fontId="16" fillId="0" borderId="70" xfId="0" applyNumberFormat="1" applyFont="1" applyBorder="1" applyAlignment="1" applyProtection="1">
      <alignment horizontal="right" vertical="center"/>
      <protection locked="0"/>
    </xf>
    <xf numFmtId="4" fontId="16" fillId="5" borderId="78" xfId="0" applyNumberFormat="1" applyFont="1" applyFill="1" applyBorder="1" applyAlignment="1" applyProtection="1">
      <alignment horizontal="center" vertical="center"/>
      <protection locked="0"/>
    </xf>
    <xf numFmtId="4" fontId="16" fillId="5" borderId="74" xfId="0" applyNumberFormat="1" applyFont="1" applyFill="1" applyBorder="1" applyAlignment="1" applyProtection="1">
      <alignment horizontal="center" vertical="center"/>
      <protection locked="0"/>
    </xf>
    <xf numFmtId="4" fontId="16" fillId="5" borderId="70" xfId="0" applyNumberFormat="1" applyFont="1" applyFill="1" applyBorder="1" applyAlignment="1" applyProtection="1">
      <alignment horizontal="center" vertical="center"/>
      <protection locked="0"/>
    </xf>
    <xf numFmtId="4" fontId="16" fillId="5" borderId="91" xfId="0" applyNumberFormat="1" applyFont="1" applyFill="1" applyBorder="1" applyAlignment="1" applyProtection="1">
      <alignment horizontal="center" vertical="center"/>
      <protection locked="0"/>
    </xf>
    <xf numFmtId="178" fontId="16" fillId="10" borderId="93" xfId="0" applyNumberFormat="1" applyFont="1" applyFill="1" applyBorder="1" applyAlignment="1" applyProtection="1">
      <alignment horizontal="right" vertical="center"/>
      <protection locked="0"/>
    </xf>
    <xf numFmtId="178" fontId="16" fillId="28" borderId="93" xfId="0" applyNumberFormat="1" applyFont="1" applyFill="1" applyBorder="1" applyAlignment="1">
      <alignment horizontal="right" vertical="center"/>
    </xf>
    <xf numFmtId="4" fontId="16" fillId="5" borderId="78" xfId="0" applyNumberFormat="1" applyFont="1" applyFill="1" applyBorder="1" applyAlignment="1" applyProtection="1">
      <alignment horizontal="left" vertical="center"/>
      <protection locked="0"/>
    </xf>
    <xf numFmtId="177" fontId="16" fillId="28" borderId="132" xfId="0" applyNumberFormat="1" applyFont="1" applyFill="1" applyBorder="1" applyAlignment="1">
      <alignment horizontal="right" vertical="center"/>
    </xf>
    <xf numFmtId="4" fontId="16" fillId="5" borderId="73" xfId="0" applyNumberFormat="1" applyFont="1" applyFill="1" applyBorder="1" applyAlignment="1" applyProtection="1">
      <alignment horizontal="left" vertical="center"/>
      <protection locked="0"/>
    </xf>
    <xf numFmtId="177" fontId="16" fillId="28" borderId="133" xfId="0" applyNumberFormat="1" applyFont="1" applyFill="1" applyBorder="1" applyAlignment="1">
      <alignment horizontal="right" vertical="center"/>
    </xf>
    <xf numFmtId="177" fontId="16" fillId="28" borderId="125" xfId="0" applyNumberFormat="1" applyFont="1" applyFill="1" applyBorder="1" applyAlignment="1">
      <alignment horizontal="right" vertical="center"/>
    </xf>
    <xf numFmtId="4" fontId="16" fillId="5" borderId="100" xfId="0" applyNumberFormat="1" applyFont="1" applyFill="1" applyBorder="1" applyAlignment="1" applyProtection="1">
      <alignment horizontal="left" vertical="center"/>
      <protection locked="0"/>
    </xf>
    <xf numFmtId="178" fontId="16" fillId="5" borderId="93" xfId="0" applyNumberFormat="1" applyFont="1" applyFill="1" applyBorder="1" applyAlignment="1" applyProtection="1">
      <alignment horizontal="center" vertical="center"/>
      <protection locked="0"/>
    </xf>
    <xf numFmtId="178" fontId="16" fillId="5" borderId="93" xfId="0" applyNumberFormat="1" applyFont="1" applyFill="1" applyBorder="1" applyProtection="1">
      <protection locked="0"/>
    </xf>
    <xf numFmtId="178" fontId="16" fillId="5" borderId="74" xfId="0" applyNumberFormat="1" applyFont="1" applyFill="1" applyBorder="1" applyAlignment="1" applyProtection="1">
      <alignment horizontal="center"/>
      <protection locked="0"/>
    </xf>
    <xf numFmtId="177" fontId="16" fillId="5" borderId="78" xfId="0" applyNumberFormat="1" applyFont="1" applyFill="1" applyBorder="1" applyAlignment="1" applyProtection="1">
      <alignment horizontal="left" vertical="center"/>
      <protection locked="0"/>
    </xf>
    <xf numFmtId="4" fontId="16" fillId="5" borderId="74" xfId="0" applyNumberFormat="1" applyFont="1" applyFill="1" applyBorder="1" applyAlignment="1" applyProtection="1">
      <alignment horizontal="left" vertical="center"/>
      <protection locked="0"/>
    </xf>
    <xf numFmtId="177" fontId="16" fillId="5" borderId="74" xfId="0" applyNumberFormat="1" applyFont="1" applyFill="1" applyBorder="1" applyAlignment="1" applyProtection="1">
      <alignment horizontal="left" vertical="center"/>
      <protection locked="0"/>
    </xf>
    <xf numFmtId="177" fontId="16" fillId="5" borderId="70" xfId="0" applyNumberFormat="1" applyFont="1" applyFill="1" applyBorder="1" applyAlignment="1" applyProtection="1">
      <alignment horizontal="left" vertical="center"/>
      <protection locked="0"/>
    </xf>
    <xf numFmtId="4" fontId="16" fillId="5" borderId="91" xfId="0" applyNumberFormat="1" applyFont="1" applyFill="1" applyBorder="1" applyAlignment="1" applyProtection="1">
      <alignment horizontal="left" vertical="center"/>
      <protection locked="0"/>
    </xf>
    <xf numFmtId="177" fontId="16" fillId="5" borderId="91" xfId="0" applyNumberFormat="1" applyFont="1" applyFill="1" applyBorder="1" applyAlignment="1" applyProtection="1">
      <alignment horizontal="left" vertical="center"/>
      <protection locked="0"/>
    </xf>
    <xf numFmtId="177" fontId="16" fillId="30" borderId="78" xfId="0" applyNumberFormat="1" applyFont="1" applyFill="1" applyBorder="1" applyAlignment="1" applyProtection="1">
      <alignment horizontal="right" vertical="center"/>
      <protection locked="0"/>
    </xf>
    <xf numFmtId="177" fontId="16" fillId="30" borderId="89" xfId="0" applyNumberFormat="1" applyFont="1" applyFill="1" applyBorder="1" applyAlignment="1" applyProtection="1">
      <alignment horizontal="right" vertical="center"/>
      <protection locked="0"/>
    </xf>
    <xf numFmtId="177" fontId="16" fillId="30" borderId="91" xfId="0" applyNumberFormat="1" applyFont="1" applyFill="1" applyBorder="1" applyAlignment="1" applyProtection="1">
      <alignment horizontal="right" vertical="center"/>
      <protection locked="0"/>
    </xf>
    <xf numFmtId="178" fontId="16" fillId="31" borderId="93" xfId="0" applyNumberFormat="1" applyFont="1" applyFill="1" applyBorder="1" applyAlignment="1" applyProtection="1">
      <alignment horizontal="right" vertical="center"/>
      <protection locked="0"/>
    </xf>
    <xf numFmtId="180" fontId="16" fillId="5" borderId="103" xfId="0" applyNumberFormat="1" applyFont="1" applyFill="1" applyBorder="1" applyAlignment="1" applyProtection="1">
      <alignment horizontal="right" vertical="center"/>
      <protection locked="0"/>
    </xf>
    <xf numFmtId="177" fontId="16" fillId="31" borderId="78" xfId="0" applyNumberFormat="1" applyFont="1" applyFill="1" applyBorder="1" applyAlignment="1" applyProtection="1">
      <alignment horizontal="right" vertical="center"/>
      <protection locked="0"/>
    </xf>
    <xf numFmtId="4" fontId="16" fillId="5" borderId="89" xfId="0" applyNumberFormat="1" applyFont="1" applyFill="1" applyBorder="1" applyAlignment="1" applyProtection="1">
      <alignment horizontal="left" vertical="center"/>
      <protection locked="0"/>
    </xf>
    <xf numFmtId="180" fontId="16" fillId="5" borderId="74" xfId="0" applyNumberFormat="1" applyFont="1" applyFill="1" applyBorder="1" applyAlignment="1" applyProtection="1">
      <alignment horizontal="right" vertical="center"/>
      <protection locked="0"/>
    </xf>
    <xf numFmtId="178" fontId="16" fillId="34" borderId="91" xfId="0" applyNumberFormat="1" applyFont="1" applyFill="1" applyBorder="1" applyAlignment="1" applyProtection="1">
      <alignment horizontal="right" vertical="center"/>
      <protection locked="0"/>
    </xf>
    <xf numFmtId="178" fontId="16" fillId="28" borderId="93" xfId="0" applyNumberFormat="1" applyFont="1" applyFill="1" applyBorder="1" applyAlignment="1" applyProtection="1">
      <alignment horizontal="right" vertical="center"/>
      <protection locked="0"/>
    </xf>
    <xf numFmtId="177" fontId="16" fillId="28" borderId="78" xfId="0" applyNumberFormat="1" applyFont="1" applyFill="1" applyBorder="1" applyAlignment="1" applyProtection="1">
      <alignment horizontal="right" vertical="center"/>
      <protection locked="0"/>
    </xf>
    <xf numFmtId="178" fontId="16" fillId="5" borderId="134" xfId="0" applyNumberFormat="1" applyFont="1" applyFill="1" applyBorder="1" applyAlignment="1" applyProtection="1">
      <alignment horizontal="right" vertical="center"/>
      <protection locked="0"/>
    </xf>
    <xf numFmtId="4" fontId="16" fillId="31" borderId="78" xfId="0" applyNumberFormat="1" applyFont="1" applyFill="1" applyBorder="1" applyAlignment="1" applyProtection="1">
      <alignment horizontal="right" vertical="center"/>
      <protection locked="0"/>
    </xf>
    <xf numFmtId="4" fontId="16" fillId="31" borderId="89" xfId="0" applyNumberFormat="1" applyFont="1" applyFill="1" applyBorder="1" applyAlignment="1" applyProtection="1">
      <alignment horizontal="right" vertical="center"/>
      <protection locked="0"/>
    </xf>
    <xf numFmtId="4" fontId="16" fillId="31" borderId="91" xfId="0" applyNumberFormat="1" applyFont="1" applyFill="1" applyBorder="1" applyAlignment="1" applyProtection="1">
      <alignment horizontal="right" vertical="center"/>
      <protection locked="0"/>
    </xf>
    <xf numFmtId="178" fontId="16" fillId="33" borderId="80" xfId="0" applyNumberFormat="1" applyFont="1" applyFill="1" applyBorder="1" applyAlignment="1" applyProtection="1">
      <alignment horizontal="right" vertical="center"/>
      <protection locked="0"/>
    </xf>
    <xf numFmtId="1" fontId="16" fillId="8" borderId="72" xfId="0" applyNumberFormat="1" applyFont="1" applyFill="1" applyBorder="1" applyAlignment="1">
      <alignment horizontal="center"/>
    </xf>
    <xf numFmtId="1" fontId="16" fillId="8" borderId="98" xfId="0" applyNumberFormat="1" applyFont="1" applyFill="1" applyBorder="1" applyAlignment="1">
      <alignment horizontal="center"/>
    </xf>
    <xf numFmtId="178" fontId="16" fillId="33" borderId="74" xfId="0" applyNumberFormat="1" applyFont="1" applyFill="1" applyBorder="1" applyAlignment="1" applyProtection="1">
      <alignment horizontal="right" vertical="center"/>
      <protection locked="0"/>
    </xf>
    <xf numFmtId="178" fontId="16" fillId="29" borderId="74" xfId="0" applyNumberFormat="1" applyFont="1" applyFill="1" applyBorder="1" applyAlignment="1" applyProtection="1">
      <alignment horizontal="right" vertical="center"/>
      <protection locked="0"/>
    </xf>
    <xf numFmtId="1" fontId="16" fillId="8" borderId="123" xfId="0" applyNumberFormat="1" applyFont="1" applyFill="1" applyBorder="1" applyAlignment="1">
      <alignment horizontal="center"/>
    </xf>
    <xf numFmtId="178" fontId="16" fillId="33" borderId="70" xfId="0" applyNumberFormat="1" applyFont="1" applyFill="1" applyBorder="1" applyAlignment="1" applyProtection="1">
      <alignment horizontal="right" vertical="center"/>
      <protection locked="0"/>
    </xf>
    <xf numFmtId="178" fontId="16" fillId="29" borderId="70" xfId="0" applyNumberFormat="1" applyFont="1" applyFill="1" applyBorder="1" applyAlignment="1" applyProtection="1">
      <alignment horizontal="right" vertical="center"/>
      <protection locked="0"/>
    </xf>
    <xf numFmtId="1" fontId="16" fillId="8" borderId="124" xfId="0" applyNumberFormat="1" applyFont="1" applyFill="1" applyBorder="1" applyAlignment="1">
      <alignment horizontal="center"/>
    </xf>
    <xf numFmtId="178" fontId="16" fillId="33" borderId="91" xfId="0" applyNumberFormat="1" applyFont="1" applyFill="1" applyBorder="1" applyAlignment="1" applyProtection="1">
      <alignment horizontal="right" vertical="center"/>
      <protection locked="0"/>
    </xf>
    <xf numFmtId="178" fontId="16" fillId="29" borderId="91" xfId="0" applyNumberFormat="1" applyFont="1" applyFill="1" applyBorder="1" applyAlignment="1" applyProtection="1">
      <alignment horizontal="right" vertical="center"/>
      <protection locked="0"/>
    </xf>
    <xf numFmtId="178" fontId="16" fillId="33" borderId="87" xfId="0" applyNumberFormat="1" applyFont="1" applyFill="1" applyBorder="1" applyAlignment="1" applyProtection="1">
      <alignment horizontal="right" vertical="center"/>
      <protection locked="0"/>
    </xf>
    <xf numFmtId="0" fontId="16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 vertical="center"/>
    </xf>
    <xf numFmtId="0" fontId="47" fillId="5" borderId="0" xfId="0" applyFont="1" applyFill="1" applyAlignment="1">
      <alignment horizontal="center" vertical="center" wrapText="1"/>
    </xf>
    <xf numFmtId="3" fontId="16" fillId="5" borderId="0" xfId="0" applyNumberFormat="1" applyFont="1" applyFill="1"/>
    <xf numFmtId="2" fontId="16" fillId="5" borderId="0" xfId="0" applyNumberFormat="1" applyFont="1" applyFill="1" applyAlignment="1" applyProtection="1">
      <alignment horizontal="center"/>
      <protection locked="0"/>
    </xf>
    <xf numFmtId="178" fontId="16" fillId="29" borderId="135" xfId="0" applyNumberFormat="1" applyFont="1" applyFill="1" applyBorder="1" applyAlignment="1" applyProtection="1">
      <alignment horizontal="right" vertical="center"/>
      <protection locked="0"/>
    </xf>
    <xf numFmtId="0" fontId="47" fillId="5" borderId="0" xfId="0" applyFont="1" applyFill="1" applyAlignment="1">
      <alignment horizontal="left"/>
    </xf>
    <xf numFmtId="0" fontId="16" fillId="5" borderId="0" xfId="0" applyFont="1" applyFill="1" applyAlignment="1">
      <alignment horizontal="left"/>
    </xf>
    <xf numFmtId="3" fontId="16" fillId="5" borderId="0" xfId="0" applyNumberFormat="1" applyFont="1" applyFill="1" applyAlignment="1" applyProtection="1">
      <alignment horizontal="center" vertical="center"/>
      <protection locked="0"/>
    </xf>
    <xf numFmtId="3" fontId="16" fillId="5" borderId="0" xfId="0" applyNumberFormat="1" applyFont="1" applyFill="1" applyAlignment="1" applyProtection="1">
      <alignment vertical="center"/>
      <protection locked="0"/>
    </xf>
    <xf numFmtId="10" fontId="16" fillId="5" borderId="0" xfId="0" applyNumberFormat="1" applyFont="1" applyFill="1" applyAlignment="1" applyProtection="1">
      <alignment horizontal="center" vertical="center"/>
      <protection locked="0"/>
    </xf>
    <xf numFmtId="0" fontId="16" fillId="5" borderId="77" xfId="0" applyFont="1" applyFill="1" applyBorder="1"/>
    <xf numFmtId="181" fontId="16" fillId="5" borderId="0" xfId="0" applyNumberFormat="1" applyFont="1" applyFill="1" applyAlignment="1" applyProtection="1">
      <alignment horizontal="center" vertical="center"/>
      <protection locked="0"/>
    </xf>
    <xf numFmtId="177" fontId="16" fillId="5" borderId="0" xfId="0" applyNumberFormat="1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8" fillId="0" borderId="0" xfId="0" applyFont="1" applyAlignment="1">
      <alignment vertical="center"/>
    </xf>
    <xf numFmtId="3" fontId="38" fillId="35" borderId="6" xfId="0" applyNumberFormat="1" applyFont="1" applyFill="1" applyBorder="1" applyAlignment="1" applyProtection="1">
      <alignment horizontal="center" vertical="center"/>
      <protection locked="0"/>
    </xf>
    <xf numFmtId="3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>
      <alignment vertical="center"/>
    </xf>
    <xf numFmtId="0" fontId="16" fillId="35" borderId="24" xfId="0" applyFont="1" applyFill="1" applyBorder="1" applyAlignment="1">
      <alignment horizontal="center" vertical="center"/>
    </xf>
    <xf numFmtId="0" fontId="16" fillId="35" borderId="25" xfId="0" applyFont="1" applyFill="1" applyBorder="1" applyAlignment="1">
      <alignment horizontal="center" vertical="center"/>
    </xf>
    <xf numFmtId="0" fontId="0" fillId="35" borderId="39" xfId="0" applyFill="1" applyBorder="1" applyAlignment="1">
      <alignment horizontal="center" vertical="center"/>
    </xf>
    <xf numFmtId="0" fontId="0" fillId="35" borderId="41" xfId="0" applyFill="1" applyBorder="1" applyAlignment="1">
      <alignment horizontal="center" vertical="center"/>
    </xf>
    <xf numFmtId="0" fontId="0" fillId="35" borderId="13" xfId="0" applyFill="1" applyBorder="1" applyAlignment="1">
      <alignment horizontal="center" vertical="center"/>
    </xf>
    <xf numFmtId="10" fontId="0" fillId="35" borderId="28" xfId="1" applyNumberFormat="1" applyFont="1" applyFill="1" applyBorder="1" applyAlignment="1" applyProtection="1">
      <alignment horizontal="center" vertical="center"/>
      <protection locked="0"/>
    </xf>
    <xf numFmtId="3" fontId="16" fillId="35" borderId="28" xfId="0" applyNumberFormat="1" applyFont="1" applyFill="1" applyBorder="1" applyAlignment="1">
      <alignment horizontal="center" vertical="center"/>
    </xf>
    <xf numFmtId="3" fontId="0" fillId="35" borderId="29" xfId="0" applyNumberFormat="1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0" fontId="0" fillId="35" borderId="21" xfId="0" applyFill="1" applyBorder="1" applyAlignment="1">
      <alignment horizontal="center" vertical="center"/>
    </xf>
    <xf numFmtId="0" fontId="0" fillId="35" borderId="59" xfId="0" applyFill="1" applyBorder="1" applyAlignment="1">
      <alignment horizontal="center" vertical="center"/>
    </xf>
    <xf numFmtId="0" fontId="0" fillId="35" borderId="41" xfId="0" applyFill="1" applyBorder="1" applyAlignment="1" applyProtection="1">
      <alignment horizontal="center" vertical="center"/>
      <protection locked="0"/>
    </xf>
    <xf numFmtId="0" fontId="49" fillId="35" borderId="29" xfId="0" applyFont="1" applyFill="1" applyBorder="1" applyAlignment="1" applyProtection="1">
      <alignment horizontal="center" vertical="center"/>
      <protection locked="0"/>
    </xf>
    <xf numFmtId="2" fontId="16" fillId="35" borderId="26" xfId="0" applyNumberFormat="1" applyFont="1" applyFill="1" applyBorder="1" applyAlignment="1">
      <alignment horizontal="center" vertical="center"/>
    </xf>
    <xf numFmtId="2" fontId="37" fillId="35" borderId="29" xfId="0" applyNumberFormat="1" applyFont="1" applyFill="1" applyBorder="1" applyAlignment="1">
      <alignment horizontal="center" vertical="center"/>
    </xf>
    <xf numFmtId="173" fontId="0" fillId="35" borderId="29" xfId="0" applyNumberFormat="1" applyFill="1" applyBorder="1" applyAlignment="1" applyProtection="1">
      <alignment horizontal="center" vertical="center"/>
      <protection locked="0"/>
    </xf>
    <xf numFmtId="2" fontId="16" fillId="35" borderId="28" xfId="0" applyNumberFormat="1" applyFont="1" applyFill="1" applyBorder="1" applyAlignment="1">
      <alignment horizontal="center" vertical="center"/>
    </xf>
    <xf numFmtId="2" fontId="37" fillId="35" borderId="29" xfId="1" applyNumberFormat="1" applyFont="1" applyFill="1" applyBorder="1" applyAlignment="1">
      <alignment horizontal="center" vertical="center"/>
    </xf>
    <xf numFmtId="0" fontId="0" fillId="35" borderId="29" xfId="0" applyFill="1" applyBorder="1" applyAlignment="1" applyProtection="1">
      <alignment horizontal="center" vertical="center"/>
      <protection locked="0"/>
    </xf>
    <xf numFmtId="0" fontId="0" fillId="35" borderId="17" xfId="0" applyFill="1" applyBorder="1" applyAlignment="1">
      <alignment horizontal="center" vertical="center"/>
    </xf>
    <xf numFmtId="2" fontId="16" fillId="35" borderId="32" xfId="0" applyNumberFormat="1" applyFont="1" applyFill="1" applyBorder="1" applyAlignment="1">
      <alignment horizontal="center" vertical="center"/>
    </xf>
    <xf numFmtId="2" fontId="37" fillId="35" borderId="33" xfId="0" applyNumberFormat="1" applyFont="1" applyFill="1" applyBorder="1" applyAlignment="1">
      <alignment horizontal="center" vertical="center"/>
    </xf>
    <xf numFmtId="0" fontId="0" fillId="35" borderId="33" xfId="0" applyFill="1" applyBorder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 vertical="center"/>
    </xf>
    <xf numFmtId="3" fontId="0" fillId="32" borderId="6" xfId="0" applyNumberFormat="1" applyFill="1" applyBorder="1" applyAlignment="1" applyProtection="1">
      <alignment horizontal="center"/>
      <protection locked="0"/>
    </xf>
    <xf numFmtId="0" fontId="16" fillId="32" borderId="63" xfId="0" applyFont="1" applyFill="1" applyBorder="1" applyAlignment="1">
      <alignment horizontal="center" vertical="center"/>
    </xf>
    <xf numFmtId="0" fontId="16" fillId="32" borderId="64" xfId="0" applyFont="1" applyFill="1" applyBorder="1" applyAlignment="1">
      <alignment horizontal="center" vertical="center"/>
    </xf>
    <xf numFmtId="0" fontId="0" fillId="32" borderId="39" xfId="0" applyFill="1" applyBorder="1" applyAlignment="1">
      <alignment horizontal="center" vertical="center"/>
    </xf>
    <xf numFmtId="0" fontId="0" fillId="32" borderId="41" xfId="0" applyFill="1" applyBorder="1" applyAlignment="1">
      <alignment horizontal="center" vertical="center"/>
    </xf>
    <xf numFmtId="0" fontId="0" fillId="32" borderId="39" xfId="0" applyFill="1" applyBorder="1" applyAlignment="1">
      <alignment horizontal="center" vertical="center" wrapText="1"/>
    </xf>
    <xf numFmtId="182" fontId="0" fillId="32" borderId="46" xfId="1" applyNumberFormat="1" applyFont="1" applyFill="1" applyBorder="1" applyAlignment="1" applyProtection="1">
      <alignment horizontal="left" vertical="center" wrapText="1" indent="2"/>
      <protection locked="0"/>
    </xf>
    <xf numFmtId="3" fontId="16" fillId="32" borderId="47" xfId="0" applyNumberFormat="1" applyFont="1" applyFill="1" applyBorder="1" applyAlignment="1">
      <alignment horizontal="center" vertical="center"/>
    </xf>
    <xf numFmtId="3" fontId="0" fillId="32" borderId="136" xfId="0" applyNumberFormat="1" applyFill="1" applyBorder="1" applyAlignment="1">
      <alignment horizontal="center" vertical="center"/>
    </xf>
    <xf numFmtId="0" fontId="0" fillId="32" borderId="13" xfId="0" applyFill="1" applyBorder="1" applyAlignment="1">
      <alignment horizontal="center" vertical="center"/>
    </xf>
    <xf numFmtId="0" fontId="0" fillId="32" borderId="29" xfId="0" applyFill="1" applyBorder="1" applyAlignment="1">
      <alignment horizontal="center" vertical="center"/>
    </xf>
    <xf numFmtId="182" fontId="0" fillId="32" borderId="14" xfId="1" applyNumberFormat="1" applyFont="1" applyFill="1" applyBorder="1" applyAlignment="1" applyProtection="1">
      <alignment horizontal="left" vertical="center" wrapText="1" indent="2"/>
      <protection locked="0"/>
    </xf>
    <xf numFmtId="3" fontId="16" fillId="32" borderId="15" xfId="0" applyNumberFormat="1" applyFont="1" applyFill="1" applyBorder="1" applyAlignment="1">
      <alignment horizontal="center" vertical="center"/>
    </xf>
    <xf numFmtId="3" fontId="0" fillId="32" borderId="16" xfId="0" applyNumberFormat="1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4" fontId="16" fillId="32" borderId="15" xfId="0" applyNumberFormat="1" applyFont="1" applyFill="1" applyBorder="1" applyAlignment="1">
      <alignment horizontal="center" vertical="center"/>
    </xf>
    <xf numFmtId="0" fontId="0" fillId="32" borderId="41" xfId="0" applyFill="1" applyBorder="1" applyAlignment="1" applyProtection="1">
      <alignment horizontal="center" vertical="center"/>
      <protection locked="0"/>
    </xf>
    <xf numFmtId="2" fontId="16" fillId="32" borderId="15" xfId="0" applyNumberFormat="1" applyFont="1" applyFill="1" applyBorder="1" applyAlignment="1">
      <alignment horizontal="center" vertical="center"/>
    </xf>
    <xf numFmtId="2" fontId="37" fillId="32" borderId="16" xfId="0" applyNumberFormat="1" applyFont="1" applyFill="1" applyBorder="1" applyAlignment="1">
      <alignment horizontal="center" vertical="center"/>
    </xf>
    <xf numFmtId="0" fontId="0" fillId="32" borderId="29" xfId="0" applyFill="1" applyBorder="1" applyAlignment="1" applyProtection="1">
      <alignment horizontal="center" vertical="center"/>
      <protection locked="0"/>
    </xf>
    <xf numFmtId="0" fontId="0" fillId="32" borderId="33" xfId="0" applyFill="1" applyBorder="1" applyAlignment="1" applyProtection="1">
      <alignment horizontal="center" vertical="center"/>
      <protection locked="0"/>
    </xf>
    <xf numFmtId="182" fontId="0" fillId="32" borderId="18" xfId="1" applyNumberFormat="1" applyFont="1" applyFill="1" applyBorder="1" applyAlignment="1" applyProtection="1">
      <alignment horizontal="left" vertical="center" wrapText="1" indent="2"/>
      <protection locked="0"/>
    </xf>
    <xf numFmtId="2" fontId="16" fillId="32" borderId="19" xfId="0" applyNumberFormat="1" applyFont="1" applyFill="1" applyBorder="1" applyAlignment="1">
      <alignment horizontal="center" vertical="center"/>
    </xf>
    <xf numFmtId="2" fontId="37" fillId="32" borderId="20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3" fontId="38" fillId="36" borderId="6" xfId="0" applyNumberFormat="1" applyFont="1" applyFill="1" applyBorder="1" applyAlignment="1" applyProtection="1">
      <alignment horizontal="center" vertical="center"/>
      <protection locked="0"/>
    </xf>
    <xf numFmtId="0" fontId="16" fillId="36" borderId="24" xfId="0" applyFont="1" applyFill="1" applyBorder="1" applyAlignment="1">
      <alignment horizontal="center" vertical="center"/>
    </xf>
    <xf numFmtId="0" fontId="16" fillId="36" borderId="25" xfId="0" applyFont="1" applyFill="1" applyBorder="1" applyAlignment="1">
      <alignment horizontal="center" vertical="center"/>
    </xf>
    <xf numFmtId="0" fontId="0" fillId="36" borderId="39" xfId="0" applyFill="1" applyBorder="1" applyAlignment="1">
      <alignment horizontal="center" vertical="center"/>
    </xf>
    <xf numFmtId="0" fontId="0" fillId="36" borderId="41" xfId="0" applyFill="1" applyBorder="1" applyAlignment="1">
      <alignment horizontal="center" vertical="center"/>
    </xf>
    <xf numFmtId="0" fontId="0" fillId="36" borderId="13" xfId="0" applyFill="1" applyBorder="1" applyAlignment="1">
      <alignment horizontal="center" vertical="center"/>
    </xf>
    <xf numFmtId="10" fontId="0" fillId="36" borderId="28" xfId="1" applyNumberFormat="1" applyFont="1" applyFill="1" applyBorder="1" applyAlignment="1" applyProtection="1">
      <alignment horizontal="center" vertical="center"/>
      <protection locked="0"/>
    </xf>
    <xf numFmtId="3" fontId="16" fillId="36" borderId="28" xfId="0" applyNumberFormat="1" applyFont="1" applyFill="1" applyBorder="1" applyAlignment="1">
      <alignment horizontal="center" vertical="center"/>
    </xf>
    <xf numFmtId="3" fontId="0" fillId="36" borderId="29" xfId="0" applyNumberFormat="1" applyFill="1" applyBorder="1" applyAlignment="1">
      <alignment horizontal="center" vertical="center"/>
    </xf>
    <xf numFmtId="0" fontId="0" fillId="36" borderId="29" xfId="0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0" fillId="36" borderId="59" xfId="0" applyFill="1" applyBorder="1" applyAlignment="1">
      <alignment horizontal="center" vertical="center"/>
    </xf>
    <xf numFmtId="3" fontId="16" fillId="36" borderId="30" xfId="0" applyNumberFormat="1" applyFont="1" applyFill="1" applyBorder="1" applyAlignment="1">
      <alignment horizontal="center" vertical="center"/>
    </xf>
    <xf numFmtId="3" fontId="0" fillId="36" borderId="59" xfId="0" applyNumberFormat="1" applyFill="1" applyBorder="1" applyAlignment="1">
      <alignment horizontal="center" vertical="center"/>
    </xf>
    <xf numFmtId="0" fontId="0" fillId="36" borderId="41" xfId="0" applyFill="1" applyBorder="1" applyAlignment="1" applyProtection="1">
      <alignment horizontal="center" vertical="center"/>
      <protection locked="0"/>
    </xf>
    <xf numFmtId="2" fontId="16" fillId="36" borderId="40" xfId="0" applyNumberFormat="1" applyFont="1" applyFill="1" applyBorder="1" applyAlignment="1">
      <alignment horizontal="center" vertical="center"/>
    </xf>
    <xf numFmtId="2" fontId="37" fillId="36" borderId="41" xfId="0" applyNumberFormat="1" applyFont="1" applyFill="1" applyBorder="1" applyAlignment="1">
      <alignment horizontal="center" vertical="center"/>
    </xf>
    <xf numFmtId="173" fontId="0" fillId="36" borderId="29" xfId="0" applyNumberFormat="1" applyFill="1" applyBorder="1" applyAlignment="1" applyProtection="1">
      <alignment horizontal="center" vertical="center"/>
      <protection locked="0"/>
    </xf>
    <xf numFmtId="2" fontId="16" fillId="36" borderId="28" xfId="0" applyNumberFormat="1" applyFont="1" applyFill="1" applyBorder="1" applyAlignment="1">
      <alignment horizontal="center" vertical="center"/>
    </xf>
    <xf numFmtId="2" fontId="37" fillId="36" borderId="29" xfId="1" applyNumberFormat="1" applyFont="1" applyFill="1" applyBorder="1" applyAlignment="1">
      <alignment horizontal="center" vertical="center"/>
    </xf>
    <xf numFmtId="0" fontId="0" fillId="36" borderId="17" xfId="0" applyFill="1" applyBorder="1" applyAlignment="1">
      <alignment horizontal="center" vertical="center"/>
    </xf>
    <xf numFmtId="0" fontId="0" fillId="36" borderId="33" xfId="0" applyFill="1" applyBorder="1" applyAlignment="1" applyProtection="1">
      <alignment horizontal="center" vertical="center"/>
      <protection locked="0"/>
    </xf>
    <xf numFmtId="2" fontId="16" fillId="36" borderId="32" xfId="0" applyNumberFormat="1" applyFont="1" applyFill="1" applyBorder="1" applyAlignment="1">
      <alignment horizontal="center" vertical="center"/>
    </xf>
    <xf numFmtId="2" fontId="37" fillId="36" borderId="33" xfId="0" applyNumberFormat="1" applyFont="1" applyFill="1" applyBorder="1" applyAlignment="1">
      <alignment horizontal="center" vertical="center"/>
    </xf>
    <xf numFmtId="10" fontId="0" fillId="5" borderId="0" xfId="1" applyNumberFormat="1" applyFont="1" applyFill="1" applyBorder="1" applyAlignment="1" applyProtection="1">
      <alignment horizontal="center" vertical="center"/>
      <protection locked="0"/>
    </xf>
    <xf numFmtId="2" fontId="16" fillId="5" borderId="0" xfId="0" applyNumberFormat="1" applyFont="1" applyFill="1" applyAlignment="1">
      <alignment horizontal="center" vertical="center"/>
    </xf>
    <xf numFmtId="2" fontId="37" fillId="5" borderId="0" xfId="0" applyNumberFormat="1" applyFont="1" applyFill="1" applyAlignment="1">
      <alignment horizontal="center" vertical="center"/>
    </xf>
    <xf numFmtId="10" fontId="0" fillId="5" borderId="0" xfId="1" applyNumberFormat="1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13" borderId="6" xfId="0" applyNumberFormat="1" applyFill="1" applyBorder="1" applyAlignment="1" applyProtection="1">
      <alignment horizontal="center"/>
      <protection locked="0"/>
    </xf>
    <xf numFmtId="0" fontId="16" fillId="13" borderId="24" xfId="0" applyFont="1" applyFill="1" applyBorder="1" applyAlignment="1">
      <alignment horizontal="center" vertical="center"/>
    </xf>
    <xf numFmtId="0" fontId="16" fillId="13" borderId="25" xfId="0" applyFont="1" applyFill="1" applyBorder="1" applyAlignment="1">
      <alignment horizontal="center" vertical="center"/>
    </xf>
    <xf numFmtId="0" fontId="0" fillId="13" borderId="39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 wrapText="1"/>
    </xf>
    <xf numFmtId="182" fontId="0" fillId="13" borderId="63" xfId="1" applyNumberFormat="1" applyFont="1" applyFill="1" applyBorder="1" applyAlignment="1" applyProtection="1">
      <alignment horizontal="left" vertical="center" wrapText="1" indent="2"/>
      <protection locked="0"/>
    </xf>
    <xf numFmtId="3" fontId="16" fillId="13" borderId="63" xfId="0" applyNumberFormat="1" applyFont="1" applyFill="1" applyBorder="1" applyAlignment="1">
      <alignment horizontal="center" vertical="center"/>
    </xf>
    <xf numFmtId="3" fontId="0" fillId="13" borderId="64" xfId="0" applyNumberFormat="1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0" fontId="0" fillId="13" borderId="29" xfId="0" applyFill="1" applyBorder="1" applyAlignment="1">
      <alignment horizontal="center" vertical="center"/>
    </xf>
    <xf numFmtId="10" fontId="0" fillId="13" borderId="28" xfId="1" applyNumberFormat="1" applyFont="1" applyFill="1" applyBorder="1" applyAlignment="1" applyProtection="1">
      <alignment horizontal="center" vertical="center"/>
      <protection locked="0"/>
    </xf>
    <xf numFmtId="3" fontId="16" fillId="13" borderId="28" xfId="0" applyNumberFormat="1" applyFont="1" applyFill="1" applyBorder="1" applyAlignment="1">
      <alignment horizontal="center" vertical="center"/>
    </xf>
    <xf numFmtId="3" fontId="0" fillId="13" borderId="29" xfId="0" applyNumberFormat="1" applyFill="1" applyBorder="1" applyAlignment="1">
      <alignment horizontal="center" vertical="center"/>
    </xf>
    <xf numFmtId="0" fontId="0" fillId="13" borderId="17" xfId="0" applyFill="1" applyBorder="1" applyAlignment="1">
      <alignment horizontal="center" vertical="center"/>
    </xf>
    <xf numFmtId="0" fontId="0" fillId="13" borderId="33" xfId="0" applyFill="1" applyBorder="1" applyAlignment="1">
      <alignment horizontal="center" vertical="center"/>
    </xf>
    <xf numFmtId="10" fontId="0" fillId="13" borderId="32" xfId="1" applyNumberFormat="1" applyFont="1" applyFill="1" applyBorder="1" applyAlignment="1" applyProtection="1">
      <alignment horizontal="center" vertical="center"/>
      <protection locked="0"/>
    </xf>
    <xf numFmtId="3" fontId="16" fillId="13" borderId="32" xfId="0" applyNumberFormat="1" applyFont="1" applyFill="1" applyBorder="1" applyAlignment="1">
      <alignment horizontal="center" vertical="center"/>
    </xf>
    <xf numFmtId="3" fontId="0" fillId="13" borderId="33" xfId="0" applyNumberFormat="1" applyFill="1" applyBorder="1" applyAlignment="1">
      <alignment horizontal="center" vertical="center"/>
    </xf>
    <xf numFmtId="0" fontId="0" fillId="13" borderId="41" xfId="0" applyFill="1" applyBorder="1" applyAlignment="1" applyProtection="1">
      <alignment horizontal="center" vertical="center"/>
      <protection locked="0"/>
    </xf>
    <xf numFmtId="0" fontId="0" fillId="13" borderId="10" xfId="0" applyFill="1" applyBorder="1" applyAlignment="1">
      <alignment horizontal="center" vertical="center"/>
    </xf>
    <xf numFmtId="10" fontId="37" fillId="13" borderId="26" xfId="1" applyNumberFormat="1" applyFont="1" applyFill="1" applyBorder="1" applyAlignment="1" applyProtection="1">
      <alignment horizontal="center" vertical="center"/>
      <protection locked="0"/>
    </xf>
    <xf numFmtId="2" fontId="16" fillId="13" borderId="26" xfId="0" applyNumberFormat="1" applyFont="1" applyFill="1" applyBorder="1" applyAlignment="1">
      <alignment horizontal="center" vertical="center"/>
    </xf>
    <xf numFmtId="2" fontId="37" fillId="13" borderId="27" xfId="0" applyNumberFormat="1" applyFont="1" applyFill="1" applyBorder="1" applyAlignment="1">
      <alignment horizontal="center" vertical="center"/>
    </xf>
    <xf numFmtId="0" fontId="0" fillId="13" borderId="29" xfId="0" applyFill="1" applyBorder="1" applyAlignment="1" applyProtection="1">
      <alignment horizontal="center" vertical="center"/>
      <protection locked="0"/>
    </xf>
    <xf numFmtId="10" fontId="37" fillId="13" borderId="28" xfId="1" applyNumberFormat="1" applyFont="1" applyFill="1" applyBorder="1" applyAlignment="1" applyProtection="1">
      <alignment horizontal="center" vertical="center"/>
      <protection locked="0"/>
    </xf>
    <xf numFmtId="2" fontId="16" fillId="13" borderId="28" xfId="0" applyNumberFormat="1" applyFont="1" applyFill="1" applyBorder="1" applyAlignment="1">
      <alignment horizontal="center" vertical="center"/>
    </xf>
    <xf numFmtId="2" fontId="37" fillId="13" borderId="29" xfId="0" applyNumberFormat="1" applyFont="1" applyFill="1" applyBorder="1" applyAlignment="1">
      <alignment horizontal="center" vertical="center"/>
    </xf>
    <xf numFmtId="0" fontId="0" fillId="13" borderId="33" xfId="0" applyFill="1" applyBorder="1" applyAlignment="1" applyProtection="1">
      <alignment horizontal="center" vertical="center"/>
      <protection locked="0"/>
    </xf>
    <xf numFmtId="10" fontId="37" fillId="13" borderId="32" xfId="1" applyNumberFormat="1" applyFont="1" applyFill="1" applyBorder="1" applyAlignment="1" applyProtection="1">
      <alignment horizontal="center" vertical="center"/>
      <protection locked="0"/>
    </xf>
    <xf numFmtId="2" fontId="16" fillId="13" borderId="32" xfId="0" applyNumberFormat="1" applyFont="1" applyFill="1" applyBorder="1" applyAlignment="1">
      <alignment horizontal="center" vertical="center"/>
    </xf>
    <xf numFmtId="2" fontId="37" fillId="13" borderId="33" xfId="0" applyNumberFormat="1" applyFont="1" applyFill="1" applyBorder="1" applyAlignment="1">
      <alignment horizontal="center" vertical="center"/>
    </xf>
    <xf numFmtId="3" fontId="0" fillId="37" borderId="6" xfId="0" applyNumberFormat="1" applyFill="1" applyBorder="1" applyAlignment="1" applyProtection="1">
      <alignment horizontal="center"/>
      <protection locked="0"/>
    </xf>
    <xf numFmtId="0" fontId="16" fillId="37" borderId="24" xfId="0" applyFont="1" applyFill="1" applyBorder="1" applyAlignment="1">
      <alignment horizontal="center" vertical="center"/>
    </xf>
    <xf numFmtId="0" fontId="16" fillId="37" borderId="25" xfId="0" applyFont="1" applyFill="1" applyBorder="1" applyAlignment="1">
      <alignment horizontal="center" vertical="center"/>
    </xf>
    <xf numFmtId="0" fontId="0" fillId="37" borderId="39" xfId="0" applyFill="1" applyBorder="1" applyAlignment="1">
      <alignment horizontal="center" vertical="center"/>
    </xf>
    <xf numFmtId="0" fontId="0" fillId="37" borderId="41" xfId="0" applyFill="1" applyBorder="1" applyAlignment="1">
      <alignment horizontal="center" vertical="center"/>
    </xf>
    <xf numFmtId="0" fontId="0" fillId="37" borderId="11" xfId="0" applyFill="1" applyBorder="1" applyAlignment="1">
      <alignment horizontal="center" vertical="center" wrapText="1"/>
    </xf>
    <xf numFmtId="183" fontId="0" fillId="37" borderId="63" xfId="1" applyNumberFormat="1" applyFont="1" applyFill="1" applyBorder="1" applyAlignment="1" applyProtection="1">
      <alignment horizontal="left" vertical="center" wrapText="1" indent="2"/>
      <protection locked="0"/>
    </xf>
    <xf numFmtId="3" fontId="16" fillId="37" borderId="63" xfId="0" applyNumberFormat="1" applyFont="1" applyFill="1" applyBorder="1" applyAlignment="1">
      <alignment horizontal="center" vertical="center"/>
    </xf>
    <xf numFmtId="3" fontId="0" fillId="37" borderId="64" xfId="0" applyNumberFormat="1" applyFill="1" applyBorder="1" applyAlignment="1">
      <alignment horizontal="center" vertical="center"/>
    </xf>
    <xf numFmtId="0" fontId="0" fillId="37" borderId="13" xfId="0" applyFill="1" applyBorder="1" applyAlignment="1">
      <alignment horizontal="center" vertical="center"/>
    </xf>
    <xf numFmtId="0" fontId="0" fillId="37" borderId="29" xfId="0" applyFill="1" applyBorder="1" applyAlignment="1">
      <alignment horizontal="center" vertical="center"/>
    </xf>
    <xf numFmtId="10" fontId="0" fillId="37" borderId="28" xfId="1" applyNumberFormat="1" applyFont="1" applyFill="1" applyBorder="1" applyAlignment="1" applyProtection="1">
      <alignment horizontal="center" vertical="center"/>
      <protection locked="0"/>
    </xf>
    <xf numFmtId="3" fontId="16" fillId="37" borderId="28" xfId="0" applyNumberFormat="1" applyFont="1" applyFill="1" applyBorder="1" applyAlignment="1">
      <alignment horizontal="center" vertical="center"/>
    </xf>
    <xf numFmtId="3" fontId="0" fillId="37" borderId="29" xfId="0" applyNumberFormat="1" applyFill="1" applyBorder="1" applyAlignment="1">
      <alignment horizontal="center" vertical="center"/>
    </xf>
    <xf numFmtId="0" fontId="0" fillId="37" borderId="17" xfId="0" applyFill="1" applyBorder="1" applyAlignment="1">
      <alignment horizontal="center" vertical="center"/>
    </xf>
    <xf numFmtId="0" fontId="0" fillId="37" borderId="33" xfId="0" applyFill="1" applyBorder="1" applyAlignment="1">
      <alignment horizontal="center" vertical="center"/>
    </xf>
    <xf numFmtId="10" fontId="0" fillId="37" borderId="32" xfId="1" applyNumberFormat="1" applyFont="1" applyFill="1" applyBorder="1" applyAlignment="1" applyProtection="1">
      <alignment horizontal="center" vertical="center"/>
      <protection locked="0"/>
    </xf>
    <xf numFmtId="3" fontId="16" fillId="37" borderId="32" xfId="0" applyNumberFormat="1" applyFont="1" applyFill="1" applyBorder="1" applyAlignment="1">
      <alignment horizontal="center" vertical="center"/>
    </xf>
    <xf numFmtId="3" fontId="0" fillId="37" borderId="33" xfId="0" applyNumberFormat="1" applyFill="1" applyBorder="1" applyAlignment="1">
      <alignment horizontal="center" vertical="center"/>
    </xf>
    <xf numFmtId="0" fontId="0" fillId="37" borderId="41" xfId="0" applyFill="1" applyBorder="1" applyAlignment="1" applyProtection="1">
      <alignment horizontal="center" vertical="center"/>
      <protection locked="0"/>
    </xf>
    <xf numFmtId="0" fontId="0" fillId="37" borderId="10" xfId="0" applyFill="1" applyBorder="1" applyAlignment="1">
      <alignment horizontal="center" vertical="center"/>
    </xf>
    <xf numFmtId="10" fontId="37" fillId="37" borderId="26" xfId="1" applyNumberFormat="1" applyFont="1" applyFill="1" applyBorder="1" applyAlignment="1" applyProtection="1">
      <alignment horizontal="center" vertical="center"/>
      <protection locked="0"/>
    </xf>
    <xf numFmtId="2" fontId="16" fillId="37" borderId="26" xfId="0" applyNumberFormat="1" applyFont="1" applyFill="1" applyBorder="1" applyAlignment="1">
      <alignment horizontal="center" vertical="center"/>
    </xf>
    <xf numFmtId="2" fontId="37" fillId="37" borderId="27" xfId="0" applyNumberFormat="1" applyFont="1" applyFill="1" applyBorder="1" applyAlignment="1">
      <alignment horizontal="center" vertical="center"/>
    </xf>
    <xf numFmtId="0" fontId="0" fillId="37" borderId="29" xfId="0" applyFill="1" applyBorder="1" applyAlignment="1" applyProtection="1">
      <alignment horizontal="center" vertical="center"/>
      <protection locked="0"/>
    </xf>
    <xf numFmtId="10" fontId="37" fillId="37" borderId="28" xfId="1" applyNumberFormat="1" applyFont="1" applyFill="1" applyBorder="1" applyAlignment="1" applyProtection="1">
      <alignment horizontal="center" vertical="center"/>
      <protection locked="0"/>
    </xf>
    <xf numFmtId="2" fontId="16" fillId="37" borderId="28" xfId="0" applyNumberFormat="1" applyFont="1" applyFill="1" applyBorder="1" applyAlignment="1">
      <alignment horizontal="center" vertical="center"/>
    </xf>
    <xf numFmtId="2" fontId="37" fillId="37" borderId="29" xfId="0" applyNumberFormat="1" applyFont="1" applyFill="1" applyBorder="1" applyAlignment="1">
      <alignment horizontal="center" vertical="center"/>
    </xf>
    <xf numFmtId="10" fontId="37" fillId="37" borderId="32" xfId="1" applyNumberFormat="1" applyFont="1" applyFill="1" applyBorder="1" applyAlignment="1" applyProtection="1">
      <alignment horizontal="center" vertical="center"/>
      <protection locked="0"/>
    </xf>
    <xf numFmtId="2" fontId="16" fillId="37" borderId="32" xfId="0" applyNumberFormat="1" applyFont="1" applyFill="1" applyBorder="1" applyAlignment="1">
      <alignment horizontal="center" vertical="center"/>
    </xf>
    <xf numFmtId="2" fontId="37" fillId="37" borderId="33" xfId="0" applyNumberFormat="1" applyFont="1" applyFill="1" applyBorder="1" applyAlignment="1">
      <alignment horizontal="center" vertical="center"/>
    </xf>
    <xf numFmtId="0" fontId="0" fillId="37" borderId="33" xfId="0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horizontal="center" vertical="center"/>
    </xf>
    <xf numFmtId="10" fontId="32" fillId="0" borderId="0" xfId="1" applyNumberFormat="1" applyFont="1" applyFill="1" applyBorder="1" applyAlignment="1" applyProtection="1">
      <alignment horizontal="center" vertical="center"/>
      <protection locked="0"/>
    </xf>
    <xf numFmtId="2" fontId="51" fillId="0" borderId="0" xfId="0" applyNumberFormat="1" applyFont="1" applyAlignment="1">
      <alignment horizontal="center" vertical="center"/>
    </xf>
    <xf numFmtId="168" fontId="32" fillId="0" borderId="0" xfId="0" applyNumberFormat="1" applyFont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3" fontId="0" fillId="0" borderId="0" xfId="0" applyNumberFormat="1" applyAlignment="1" applyProtection="1">
      <alignment horizontal="center" vertical="center"/>
      <protection locked="0"/>
    </xf>
    <xf numFmtId="2" fontId="37" fillId="0" borderId="0" xfId="0" applyNumberFormat="1" applyFont="1" applyAlignment="1" applyProtection="1">
      <alignment horizontal="center" vertical="center"/>
      <protection locked="0"/>
    </xf>
    <xf numFmtId="2" fontId="37" fillId="0" borderId="0" xfId="0" applyNumberFormat="1" applyFont="1" applyAlignment="1">
      <alignment horizontal="center" vertical="center"/>
    </xf>
    <xf numFmtId="2" fontId="37" fillId="0" borderId="0" xfId="1" applyNumberFormat="1" applyFont="1" applyFill="1" applyBorder="1" applyAlignment="1" applyProtection="1">
      <alignment horizontal="center" vertical="center"/>
      <protection locked="0"/>
    </xf>
    <xf numFmtId="2" fontId="37" fillId="0" borderId="0" xfId="1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10" fontId="0" fillId="0" borderId="0" xfId="1" applyNumberFormat="1" applyFont="1" applyFill="1" applyBorder="1" applyAlignment="1">
      <alignment horizontal="left" vertical="center"/>
    </xf>
    <xf numFmtId="3" fontId="16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 vertical="center"/>
    </xf>
    <xf numFmtId="2" fontId="37" fillId="0" borderId="0" xfId="0" applyNumberFormat="1" applyFont="1" applyAlignment="1">
      <alignment horizontal="left" vertical="center"/>
    </xf>
    <xf numFmtId="1" fontId="37" fillId="0" borderId="0" xfId="1" applyNumberFormat="1" applyFont="1" applyFill="1" applyBorder="1" applyAlignment="1">
      <alignment horizontal="center" vertical="center"/>
    </xf>
    <xf numFmtId="2" fontId="37" fillId="0" borderId="0" xfId="1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1" applyNumberFormat="1" applyFont="1" applyFill="1" applyBorder="1" applyAlignment="1">
      <alignment horizontal="center" vertical="center"/>
    </xf>
    <xf numFmtId="2" fontId="0" fillId="0" borderId="0" xfId="1" applyNumberFormat="1" applyFont="1" applyFill="1" applyBorder="1" applyAlignment="1">
      <alignment horizontal="center" vertical="center"/>
    </xf>
    <xf numFmtId="10" fontId="0" fillId="0" borderId="0" xfId="1" applyNumberFormat="1" applyFont="1" applyFill="1" applyBorder="1" applyAlignment="1">
      <alignment horizontal="center" vertical="center"/>
    </xf>
    <xf numFmtId="2" fontId="52" fillId="0" borderId="0" xfId="11" applyNumberFormat="1" applyFont="1" applyAlignment="1">
      <alignment horizontal="center"/>
    </xf>
    <xf numFmtId="171" fontId="0" fillId="0" borderId="0" xfId="0" applyNumberFormat="1" applyAlignment="1">
      <alignment horizontal="center" vertical="center"/>
    </xf>
    <xf numFmtId="14" fontId="0" fillId="0" borderId="0" xfId="0" applyNumberFormat="1"/>
    <xf numFmtId="171" fontId="0" fillId="0" borderId="0" xfId="0" applyNumberFormat="1"/>
    <xf numFmtId="0" fontId="53" fillId="0" borderId="24" xfId="0" applyFont="1" applyBorder="1" applyAlignment="1">
      <alignment horizontal="center" vertical="center"/>
    </xf>
    <xf numFmtId="0" fontId="53" fillId="0" borderId="25" xfId="0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 wrapText="1"/>
    </xf>
    <xf numFmtId="0" fontId="53" fillId="0" borderId="27" xfId="0" applyFont="1" applyBorder="1" applyAlignment="1">
      <alignment horizontal="center" vertical="center"/>
    </xf>
    <xf numFmtId="0" fontId="53" fillId="0" borderId="28" xfId="0" applyFont="1" applyBorder="1" applyAlignment="1">
      <alignment horizontal="center" vertical="center" wrapText="1"/>
    </xf>
    <xf numFmtId="0" fontId="53" fillId="0" borderId="29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28" xfId="0" applyBorder="1" applyAlignment="1">
      <alignment horizontal="center"/>
    </xf>
    <xf numFmtId="171" fontId="0" fillId="0" borderId="13" xfId="0" applyNumberFormat="1" applyBorder="1"/>
    <xf numFmtId="14" fontId="0" fillId="0" borderId="28" xfId="0" applyNumberFormat="1" applyBorder="1"/>
    <xf numFmtId="169" fontId="0" fillId="0" borderId="28" xfId="0" applyNumberFormat="1" applyBorder="1"/>
    <xf numFmtId="171" fontId="0" fillId="0" borderId="28" xfId="0" applyNumberFormat="1" applyBorder="1" applyAlignment="1">
      <alignment horizontal="center"/>
    </xf>
    <xf numFmtId="167" fontId="0" fillId="0" borderId="13" xfId="0" applyNumberFormat="1" applyBorder="1"/>
    <xf numFmtId="0" fontId="54" fillId="0" borderId="68" xfId="0" applyFont="1" applyBorder="1"/>
    <xf numFmtId="0" fontId="0" fillId="0" borderId="6" xfId="0" applyBorder="1"/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171" fontId="0" fillId="0" borderId="28" xfId="0" applyNumberFormat="1" applyBorder="1"/>
    <xf numFmtId="171" fontId="0" fillId="0" borderId="29" xfId="0" applyNumberFormat="1" applyBorder="1"/>
    <xf numFmtId="171" fontId="16" fillId="2" borderId="0" xfId="0" applyNumberFormat="1" applyFont="1" applyFill="1"/>
    <xf numFmtId="167" fontId="0" fillId="0" borderId="28" xfId="0" applyNumberFormat="1" applyBorder="1"/>
    <xf numFmtId="0" fontId="55" fillId="0" borderId="0" xfId="0" applyFont="1"/>
    <xf numFmtId="0" fontId="57" fillId="0" borderId="0" xfId="0" applyFont="1"/>
    <xf numFmtId="0" fontId="58" fillId="0" borderId="6" xfId="0" applyFont="1" applyBorder="1" applyAlignment="1">
      <alignment horizontal="center" vertical="center" wrapText="1"/>
    </xf>
    <xf numFmtId="0" fontId="58" fillId="0" borderId="0" xfId="0" applyFont="1" applyAlignment="1">
      <alignment horizontal="center" wrapText="1"/>
    </xf>
    <xf numFmtId="0" fontId="59" fillId="0" borderId="6" xfId="12" applyFont="1" applyBorder="1" applyAlignment="1">
      <alignment horizontal="center" vertical="center" wrapText="1"/>
    </xf>
    <xf numFmtId="0" fontId="59" fillId="0" borderId="38" xfId="12" applyFont="1" applyBorder="1" applyAlignment="1">
      <alignment horizontal="center" vertical="center" wrapText="1"/>
    </xf>
    <xf numFmtId="2" fontId="58" fillId="0" borderId="34" xfId="0" applyNumberFormat="1" applyFont="1" applyBorder="1" applyAlignment="1">
      <alignment horizontal="center" wrapText="1"/>
    </xf>
    <xf numFmtId="0" fontId="59" fillId="0" borderId="0" xfId="12" applyFont="1" applyAlignment="1">
      <alignment horizontal="center" vertical="center" wrapText="1"/>
    </xf>
    <xf numFmtId="2" fontId="58" fillId="0" borderId="0" xfId="0" applyNumberFormat="1" applyFont="1" applyAlignment="1">
      <alignment horizontal="center" wrapText="1"/>
    </xf>
    <xf numFmtId="2" fontId="58" fillId="0" borderId="15" xfId="0" applyNumberFormat="1" applyFont="1" applyBorder="1" applyAlignment="1">
      <alignment horizontal="center" wrapText="1"/>
    </xf>
    <xf numFmtId="171" fontId="58" fillId="0" borderId="0" xfId="0" applyNumberFormat="1" applyFont="1" applyAlignment="1">
      <alignment horizontal="center" wrapText="1"/>
    </xf>
    <xf numFmtId="0" fontId="60" fillId="0" borderId="9" xfId="12" applyFont="1" applyBorder="1" applyAlignment="1">
      <alignment horizontal="center" vertical="center" wrapText="1"/>
    </xf>
    <xf numFmtId="0" fontId="59" fillId="0" borderId="47" xfId="12" applyFont="1" applyBorder="1" applyAlignment="1">
      <alignment horizontal="center" vertical="center" wrapText="1"/>
    </xf>
    <xf numFmtId="2" fontId="61" fillId="0" borderId="13" xfId="12" applyNumberFormat="1" applyFont="1" applyBorder="1" applyAlignment="1">
      <alignment vertical="center"/>
    </xf>
    <xf numFmtId="171" fontId="62" fillId="0" borderId="26" xfId="0" applyNumberFormat="1" applyFont="1" applyBorder="1"/>
    <xf numFmtId="2" fontId="61" fillId="0" borderId="0" xfId="12" applyNumberFormat="1" applyFont="1" applyAlignment="1">
      <alignment vertical="center"/>
    </xf>
    <xf numFmtId="0" fontId="61" fillId="0" borderId="17" xfId="12" applyFont="1" applyBorder="1" applyAlignment="1">
      <alignment vertical="center"/>
    </xf>
    <xf numFmtId="171" fontId="62" fillId="0" borderId="32" xfId="0" applyNumberFormat="1" applyFont="1" applyBorder="1"/>
    <xf numFmtId="0" fontId="61" fillId="0" borderId="0" xfId="12" applyFont="1" applyAlignment="1">
      <alignment vertical="center"/>
    </xf>
    <xf numFmtId="171" fontId="62" fillId="0" borderId="0" xfId="0" applyNumberFormat="1" applyFont="1"/>
    <xf numFmtId="0" fontId="58" fillId="0" borderId="25" xfId="0" applyFont="1" applyBorder="1" applyAlignment="1">
      <alignment horizontal="center" vertical="center" wrapText="1"/>
    </xf>
    <xf numFmtId="2" fontId="58" fillId="0" borderId="27" xfId="0" applyNumberFormat="1" applyFont="1" applyBorder="1" applyAlignment="1">
      <alignment horizontal="center" wrapText="1"/>
    </xf>
    <xf numFmtId="2" fontId="58" fillId="0" borderId="28" xfId="0" applyNumberFormat="1" applyFont="1" applyBorder="1" applyAlignment="1">
      <alignment horizontal="center" vertical="center" wrapText="1"/>
    </xf>
    <xf numFmtId="2" fontId="58" fillId="0" borderId="28" xfId="0" applyNumberFormat="1" applyFont="1" applyBorder="1" applyAlignment="1">
      <alignment horizontal="center" wrapText="1"/>
    </xf>
    <xf numFmtId="0" fontId="58" fillId="0" borderId="1" xfId="0" applyFont="1" applyBorder="1" applyAlignment="1">
      <alignment horizontal="center" vertical="center" wrapText="1"/>
    </xf>
    <xf numFmtId="2" fontId="61" fillId="0" borderId="47" xfId="12" applyNumberFormat="1" applyFont="1" applyBorder="1" applyAlignment="1">
      <alignment vertical="center"/>
    </xf>
    <xf numFmtId="171" fontId="62" fillId="0" borderId="54" xfId="0" applyNumberFormat="1" applyFont="1" applyBorder="1"/>
    <xf numFmtId="0" fontId="61" fillId="0" borderId="19" xfId="12" applyFont="1" applyBorder="1" applyAlignment="1">
      <alignment vertical="center"/>
    </xf>
    <xf numFmtId="171" fontId="62" fillId="0" borderId="67" xfId="0" applyNumberFormat="1" applyFont="1" applyBorder="1"/>
    <xf numFmtId="0" fontId="58" fillId="0" borderId="0" xfId="0" applyFont="1"/>
    <xf numFmtId="0" fontId="59" fillId="0" borderId="36" xfId="12" applyFont="1" applyBorder="1" applyAlignment="1">
      <alignment horizontal="center" vertical="center" wrapText="1"/>
    </xf>
    <xf numFmtId="0" fontId="59" fillId="0" borderId="44" xfId="12" applyFont="1" applyBorder="1" applyAlignment="1">
      <alignment horizontal="center" vertical="center" wrapText="1"/>
    </xf>
    <xf numFmtId="0" fontId="59" fillId="0" borderId="139" xfId="12" applyFont="1" applyBorder="1" applyAlignment="1">
      <alignment horizontal="center" vertical="center" wrapText="1"/>
    </xf>
    <xf numFmtId="0" fontId="59" fillId="0" borderId="1" xfId="12" applyFont="1" applyBorder="1" applyAlignment="1">
      <alignment horizontal="center" vertical="center" wrapText="1"/>
    </xf>
    <xf numFmtId="2" fontId="61" fillId="0" borderId="42" xfId="12" applyNumberFormat="1" applyFont="1" applyBorder="1" applyAlignment="1">
      <alignment vertical="center"/>
    </xf>
    <xf numFmtId="0" fontId="61" fillId="0" borderId="51" xfId="12" applyFont="1" applyBorder="1" applyAlignment="1">
      <alignment vertical="center"/>
    </xf>
    <xf numFmtId="0" fontId="35" fillId="39" borderId="28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14" borderId="28" xfId="0" applyFont="1" applyFill="1" applyBorder="1" applyAlignment="1">
      <alignment horizontal="center"/>
    </xf>
    <xf numFmtId="0" fontId="18" fillId="39" borderId="1" xfId="12" applyFont="1" applyFill="1" applyBorder="1" applyAlignment="1">
      <alignment vertical="center"/>
    </xf>
    <xf numFmtId="0" fontId="18" fillId="39" borderId="2" xfId="12" applyFont="1" applyFill="1" applyBorder="1" applyAlignment="1">
      <alignment vertical="center"/>
    </xf>
    <xf numFmtId="0" fontId="18" fillId="39" borderId="3" xfId="12" applyFont="1" applyFill="1" applyBorder="1" applyAlignment="1">
      <alignment vertical="center"/>
    </xf>
    <xf numFmtId="0" fontId="18" fillId="39" borderId="1" xfId="12" applyFont="1" applyFill="1" applyBorder="1" applyAlignment="1">
      <alignment horizontal="center" vertical="center"/>
    </xf>
    <xf numFmtId="2" fontId="18" fillId="39" borderId="4" xfId="12" applyNumberFormat="1" applyFont="1" applyFill="1" applyBorder="1" applyAlignment="1">
      <alignment horizontal="center" vertical="center"/>
    </xf>
    <xf numFmtId="2" fontId="18" fillId="39" borderId="5" xfId="12" applyNumberFormat="1" applyFont="1" applyFill="1" applyBorder="1" applyAlignment="1">
      <alignment horizontal="center" vertical="center"/>
    </xf>
    <xf numFmtId="2" fontId="18" fillId="39" borderId="6" xfId="9" applyNumberFormat="1" applyFont="1" applyFill="1" applyBorder="1" applyAlignment="1">
      <alignment horizontal="center" vertical="center"/>
    </xf>
    <xf numFmtId="2" fontId="18" fillId="39" borderId="3" xfId="9" applyNumberFormat="1" applyFont="1" applyFill="1" applyBorder="1" applyAlignment="1">
      <alignment horizontal="center" vertical="center"/>
    </xf>
    <xf numFmtId="0" fontId="18" fillId="38" borderId="6" xfId="12" applyFont="1" applyFill="1" applyBorder="1" applyAlignment="1">
      <alignment horizontal="center" vertical="center"/>
    </xf>
    <xf numFmtId="2" fontId="18" fillId="39" borderId="7" xfId="12" applyNumberFormat="1" applyFont="1" applyFill="1" applyBorder="1" applyAlignment="1">
      <alignment horizontal="center" vertical="center"/>
    </xf>
    <xf numFmtId="2" fontId="18" fillId="39" borderId="8" xfId="12" applyNumberFormat="1" applyFont="1" applyFill="1" applyBorder="1" applyAlignment="1">
      <alignment horizontal="center" vertical="center"/>
    </xf>
    <xf numFmtId="2" fontId="18" fillId="39" borderId="11" xfId="12" applyNumberFormat="1" applyFont="1" applyFill="1" applyBorder="1" applyAlignment="1">
      <alignment horizontal="center" vertical="center"/>
    </xf>
    <xf numFmtId="2" fontId="18" fillId="39" borderId="63" xfId="12" applyNumberFormat="1" applyFont="1" applyFill="1" applyBorder="1" applyAlignment="1">
      <alignment horizontal="center" vertical="center"/>
    </xf>
    <xf numFmtId="2" fontId="18" fillId="39" borderId="12" xfId="12" applyNumberFormat="1" applyFont="1" applyFill="1" applyBorder="1" applyAlignment="1">
      <alignment horizontal="center" vertical="center"/>
    </xf>
    <xf numFmtId="2" fontId="18" fillId="39" borderId="9" xfId="9" applyNumberFormat="1" applyFont="1" applyFill="1" applyBorder="1" applyAlignment="1">
      <alignment horizontal="center" vertical="center"/>
    </xf>
    <xf numFmtId="0" fontId="18" fillId="39" borderId="5" xfId="12" applyFont="1" applyFill="1" applyBorder="1" applyAlignment="1">
      <alignment horizontal="center" vertical="center"/>
    </xf>
    <xf numFmtId="1" fontId="18" fillId="5" borderId="40" xfId="12" applyNumberFormat="1" applyFont="1" applyFill="1" applyBorder="1" applyAlignment="1">
      <alignment horizontal="center" vertical="center"/>
    </xf>
    <xf numFmtId="171" fontId="18" fillId="5" borderId="28" xfId="12" applyNumberFormat="1" applyFont="1" applyFill="1" applyBorder="1" applyAlignment="1">
      <alignment horizontal="center" vertical="center"/>
    </xf>
    <xf numFmtId="1" fontId="18" fillId="0" borderId="19" xfId="12" applyNumberFormat="1" applyFont="1" applyBorder="1" applyAlignment="1">
      <alignment horizontal="center" vertical="center"/>
    </xf>
    <xf numFmtId="167" fontId="17" fillId="0" borderId="0" xfId="3" applyNumberFormat="1" applyFont="1" applyBorder="1" applyAlignment="1">
      <alignment horizontal="center" vertical="center" wrapText="1"/>
    </xf>
    <xf numFmtId="167" fontId="17" fillId="0" borderId="0" xfId="12" applyNumberFormat="1" applyFont="1" applyAlignment="1">
      <alignment horizontal="center" vertical="center" wrapText="1"/>
    </xf>
    <xf numFmtId="2" fontId="18" fillId="5" borderId="0" xfId="0" applyNumberFormat="1" applyFont="1" applyFill="1" applyAlignment="1">
      <alignment vertical="center"/>
    </xf>
    <xf numFmtId="0" fontId="18" fillId="39" borderId="2" xfId="12" applyFont="1" applyFill="1" applyBorder="1" applyAlignment="1">
      <alignment horizontal="center" vertical="center"/>
    </xf>
    <xf numFmtId="0" fontId="18" fillId="39" borderId="3" xfId="12" applyFont="1" applyFill="1" applyBorder="1" applyAlignment="1">
      <alignment horizontal="center" vertical="center"/>
    </xf>
    <xf numFmtId="0" fontId="20" fillId="2" borderId="3" xfId="12" applyFont="1" applyFill="1" applyBorder="1" applyAlignment="1">
      <alignment horizontal="center" vertical="center"/>
    </xf>
    <xf numFmtId="0" fontId="20" fillId="38" borderId="6" xfId="12" applyFont="1" applyFill="1" applyBorder="1" applyAlignment="1">
      <alignment horizontal="center" vertical="center"/>
    </xf>
    <xf numFmtId="0" fontId="18" fillId="38" borderId="2" xfId="12" applyFont="1" applyFill="1" applyBorder="1" applyAlignment="1">
      <alignment horizontal="center" vertical="center"/>
    </xf>
    <xf numFmtId="0" fontId="17" fillId="2" borderId="54" xfId="12" applyFont="1" applyFill="1" applyBorder="1" applyAlignment="1">
      <alignment horizontal="center" vertical="center"/>
    </xf>
    <xf numFmtId="0" fontId="17" fillId="2" borderId="55" xfId="12" applyFont="1" applyFill="1" applyBorder="1" applyAlignment="1">
      <alignment horizontal="center" vertical="center"/>
    </xf>
    <xf numFmtId="2" fontId="17" fillId="2" borderId="55" xfId="12" applyNumberFormat="1" applyFont="1" applyFill="1" applyBorder="1" applyAlignment="1">
      <alignment horizontal="center" vertical="center"/>
    </xf>
    <xf numFmtId="171" fontId="17" fillId="2" borderId="55" xfId="12" applyNumberFormat="1" applyFont="1" applyFill="1" applyBorder="1" applyAlignment="1">
      <alignment horizontal="center" vertical="center"/>
    </xf>
    <xf numFmtId="1" fontId="17" fillId="2" borderId="56" xfId="12" applyNumberFormat="1" applyFont="1" applyFill="1" applyBorder="1" applyAlignment="1">
      <alignment horizontal="center" vertical="center"/>
    </xf>
    <xf numFmtId="0" fontId="18" fillId="2" borderId="31" xfId="12" applyFont="1" applyFill="1" applyBorder="1" applyAlignment="1">
      <alignment horizontal="center" vertical="center"/>
    </xf>
    <xf numFmtId="0" fontId="17" fillId="0" borderId="140" xfId="12" applyFont="1" applyBorder="1" applyAlignment="1">
      <alignment horizontal="center" vertical="center"/>
    </xf>
    <xf numFmtId="0" fontId="17" fillId="0" borderId="141" xfId="12" applyFont="1" applyBorder="1" applyAlignment="1">
      <alignment horizontal="center" vertical="center"/>
    </xf>
    <xf numFmtId="0" fontId="17" fillId="0" borderId="142" xfId="12" applyFont="1" applyBorder="1" applyAlignment="1">
      <alignment horizontal="center" vertical="center"/>
    </xf>
    <xf numFmtId="0" fontId="17" fillId="0" borderId="53" xfId="12" applyFont="1" applyBorder="1" applyAlignment="1">
      <alignment horizontal="center" vertical="center"/>
    </xf>
    <xf numFmtId="0" fontId="17" fillId="40" borderId="58" xfId="12" applyFont="1" applyFill="1" applyBorder="1" applyAlignment="1">
      <alignment horizontal="center" vertical="center"/>
    </xf>
    <xf numFmtId="171" fontId="17" fillId="40" borderId="58" xfId="12" applyNumberFormat="1" applyFont="1" applyFill="1" applyBorder="1" applyAlignment="1">
      <alignment horizontal="center" vertical="center"/>
    </xf>
    <xf numFmtId="0" fontId="17" fillId="0" borderId="143" xfId="12" applyFont="1" applyBorder="1" applyAlignment="1">
      <alignment horizontal="center" vertical="center"/>
    </xf>
    <xf numFmtId="0" fontId="17" fillId="41" borderId="58" xfId="12" applyFont="1" applyFill="1" applyBorder="1" applyAlignment="1">
      <alignment horizontal="center" vertical="center"/>
    </xf>
    <xf numFmtId="0" fontId="17" fillId="42" borderId="53" xfId="12" applyFont="1" applyFill="1" applyBorder="1" applyAlignment="1">
      <alignment horizontal="center" vertical="center"/>
    </xf>
    <xf numFmtId="0" fontId="17" fillId="42" borderId="58" xfId="12" applyFont="1" applyFill="1" applyBorder="1" applyAlignment="1">
      <alignment horizontal="center" vertical="center"/>
    </xf>
    <xf numFmtId="0" fontId="17" fillId="43" borderId="53" xfId="12" applyFont="1" applyFill="1" applyBorder="1" applyAlignment="1">
      <alignment horizontal="center" vertical="center"/>
    </xf>
    <xf numFmtId="0" fontId="17" fillId="43" borderId="58" xfId="12" applyFont="1" applyFill="1" applyBorder="1" applyAlignment="1">
      <alignment horizontal="center" vertical="center"/>
    </xf>
    <xf numFmtId="171" fontId="17" fillId="2" borderId="53" xfId="12" applyNumberFormat="1" applyFont="1" applyFill="1" applyBorder="1" applyAlignment="1">
      <alignment horizontal="center" vertical="center"/>
    </xf>
    <xf numFmtId="0" fontId="17" fillId="2" borderId="58" xfId="12" applyFont="1" applyFill="1" applyBorder="1" applyAlignment="1">
      <alignment horizontal="center" vertical="center"/>
    </xf>
    <xf numFmtId="171" fontId="17" fillId="2" borderId="144" xfId="12" applyNumberFormat="1" applyFont="1" applyFill="1" applyBorder="1" applyAlignment="1">
      <alignment horizontal="center" vertical="center"/>
    </xf>
    <xf numFmtId="0" fontId="17" fillId="0" borderId="145" xfId="12" applyFont="1" applyBorder="1" applyAlignment="1">
      <alignment horizontal="center" vertical="center"/>
    </xf>
    <xf numFmtId="0" fontId="17" fillId="0" borderId="146" xfId="12" applyFont="1" applyBorder="1" applyAlignment="1">
      <alignment horizontal="center" vertical="center"/>
    </xf>
    <xf numFmtId="0" fontId="18" fillId="38" borderId="3" xfId="12" applyFont="1" applyFill="1" applyBorder="1" applyAlignment="1">
      <alignment horizontal="center" vertical="center"/>
    </xf>
    <xf numFmtId="0" fontId="17" fillId="38" borderId="25" xfId="12" applyFont="1" applyFill="1" applyBorder="1" applyAlignment="1">
      <alignment horizontal="center" vertical="center"/>
    </xf>
    <xf numFmtId="171" fontId="17" fillId="0" borderId="29" xfId="12" applyNumberFormat="1" applyFont="1" applyBorder="1" applyAlignment="1">
      <alignment horizontal="center" vertical="center"/>
    </xf>
    <xf numFmtId="2" fontId="69" fillId="0" borderId="54" xfId="12" applyNumberFormat="1" applyFont="1" applyBorder="1" applyAlignment="1">
      <alignment horizontal="center" vertical="center"/>
    </xf>
    <xf numFmtId="0" fontId="69" fillId="0" borderId="67" xfId="12" applyFont="1" applyBorder="1" applyAlignment="1">
      <alignment horizontal="center" vertical="center"/>
    </xf>
    <xf numFmtId="0" fontId="22" fillId="10" borderId="1" xfId="12" applyFont="1" applyFill="1" applyBorder="1" applyAlignment="1">
      <alignment horizontal="center" vertical="center"/>
    </xf>
    <xf numFmtId="0" fontId="22" fillId="10" borderId="5" xfId="12" applyFont="1" applyFill="1" applyBorder="1" applyAlignment="1">
      <alignment horizontal="center" vertical="center"/>
    </xf>
    <xf numFmtId="2" fontId="17" fillId="2" borderId="30" xfId="12" applyNumberFormat="1" applyFont="1" applyFill="1" applyBorder="1" applyAlignment="1">
      <alignment horizontal="center" vertical="center"/>
    </xf>
    <xf numFmtId="0" fontId="15" fillId="0" borderId="0" xfId="0" applyFont="1"/>
    <xf numFmtId="168" fontId="0" fillId="0" borderId="0" xfId="0" applyNumberFormat="1"/>
    <xf numFmtId="0" fontId="15" fillId="2" borderId="0" xfId="0" applyFont="1" applyFill="1" applyAlignment="1">
      <alignment horizontal="center"/>
    </xf>
    <xf numFmtId="0" fontId="15" fillId="2" borderId="0" xfId="0" applyFont="1" applyFill="1"/>
    <xf numFmtId="0" fontId="0" fillId="2" borderId="0" xfId="0" applyFill="1" applyAlignment="1">
      <alignment horizontal="center"/>
    </xf>
    <xf numFmtId="167" fontId="0" fillId="2" borderId="0" xfId="0" applyNumberFormat="1" applyFill="1"/>
    <xf numFmtId="2" fontId="58" fillId="0" borderId="147" xfId="0" applyNumberFormat="1" applyFont="1" applyBorder="1" applyAlignment="1">
      <alignment horizontal="center" wrapText="1"/>
    </xf>
    <xf numFmtId="2" fontId="58" fillId="0" borderId="14" xfId="0" applyNumberFormat="1" applyFont="1" applyBorder="1" applyAlignment="1">
      <alignment horizontal="center" wrapText="1"/>
    </xf>
    <xf numFmtId="0" fontId="59" fillId="0" borderId="35" xfId="12" applyFont="1" applyBorder="1" applyAlignment="1">
      <alignment horizontal="center" vertical="center" wrapText="1"/>
    </xf>
    <xf numFmtId="2" fontId="61" fillId="0" borderId="54" xfId="12" applyNumberFormat="1" applyFont="1" applyBorder="1" applyAlignment="1">
      <alignment vertical="center"/>
    </xf>
    <xf numFmtId="0" fontId="61" fillId="0" borderId="67" xfId="12" applyFont="1" applyBorder="1" applyAlignment="1">
      <alignment vertical="center"/>
    </xf>
    <xf numFmtId="171" fontId="17" fillId="0" borderId="41" xfId="12" applyNumberFormat="1" applyFont="1" applyBorder="1" applyAlignment="1">
      <alignment horizontal="center" vertical="center"/>
    </xf>
    <xf numFmtId="167" fontId="17" fillId="0" borderId="0" xfId="12" applyNumberFormat="1" applyFont="1" applyAlignment="1">
      <alignment horizontal="center" vertical="center"/>
    </xf>
    <xf numFmtId="171" fontId="58" fillId="0" borderId="27" xfId="0" applyNumberFormat="1" applyFont="1" applyBorder="1" applyAlignment="1">
      <alignment horizontal="center" wrapText="1"/>
    </xf>
    <xf numFmtId="2" fontId="75" fillId="0" borderId="0" xfId="12" applyNumberFormat="1" applyFont="1" applyAlignment="1">
      <alignment horizontal="center" vertical="center"/>
    </xf>
    <xf numFmtId="2" fontId="17" fillId="0" borderId="27" xfId="3" applyNumberFormat="1" applyFont="1" applyBorder="1" applyAlignment="1">
      <alignment horizontal="center" vertical="center"/>
    </xf>
    <xf numFmtId="2" fontId="17" fillId="0" borderId="33" xfId="3" applyNumberFormat="1" applyFont="1" applyBorder="1" applyAlignment="1">
      <alignment horizontal="center" vertical="center"/>
    </xf>
    <xf numFmtId="1" fontId="17" fillId="5" borderId="19" xfId="12" applyNumberFormat="1" applyFont="1" applyFill="1" applyBorder="1" applyAlignment="1">
      <alignment horizontal="center"/>
    </xf>
    <xf numFmtId="2" fontId="58" fillId="0" borderId="59" xfId="0" applyNumberFormat="1" applyFont="1" applyBorder="1" applyAlignment="1">
      <alignment horizontal="center" vertical="center" wrapText="1"/>
    </xf>
    <xf numFmtId="0" fontId="48" fillId="15" borderId="0" xfId="0" applyFont="1" applyFill="1" applyAlignment="1">
      <alignment horizontal="left" vertical="center"/>
    </xf>
    <xf numFmtId="0" fontId="18" fillId="5" borderId="17" xfId="0" applyFont="1" applyFill="1" applyBorder="1" applyAlignment="1">
      <alignment vertical="center"/>
    </xf>
    <xf numFmtId="43" fontId="17" fillId="5" borderId="33" xfId="0" applyNumberFormat="1" applyFont="1" applyFill="1" applyBorder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10" fontId="0" fillId="35" borderId="26" xfId="1" applyNumberFormat="1" applyFont="1" applyFill="1" applyBorder="1" applyAlignment="1" applyProtection="1">
      <alignment horizontal="center" vertical="center"/>
      <protection locked="0"/>
    </xf>
    <xf numFmtId="2" fontId="37" fillId="35" borderId="27" xfId="0" applyNumberFormat="1" applyFont="1" applyFill="1" applyBorder="1" applyAlignment="1">
      <alignment horizontal="center" vertical="center"/>
    </xf>
    <xf numFmtId="10" fontId="0" fillId="35" borderId="32" xfId="1" applyNumberFormat="1" applyFont="1" applyFill="1" applyBorder="1" applyAlignment="1" applyProtection="1">
      <alignment horizontal="center" vertical="center"/>
      <protection locked="0"/>
    </xf>
    <xf numFmtId="3" fontId="16" fillId="35" borderId="32" xfId="0" applyNumberFormat="1" applyFont="1" applyFill="1" applyBorder="1" applyAlignment="1">
      <alignment horizontal="center" vertical="center"/>
    </xf>
    <xf numFmtId="3" fontId="0" fillId="35" borderId="33" xfId="0" applyNumberFormat="1" applyFill="1" applyBorder="1" applyAlignment="1">
      <alignment horizontal="center" vertical="center"/>
    </xf>
    <xf numFmtId="0" fontId="19" fillId="11" borderId="27" xfId="12" applyFont="1" applyFill="1" applyBorder="1" applyAlignment="1">
      <alignment horizontal="center" vertical="center"/>
    </xf>
    <xf numFmtId="0" fontId="17" fillId="44" borderId="0" xfId="12" applyFont="1" applyFill="1" applyAlignment="1">
      <alignment horizontal="center" vertical="center"/>
    </xf>
    <xf numFmtId="0" fontId="22" fillId="10" borderId="2" xfId="12" applyFont="1" applyFill="1" applyBorder="1" applyAlignment="1">
      <alignment horizontal="center" vertical="center"/>
    </xf>
    <xf numFmtId="0" fontId="22" fillId="10" borderId="3" xfId="12" applyFont="1" applyFill="1" applyBorder="1" applyAlignment="1">
      <alignment horizontal="center" vertical="center"/>
    </xf>
    <xf numFmtId="1" fontId="24" fillId="9" borderId="2" xfId="12" applyNumberFormat="1" applyFont="1" applyFill="1" applyBorder="1" applyAlignment="1">
      <alignment horizontal="center" vertical="center"/>
    </xf>
    <xf numFmtId="0" fontId="19" fillId="9" borderId="13" xfId="12" applyFont="1" applyFill="1" applyBorder="1" applyAlignment="1">
      <alignment horizontal="center" vertical="center"/>
    </xf>
    <xf numFmtId="0" fontId="55" fillId="0" borderId="0" xfId="0" applyFont="1" applyAlignment="1">
      <alignment horizontal="center"/>
    </xf>
    <xf numFmtId="0" fontId="58" fillId="0" borderId="54" xfId="0" applyFont="1" applyBorder="1" applyAlignment="1">
      <alignment horizontal="center" vertical="center" wrapText="1"/>
    </xf>
    <xf numFmtId="2" fontId="58" fillId="0" borderId="147" xfId="0" applyNumberFormat="1" applyFont="1" applyBorder="1" applyAlignment="1">
      <alignment horizontal="center" vertical="center" wrapText="1"/>
    </xf>
    <xf numFmtId="2" fontId="18" fillId="45" borderId="6" xfId="9" applyNumberFormat="1" applyFont="1" applyFill="1" applyBorder="1" applyAlignment="1">
      <alignment horizontal="center" vertical="center"/>
    </xf>
    <xf numFmtId="2" fontId="18" fillId="45" borderId="9" xfId="12" applyNumberFormat="1" applyFont="1" applyFill="1" applyBorder="1" applyAlignment="1">
      <alignment horizontal="center" vertical="center"/>
    </xf>
    <xf numFmtId="2" fontId="18" fillId="45" borderId="3" xfId="9" applyNumberFormat="1" applyFont="1" applyFill="1" applyBorder="1" applyAlignment="1">
      <alignment horizontal="center" vertical="center"/>
    </xf>
    <xf numFmtId="0" fontId="18" fillId="45" borderId="9" xfId="12" applyFont="1" applyFill="1" applyBorder="1" applyAlignment="1">
      <alignment horizontal="center" vertical="center"/>
    </xf>
    <xf numFmtId="0" fontId="18" fillId="46" borderId="6" xfId="12" applyFont="1" applyFill="1" applyBorder="1" applyAlignment="1">
      <alignment horizontal="center" vertical="center"/>
    </xf>
    <xf numFmtId="0" fontId="20" fillId="46" borderId="3" xfId="12" applyFont="1" applyFill="1" applyBorder="1" applyAlignment="1">
      <alignment horizontal="center" vertical="center"/>
    </xf>
    <xf numFmtId="0" fontId="20" fillId="46" borderId="6" xfId="12" applyFont="1" applyFill="1" applyBorder="1" applyAlignment="1">
      <alignment horizontal="center" vertical="center"/>
    </xf>
    <xf numFmtId="0" fontId="17" fillId="46" borderId="25" xfId="12" applyFont="1" applyFill="1" applyBorder="1" applyAlignment="1">
      <alignment horizontal="center" vertical="center"/>
    </xf>
    <xf numFmtId="0" fontId="18" fillId="46" borderId="3" xfId="12" applyFont="1" applyFill="1" applyBorder="1" applyAlignment="1">
      <alignment horizontal="center" vertical="center"/>
    </xf>
    <xf numFmtId="2" fontId="18" fillId="46" borderId="5" xfId="9" applyNumberFormat="1" applyFont="1" applyFill="1" applyBorder="1" applyAlignment="1">
      <alignment horizontal="center" vertical="center"/>
    </xf>
    <xf numFmtId="0" fontId="17" fillId="46" borderId="39" xfId="12" applyFont="1" applyFill="1" applyBorder="1" applyAlignment="1">
      <alignment horizontal="center" vertical="center"/>
    </xf>
    <xf numFmtId="0" fontId="17" fillId="46" borderId="40" xfId="12" applyFont="1" applyFill="1" applyBorder="1" applyAlignment="1">
      <alignment horizontal="center" vertical="center"/>
    </xf>
    <xf numFmtId="0" fontId="17" fillId="46" borderId="41" xfId="12" applyFont="1" applyFill="1" applyBorder="1" applyAlignment="1">
      <alignment horizontal="center" vertical="center" wrapText="1"/>
    </xf>
    <xf numFmtId="0" fontId="22" fillId="47" borderId="10" xfId="12" applyFont="1" applyFill="1" applyBorder="1" applyAlignment="1">
      <alignment horizontal="center" vertical="center"/>
    </xf>
    <xf numFmtId="0" fontId="22" fillId="47" borderId="26" xfId="12" applyFont="1" applyFill="1" applyBorder="1" applyAlignment="1">
      <alignment horizontal="center" vertical="center"/>
    </xf>
    <xf numFmtId="0" fontId="22" fillId="47" borderId="27" xfId="12" applyFont="1" applyFill="1" applyBorder="1" applyAlignment="1">
      <alignment horizontal="center" vertical="center"/>
    </xf>
    <xf numFmtId="0" fontId="19" fillId="47" borderId="27" xfId="12" applyFont="1" applyFill="1" applyBorder="1" applyAlignment="1">
      <alignment horizontal="center" vertical="center"/>
    </xf>
    <xf numFmtId="0" fontId="22" fillId="47" borderId="13" xfId="12" applyFont="1" applyFill="1" applyBorder="1" applyAlignment="1">
      <alignment horizontal="center" vertical="center" wrapText="1"/>
    </xf>
    <xf numFmtId="1" fontId="23" fillId="47" borderId="28" xfId="12" applyNumberFormat="1" applyFont="1" applyFill="1" applyBorder="1" applyAlignment="1">
      <alignment horizontal="center" vertical="center"/>
    </xf>
    <xf numFmtId="1" fontId="23" fillId="47" borderId="14" xfId="12" applyNumberFormat="1" applyFont="1" applyFill="1" applyBorder="1" applyAlignment="1">
      <alignment horizontal="center" vertical="center"/>
    </xf>
    <xf numFmtId="2" fontId="22" fillId="47" borderId="29" xfId="12" applyNumberFormat="1" applyFont="1" applyFill="1" applyBorder="1" applyAlignment="1">
      <alignment horizontal="center" vertical="center"/>
    </xf>
    <xf numFmtId="0" fontId="22" fillId="47" borderId="17" xfId="12" applyFont="1" applyFill="1" applyBorder="1" applyAlignment="1">
      <alignment horizontal="center" vertical="center" wrapText="1"/>
    </xf>
    <xf numFmtId="1" fontId="22" fillId="47" borderId="32" xfId="12" applyNumberFormat="1" applyFont="1" applyFill="1" applyBorder="1" applyAlignment="1">
      <alignment horizontal="center" vertical="center"/>
    </xf>
    <xf numFmtId="1" fontId="22" fillId="47" borderId="33" xfId="12" applyNumberFormat="1" applyFont="1" applyFill="1" applyBorder="1" applyAlignment="1">
      <alignment horizontal="center" vertical="center"/>
    </xf>
    <xf numFmtId="2" fontId="23" fillId="46" borderId="1" xfId="12" applyNumberFormat="1" applyFont="1" applyFill="1" applyBorder="1" applyAlignment="1">
      <alignment vertical="center" wrapText="1"/>
    </xf>
    <xf numFmtId="0" fontId="22" fillId="46" borderId="13" xfId="12" applyFont="1" applyFill="1" applyBorder="1" applyAlignment="1">
      <alignment horizontal="center" vertical="center"/>
    </xf>
    <xf numFmtId="0" fontId="17" fillId="0" borderId="0" xfId="12" applyFont="1" applyAlignment="1">
      <alignment horizontal="center" vertical="center" wrapText="1"/>
    </xf>
    <xf numFmtId="2" fontId="18" fillId="48" borderId="2" xfId="12" applyNumberFormat="1" applyFont="1" applyFill="1" applyBorder="1" applyAlignment="1">
      <alignment horizontal="center" vertical="center"/>
    </xf>
    <xf numFmtId="2" fontId="17" fillId="48" borderId="1" xfId="12" applyNumberFormat="1" applyFont="1" applyFill="1" applyBorder="1" applyAlignment="1">
      <alignment horizontal="center" vertical="center"/>
    </xf>
    <xf numFmtId="2" fontId="17" fillId="48" borderId="2" xfId="12" applyNumberFormat="1" applyFont="1" applyFill="1" applyBorder="1" applyAlignment="1">
      <alignment horizontal="center" vertical="center"/>
    </xf>
    <xf numFmtId="2" fontId="17" fillId="48" borderId="3" xfId="12" applyNumberFormat="1" applyFont="1" applyFill="1" applyBorder="1" applyAlignment="1">
      <alignment horizontal="center" vertical="center"/>
    </xf>
    <xf numFmtId="1" fontId="76" fillId="48" borderId="6" xfId="12" applyNumberFormat="1" applyFont="1" applyFill="1" applyBorder="1" applyAlignment="1">
      <alignment horizontal="center" vertical="center"/>
    </xf>
    <xf numFmtId="168" fontId="17" fillId="0" borderId="29" xfId="12" applyNumberFormat="1" applyFont="1" applyBorder="1" applyAlignment="1">
      <alignment horizontal="center" vertical="center"/>
    </xf>
    <xf numFmtId="2" fontId="19" fillId="8" borderId="29" xfId="12" applyNumberFormat="1" applyFont="1" applyFill="1" applyBorder="1" applyAlignment="1">
      <alignment horizontal="center" vertical="center"/>
    </xf>
    <xf numFmtId="2" fontId="58" fillId="0" borderId="15" xfId="0" applyNumberFormat="1" applyFont="1" applyBorder="1" applyAlignment="1">
      <alignment horizontal="center" vertical="center" wrapText="1"/>
    </xf>
    <xf numFmtId="2" fontId="58" fillId="0" borderId="13" xfId="0" applyNumberFormat="1" applyFont="1" applyBorder="1" applyAlignment="1">
      <alignment horizontal="center" wrapText="1"/>
    </xf>
    <xf numFmtId="2" fontId="58" fillId="0" borderId="50" xfId="0" applyNumberFormat="1" applyFont="1" applyBorder="1" applyAlignment="1">
      <alignment horizontal="center" vertical="center" wrapText="1"/>
    </xf>
    <xf numFmtId="2" fontId="58" fillId="0" borderId="21" xfId="0" applyNumberFormat="1" applyFont="1" applyBorder="1" applyAlignment="1">
      <alignment horizontal="center" wrapText="1"/>
    </xf>
    <xf numFmtId="171" fontId="58" fillId="0" borderId="15" xfId="0" applyNumberFormat="1" applyFont="1" applyBorder="1" applyAlignment="1">
      <alignment horizontal="center" vertical="center" wrapText="1"/>
    </xf>
    <xf numFmtId="171" fontId="58" fillId="0" borderId="21" xfId="0" applyNumberFormat="1" applyFont="1" applyBorder="1" applyAlignment="1">
      <alignment horizontal="center" wrapText="1"/>
    </xf>
    <xf numFmtId="0" fontId="62" fillId="0" borderId="6" xfId="0" applyFont="1" applyBorder="1" applyAlignment="1">
      <alignment horizontal="center" vertical="center" wrapText="1"/>
    </xf>
    <xf numFmtId="0" fontId="61" fillId="0" borderId="9" xfId="12" applyFont="1" applyBorder="1" applyAlignment="1">
      <alignment horizontal="center" vertical="center" wrapText="1"/>
    </xf>
    <xf numFmtId="0" fontId="61" fillId="0" borderId="15" xfId="12" applyFont="1" applyBorder="1" applyAlignment="1">
      <alignment horizontal="center" vertical="center" wrapText="1"/>
    </xf>
    <xf numFmtId="0" fontId="62" fillId="0" borderId="22" xfId="0" applyFont="1" applyBorder="1" applyAlignment="1">
      <alignment horizontal="center" vertical="center" wrapText="1"/>
    </xf>
    <xf numFmtId="0" fontId="61" fillId="0" borderId="6" xfId="12" applyFont="1" applyBorder="1" applyAlignment="1">
      <alignment horizontal="center" vertical="center" wrapText="1"/>
    </xf>
    <xf numFmtId="0" fontId="61" fillId="0" borderId="1" xfId="12" applyFont="1" applyBorder="1" applyAlignment="1">
      <alignment horizontal="center" vertical="center" wrapText="1"/>
    </xf>
    <xf numFmtId="0" fontId="61" fillId="0" borderId="4" xfId="12" applyFont="1" applyBorder="1" applyAlignment="1">
      <alignment horizontal="center" vertical="center" wrapText="1"/>
    </xf>
    <xf numFmtId="0" fontId="58" fillId="49" borderId="3" xfId="0" applyFont="1" applyFill="1" applyBorder="1" applyAlignment="1">
      <alignment horizontal="center" vertical="center" wrapText="1"/>
    </xf>
    <xf numFmtId="171" fontId="62" fillId="0" borderId="6" xfId="0" applyNumberFormat="1" applyFont="1" applyBorder="1"/>
    <xf numFmtId="171" fontId="61" fillId="0" borderId="0" xfId="12" applyNumberFormat="1" applyFont="1" applyAlignment="1">
      <alignment vertical="center"/>
    </xf>
    <xf numFmtId="0" fontId="14" fillId="0" borderId="0" xfId="0" applyFont="1"/>
    <xf numFmtId="0" fontId="0" fillId="0" borderId="30" xfId="0" applyBorder="1"/>
    <xf numFmtId="0" fontId="14" fillId="0" borderId="30" xfId="0" applyFont="1" applyBorder="1"/>
    <xf numFmtId="2" fontId="0" fillId="0" borderId="30" xfId="0" applyNumberFormat="1" applyBorder="1"/>
    <xf numFmtId="0" fontId="0" fillId="0" borderId="68" xfId="0" applyBorder="1"/>
    <xf numFmtId="0" fontId="14" fillId="0" borderId="68" xfId="0" applyFont="1" applyBorder="1"/>
    <xf numFmtId="2" fontId="0" fillId="0" borderId="68" xfId="0" applyNumberFormat="1" applyBorder="1"/>
    <xf numFmtId="0" fontId="0" fillId="0" borderId="26" xfId="0" applyBorder="1"/>
    <xf numFmtId="0" fontId="14" fillId="0" borderId="26" xfId="0" applyFont="1" applyBorder="1"/>
    <xf numFmtId="2" fontId="0" fillId="0" borderId="26" xfId="0" applyNumberFormat="1" applyBorder="1"/>
    <xf numFmtId="2" fontId="0" fillId="2" borderId="68" xfId="0" applyNumberFormat="1" applyFill="1" applyBorder="1"/>
    <xf numFmtId="2" fontId="0" fillId="2" borderId="26" xfId="0" applyNumberFormat="1" applyFill="1" applyBorder="1"/>
    <xf numFmtId="9" fontId="0" fillId="0" borderId="0" xfId="1" applyFont="1"/>
    <xf numFmtId="9" fontId="0" fillId="0" borderId="0" xfId="0" applyNumberFormat="1"/>
    <xf numFmtId="0" fontId="14" fillId="0" borderId="6" xfId="0" applyFont="1" applyBorder="1" applyAlignment="1">
      <alignment horizontal="center"/>
    </xf>
    <xf numFmtId="0" fontId="14" fillId="0" borderId="6" xfId="0" applyFont="1" applyBorder="1"/>
    <xf numFmtId="0" fontId="0" fillId="0" borderId="6" xfId="0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6" xfId="0" applyNumberFormat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/>
    </xf>
    <xf numFmtId="9" fontId="0" fillId="0" borderId="6" xfId="0" applyNumberFormat="1" applyBorder="1" applyAlignment="1">
      <alignment horizontal="center"/>
    </xf>
    <xf numFmtId="171" fontId="17" fillId="0" borderId="29" xfId="3" applyNumberFormat="1" applyFont="1" applyBorder="1" applyAlignment="1">
      <alignment horizontal="center" vertical="center"/>
    </xf>
    <xf numFmtId="0" fontId="13" fillId="0" borderId="38" xfId="0" applyFont="1" applyBorder="1" applyAlignment="1">
      <alignment horizontal="center"/>
    </xf>
    <xf numFmtId="2" fontId="17" fillId="0" borderId="42" xfId="12" applyNumberFormat="1" applyFont="1" applyBorder="1" applyAlignment="1">
      <alignment horizontal="center" vertical="center"/>
    </xf>
    <xf numFmtId="0" fontId="0" fillId="50" borderId="0" xfId="0" applyFill="1" applyProtection="1">
      <protection locked="0"/>
    </xf>
    <xf numFmtId="1" fontId="33" fillId="50" borderId="0" xfId="0" applyNumberFormat="1" applyFont="1" applyFill="1"/>
    <xf numFmtId="171" fontId="58" fillId="0" borderId="13" xfId="0" applyNumberFormat="1" applyFont="1" applyBorder="1" applyAlignment="1">
      <alignment horizontal="center" vertical="center" wrapText="1"/>
    </xf>
    <xf numFmtId="2" fontId="22" fillId="47" borderId="32" xfId="12" applyNumberFormat="1" applyFont="1" applyFill="1" applyBorder="1" applyAlignment="1">
      <alignment horizontal="center" vertical="center"/>
    </xf>
    <xf numFmtId="0" fontId="19" fillId="11" borderId="17" xfId="12" applyFont="1" applyFill="1" applyBorder="1" applyAlignment="1">
      <alignment horizontal="center" vertical="center" wrapText="1"/>
    </xf>
    <xf numFmtId="43" fontId="58" fillId="0" borderId="15" xfId="20" applyFont="1" applyBorder="1" applyAlignment="1">
      <alignment horizontal="center" vertical="center" wrapText="1"/>
    </xf>
    <xf numFmtId="171" fontId="58" fillId="0" borderId="35" xfId="0" applyNumberFormat="1" applyFont="1" applyBorder="1" applyAlignment="1">
      <alignment horizontal="center" wrapText="1"/>
    </xf>
    <xf numFmtId="0" fontId="12" fillId="0" borderId="0" xfId="0" applyFont="1"/>
    <xf numFmtId="173" fontId="0" fillId="0" borderId="28" xfId="0" applyNumberFormat="1" applyBorder="1"/>
    <xf numFmtId="173" fontId="0" fillId="0" borderId="14" xfId="0" applyNumberFormat="1" applyBorder="1"/>
    <xf numFmtId="0" fontId="12" fillId="0" borderId="56" xfId="0" applyFont="1" applyBorder="1"/>
    <xf numFmtId="173" fontId="0" fillId="0" borderId="30" xfId="0" applyNumberFormat="1" applyBorder="1"/>
    <xf numFmtId="0" fontId="0" fillId="0" borderId="149" xfId="0" applyBorder="1"/>
    <xf numFmtId="0" fontId="16" fillId="0" borderId="55" xfId="0" applyFont="1" applyBorder="1"/>
    <xf numFmtId="0" fontId="51" fillId="6" borderId="26" xfId="0" applyFont="1" applyFill="1" applyBorder="1" applyAlignment="1">
      <alignment horizontal="center"/>
    </xf>
    <xf numFmtId="0" fontId="51" fillId="6" borderId="54" xfId="0" applyFont="1" applyFill="1" applyBorder="1" applyAlignment="1">
      <alignment horizontal="center"/>
    </xf>
    <xf numFmtId="0" fontId="51" fillId="6" borderId="147" xfId="0" applyFont="1" applyFill="1" applyBorder="1" applyAlignment="1">
      <alignment horizontal="center"/>
    </xf>
    <xf numFmtId="0" fontId="16" fillId="0" borderId="55" xfId="0" applyFont="1" applyBorder="1" applyAlignment="1">
      <alignment horizontal="center"/>
    </xf>
    <xf numFmtId="173" fontId="0" fillId="0" borderId="28" xfId="0" applyNumberFormat="1" applyBorder="1" applyAlignment="1">
      <alignment horizontal="center"/>
    </xf>
    <xf numFmtId="173" fontId="0" fillId="0" borderId="14" xfId="0" applyNumberFormat="1" applyBorder="1" applyAlignment="1">
      <alignment horizontal="center"/>
    </xf>
    <xf numFmtId="0" fontId="12" fillId="0" borderId="56" xfId="0" applyFont="1" applyBorder="1" applyAlignment="1">
      <alignment horizontal="center"/>
    </xf>
    <xf numFmtId="173" fontId="0" fillId="0" borderId="30" xfId="0" applyNumberFormat="1" applyBorder="1" applyAlignment="1">
      <alignment horizontal="center"/>
    </xf>
    <xf numFmtId="0" fontId="12" fillId="0" borderId="54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147" xfId="0" applyFont="1" applyBorder="1" applyAlignment="1">
      <alignment horizontal="center"/>
    </xf>
    <xf numFmtId="0" fontId="12" fillId="0" borderId="138" xfId="0" applyFont="1" applyBorder="1"/>
    <xf numFmtId="173" fontId="0" fillId="0" borderId="68" xfId="0" applyNumberFormat="1" applyBorder="1"/>
    <xf numFmtId="173" fontId="0" fillId="0" borderId="148" xfId="0" applyNumberFormat="1" applyBorder="1"/>
    <xf numFmtId="0" fontId="16" fillId="48" borderId="28" xfId="0" applyFont="1" applyFill="1" applyBorder="1" applyAlignment="1">
      <alignment horizontal="center"/>
    </xf>
    <xf numFmtId="0" fontId="16" fillId="0" borderId="28" xfId="0" applyFont="1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0" fillId="0" borderId="149" xfId="0" applyBorder="1" applyAlignment="1">
      <alignment horizontal="center"/>
    </xf>
    <xf numFmtId="0" fontId="16" fillId="48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171" fontId="58" fillId="0" borderId="42" xfId="0" applyNumberFormat="1" applyFont="1" applyBorder="1" applyAlignment="1">
      <alignment horizontal="center" vertical="center" wrapText="1"/>
    </xf>
    <xf numFmtId="171" fontId="58" fillId="0" borderId="49" xfId="0" applyNumberFormat="1" applyFont="1" applyBorder="1" applyAlignment="1">
      <alignment horizontal="center" vertical="center" wrapText="1"/>
    </xf>
    <xf numFmtId="2" fontId="58" fillId="0" borderId="6" xfId="0" applyNumberFormat="1" applyFont="1" applyBorder="1" applyAlignment="1">
      <alignment horizontal="center" vertical="center" wrapText="1"/>
    </xf>
    <xf numFmtId="2" fontId="58" fillId="0" borderId="6" xfId="0" applyNumberFormat="1" applyFont="1" applyBorder="1" applyAlignment="1">
      <alignment horizontal="center" wrapText="1"/>
    </xf>
    <xf numFmtId="43" fontId="58" fillId="16" borderId="6" xfId="20" applyFont="1" applyFill="1" applyBorder="1" applyAlignment="1">
      <alignment horizontal="center" vertical="center" wrapText="1"/>
    </xf>
    <xf numFmtId="2" fontId="58" fillId="0" borderId="6" xfId="20" applyNumberFormat="1" applyFont="1" applyBorder="1" applyAlignment="1">
      <alignment horizontal="center" vertical="center" wrapText="1"/>
    </xf>
    <xf numFmtId="171" fontId="58" fillId="0" borderId="6" xfId="0" applyNumberFormat="1" applyFont="1" applyBorder="1" applyAlignment="1">
      <alignment horizontal="center" wrapText="1"/>
    </xf>
    <xf numFmtId="171" fontId="58" fillId="0" borderId="6" xfId="0" applyNumberFormat="1" applyFont="1" applyBorder="1" applyAlignment="1">
      <alignment horizontal="center" vertical="center" wrapText="1"/>
    </xf>
    <xf numFmtId="0" fontId="61" fillId="0" borderId="6" xfId="12" applyFont="1" applyBorder="1" applyAlignment="1">
      <alignment vertical="center"/>
    </xf>
    <xf numFmtId="1" fontId="17" fillId="2" borderId="28" xfId="12" applyNumberFormat="1" applyFont="1" applyFill="1" applyBorder="1" applyAlignment="1">
      <alignment horizontal="center" vertical="center" wrapText="1"/>
    </xf>
    <xf numFmtId="1" fontId="17" fillId="2" borderId="17" xfId="12" applyNumberFormat="1" applyFont="1" applyFill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47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52" borderId="6" xfId="0" applyFont="1" applyFill="1" applyBorder="1" applyAlignment="1">
      <alignment horizontal="center"/>
    </xf>
    <xf numFmtId="0" fontId="11" fillId="0" borderId="34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16" fillId="53" borderId="6" xfId="0" applyFont="1" applyFill="1" applyBorder="1" applyAlignment="1">
      <alignment horizontal="center"/>
    </xf>
    <xf numFmtId="0" fontId="16" fillId="53" borderId="31" xfId="0" applyFont="1" applyFill="1" applyBorder="1" applyAlignment="1">
      <alignment horizontal="center"/>
    </xf>
    <xf numFmtId="0" fontId="16" fillId="53" borderId="24" xfId="0" applyFont="1" applyFill="1" applyBorder="1" applyAlignment="1">
      <alignment horizontal="center"/>
    </xf>
    <xf numFmtId="0" fontId="16" fillId="53" borderId="25" xfId="0" applyFont="1" applyFill="1" applyBorder="1" applyAlignment="1">
      <alignment horizontal="center"/>
    </xf>
    <xf numFmtId="0" fontId="11" fillId="2" borderId="66" xfId="0" applyFont="1" applyFill="1" applyBorder="1"/>
    <xf numFmtId="0" fontId="11" fillId="2" borderId="40" xfId="0" applyFont="1" applyFill="1" applyBorder="1"/>
    <xf numFmtId="2" fontId="0" fillId="2" borderId="40" xfId="0" applyNumberFormat="1" applyFill="1" applyBorder="1" applyAlignment="1">
      <alignment horizontal="center"/>
    </xf>
    <xf numFmtId="173" fontId="0" fillId="2" borderId="40" xfId="0" applyNumberFormat="1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11" fillId="2" borderId="55" xfId="0" applyFont="1" applyFill="1" applyBorder="1"/>
    <xf numFmtId="0" fontId="11" fillId="2" borderId="28" xfId="0" applyFont="1" applyFill="1" applyBorder="1"/>
    <xf numFmtId="2" fontId="0" fillId="2" borderId="28" xfId="0" applyNumberFormat="1" applyFill="1" applyBorder="1" applyAlignment="1">
      <alignment horizontal="center"/>
    </xf>
    <xf numFmtId="173" fontId="0" fillId="2" borderId="28" xfId="0" applyNumberFormat="1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11" fillId="0" borderId="55" xfId="0" applyFont="1" applyBorder="1"/>
    <xf numFmtId="0" fontId="11" fillId="0" borderId="28" xfId="0" applyFont="1" applyBorder="1"/>
    <xf numFmtId="2" fontId="0" fillId="0" borderId="28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11" fillId="2" borderId="56" xfId="0" applyFont="1" applyFill="1" applyBorder="1"/>
    <xf numFmtId="0" fontId="11" fillId="2" borderId="30" xfId="0" applyFont="1" applyFill="1" applyBorder="1"/>
    <xf numFmtId="2" fontId="0" fillId="2" borderId="30" xfId="0" applyNumberFormat="1" applyFill="1" applyBorder="1" applyAlignment="1">
      <alignment horizontal="center"/>
    </xf>
    <xf numFmtId="173" fontId="0" fillId="2" borderId="30" xfId="0" applyNumberFormat="1" applyFill="1" applyBorder="1" applyAlignment="1">
      <alignment horizontal="center"/>
    </xf>
    <xf numFmtId="0" fontId="0" fillId="2" borderId="59" xfId="0" applyFill="1" applyBorder="1" applyAlignment="1">
      <alignment horizontal="center"/>
    </xf>
    <xf numFmtId="173" fontId="16" fillId="53" borderId="24" xfId="0" applyNumberFormat="1" applyFont="1" applyFill="1" applyBorder="1" applyAlignment="1">
      <alignment horizontal="center"/>
    </xf>
    <xf numFmtId="2" fontId="16" fillId="53" borderId="24" xfId="0" applyNumberFormat="1" applyFont="1" applyFill="1" applyBorder="1"/>
    <xf numFmtId="0" fontId="11" fillId="0" borderId="39" xfId="0" applyFont="1" applyBorder="1"/>
    <xf numFmtId="0" fontId="11" fillId="0" borderId="40" xfId="0" applyFont="1" applyBorder="1"/>
    <xf numFmtId="2" fontId="0" fillId="0" borderId="40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0" fontId="11" fillId="0" borderId="13" xfId="0" applyFont="1" applyBorder="1"/>
    <xf numFmtId="1" fontId="0" fillId="0" borderId="29" xfId="0" applyNumberFormat="1" applyBorder="1" applyAlignment="1">
      <alignment horizontal="center"/>
    </xf>
    <xf numFmtId="0" fontId="11" fillId="0" borderId="17" xfId="0" applyFont="1" applyBorder="1"/>
    <xf numFmtId="0" fontId="11" fillId="0" borderId="32" xfId="0" applyFont="1" applyBorder="1"/>
    <xf numFmtId="2" fontId="0" fillId="0" borderId="32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73" fontId="16" fillId="53" borderId="2" xfId="0" applyNumberFormat="1" applyFont="1" applyFill="1" applyBorder="1" applyAlignment="1">
      <alignment horizontal="center"/>
    </xf>
    <xf numFmtId="0" fontId="16" fillId="53" borderId="3" xfId="0" applyFont="1" applyFill="1" applyBorder="1" applyAlignment="1">
      <alignment horizontal="center"/>
    </xf>
    <xf numFmtId="2" fontId="0" fillId="0" borderId="28" xfId="0" applyNumberFormat="1" applyBorder="1"/>
    <xf numFmtId="0" fontId="11" fillId="0" borderId="21" xfId="0" applyFont="1" applyBorder="1"/>
    <xf numFmtId="0" fontId="11" fillId="0" borderId="30" xfId="0" applyFont="1" applyBorder="1"/>
    <xf numFmtId="2" fontId="11" fillId="0" borderId="30" xfId="0" applyNumberFormat="1" applyFont="1" applyBorder="1"/>
    <xf numFmtId="1" fontId="0" fillId="0" borderId="59" xfId="0" applyNumberFormat="1" applyBorder="1" applyAlignment="1">
      <alignment horizontal="center"/>
    </xf>
    <xf numFmtId="0" fontId="80" fillId="0" borderId="0" xfId="22" applyFont="1"/>
    <xf numFmtId="0" fontId="81" fillId="0" borderId="0" xfId="22" applyFont="1"/>
    <xf numFmtId="184" fontId="80" fillId="0" borderId="0" xfId="23" applyNumberFormat="1" applyFont="1"/>
    <xf numFmtId="0" fontId="79" fillId="0" borderId="0" xfId="22"/>
    <xf numFmtId="0" fontId="80" fillId="0" borderId="0" xfId="22" applyFont="1" applyAlignment="1">
      <alignment horizontal="center"/>
    </xf>
    <xf numFmtId="184" fontId="80" fillId="0" borderId="0" xfId="22" applyNumberFormat="1" applyFont="1"/>
    <xf numFmtId="184" fontId="80" fillId="5" borderId="0" xfId="23" applyNumberFormat="1" applyFont="1" applyFill="1"/>
    <xf numFmtId="49" fontId="41" fillId="51" borderId="152" xfId="21" applyNumberFormat="1" applyFont="1" applyBorder="1" applyAlignment="1">
      <alignment horizontal="center" vertical="center" wrapText="1"/>
    </xf>
    <xf numFmtId="184" fontId="41" fillId="51" borderId="152" xfId="21" applyNumberFormat="1" applyFont="1" applyBorder="1" applyAlignment="1">
      <alignment horizontal="center" vertical="center" wrapText="1"/>
    </xf>
    <xf numFmtId="0" fontId="79" fillId="0" borderId="0" xfId="22" applyAlignment="1">
      <alignment horizontal="center" vertical="center" wrapText="1"/>
    </xf>
    <xf numFmtId="0" fontId="79" fillId="0" borderId="28" xfId="22" applyBorder="1" applyAlignment="1">
      <alignment horizontal="center" vertical="center" wrapText="1"/>
    </xf>
    <xf numFmtId="0" fontId="82" fillId="5" borderId="28" xfId="22" applyFont="1" applyFill="1" applyBorder="1"/>
    <xf numFmtId="0" fontId="82" fillId="0" borderId="28" xfId="22" applyFont="1" applyBorder="1"/>
    <xf numFmtId="0" fontId="82" fillId="5" borderId="26" xfId="22" applyFont="1" applyFill="1" applyBorder="1"/>
    <xf numFmtId="184" fontId="83" fillId="0" borderId="26" xfId="23" applyNumberFormat="1" applyFont="1" applyFill="1" applyBorder="1"/>
    <xf numFmtId="184" fontId="83" fillId="5" borderId="26" xfId="23" applyNumberFormat="1" applyFont="1" applyFill="1" applyBorder="1"/>
    <xf numFmtId="184" fontId="83" fillId="45" borderId="26" xfId="23" applyNumberFormat="1" applyFont="1" applyFill="1" applyBorder="1"/>
    <xf numFmtId="184" fontId="80" fillId="5" borderId="26" xfId="23" applyNumberFormat="1" applyFont="1" applyFill="1" applyBorder="1"/>
    <xf numFmtId="184" fontId="79" fillId="54" borderId="26" xfId="23" applyNumberFormat="1" applyFont="1" applyFill="1" applyBorder="1"/>
    <xf numFmtId="184" fontId="80" fillId="0" borderId="26" xfId="23" applyNumberFormat="1" applyFont="1" applyBorder="1"/>
    <xf numFmtId="184" fontId="80" fillId="0" borderId="26" xfId="23" applyNumberFormat="1" applyFont="1" applyBorder="1" applyAlignment="1">
      <alignment horizontal="center"/>
    </xf>
    <xf numFmtId="184" fontId="81" fillId="0" borderId="26" xfId="22" applyNumberFormat="1" applyFont="1" applyBorder="1"/>
    <xf numFmtId="0" fontId="84" fillId="0" borderId="0" xfId="22" applyFont="1"/>
    <xf numFmtId="184" fontId="0" fillId="0" borderId="26" xfId="23" applyNumberFormat="1" applyFont="1" applyBorder="1"/>
    <xf numFmtId="184" fontId="85" fillId="0" borderId="28" xfId="23" applyNumberFormat="1" applyFont="1" applyFill="1" applyBorder="1"/>
    <xf numFmtId="184" fontId="85" fillId="0" borderId="26" xfId="23" applyNumberFormat="1" applyFont="1" applyFill="1" applyBorder="1"/>
    <xf numFmtId="184" fontId="83" fillId="0" borderId="28" xfId="23" applyNumberFormat="1" applyFont="1" applyFill="1" applyBorder="1"/>
    <xf numFmtId="184" fontId="80" fillId="5" borderId="28" xfId="23" applyNumberFormat="1" applyFont="1" applyFill="1" applyBorder="1"/>
    <xf numFmtId="184" fontId="80" fillId="54" borderId="26" xfId="23" applyNumberFormat="1" applyFont="1" applyFill="1" applyBorder="1"/>
    <xf numFmtId="184" fontId="80" fillId="0" borderId="28" xfId="23" applyNumberFormat="1" applyFont="1" applyFill="1" applyBorder="1"/>
    <xf numFmtId="184" fontId="80" fillId="0" borderId="26" xfId="23" applyNumberFormat="1" applyFont="1" applyFill="1" applyBorder="1"/>
    <xf numFmtId="184" fontId="86" fillId="5" borderId="28" xfId="23" applyNumberFormat="1" applyFont="1" applyFill="1" applyBorder="1"/>
    <xf numFmtId="184" fontId="86" fillId="5" borderId="26" xfId="23" applyNumberFormat="1" applyFont="1" applyFill="1" applyBorder="1"/>
    <xf numFmtId="184" fontId="79" fillId="0" borderId="0" xfId="22" applyNumberFormat="1"/>
    <xf numFmtId="9" fontId="0" fillId="0" borderId="0" xfId="24" applyFont="1"/>
    <xf numFmtId="184" fontId="83" fillId="5" borderId="28" xfId="23" applyNumberFormat="1" applyFont="1" applyFill="1" applyBorder="1"/>
    <xf numFmtId="184" fontId="31" fillId="5" borderId="28" xfId="23" applyNumberFormat="1" applyFont="1" applyFill="1" applyBorder="1"/>
    <xf numFmtId="184" fontId="31" fillId="5" borderId="26" xfId="23" applyNumberFormat="1" applyFont="1" applyFill="1" applyBorder="1"/>
    <xf numFmtId="184" fontId="80" fillId="5" borderId="28" xfId="23" applyNumberFormat="1" applyFont="1" applyFill="1" applyBorder="1" applyAlignment="1">
      <alignment horizontal="center"/>
    </xf>
    <xf numFmtId="184" fontId="80" fillId="5" borderId="26" xfId="23" applyNumberFormat="1" applyFont="1" applyFill="1" applyBorder="1" applyAlignment="1">
      <alignment horizontal="center"/>
    </xf>
    <xf numFmtId="184" fontId="31" fillId="5" borderId="28" xfId="23" applyNumberFormat="1" applyFont="1" applyFill="1" applyBorder="1" applyAlignment="1">
      <alignment horizontal="center" vertical="center"/>
    </xf>
    <xf numFmtId="184" fontId="31" fillId="5" borderId="26" xfId="23" applyNumberFormat="1" applyFont="1" applyFill="1" applyBorder="1" applyAlignment="1">
      <alignment horizontal="center" vertical="center"/>
    </xf>
    <xf numFmtId="0" fontId="81" fillId="5" borderId="28" xfId="22" applyFont="1" applyFill="1" applyBorder="1" applyAlignment="1">
      <alignment horizontal="left"/>
    </xf>
    <xf numFmtId="184" fontId="80" fillId="0" borderId="28" xfId="23" applyNumberFormat="1" applyFont="1" applyFill="1" applyBorder="1" applyAlignment="1">
      <alignment horizontal="right"/>
    </xf>
    <xf numFmtId="184" fontId="80" fillId="0" borderId="26" xfId="23" applyNumberFormat="1" applyFont="1" applyFill="1" applyBorder="1" applyAlignment="1">
      <alignment horizontal="right"/>
    </xf>
    <xf numFmtId="184" fontId="80" fillId="20" borderId="26" xfId="23" applyNumberFormat="1" applyFont="1" applyFill="1" applyBorder="1"/>
    <xf numFmtId="184" fontId="81" fillId="20" borderId="26" xfId="22" applyNumberFormat="1" applyFont="1" applyFill="1" applyBorder="1"/>
    <xf numFmtId="184" fontId="81" fillId="0" borderId="28" xfId="22" applyNumberFormat="1" applyFont="1" applyBorder="1"/>
    <xf numFmtId="184" fontId="80" fillId="55" borderId="26" xfId="23" applyNumberFormat="1" applyFont="1" applyFill="1" applyBorder="1"/>
    <xf numFmtId="0" fontId="87" fillId="0" borderId="0" xfId="22" applyFont="1"/>
    <xf numFmtId="0" fontId="81" fillId="5" borderId="0" xfId="22" applyFont="1" applyFill="1"/>
    <xf numFmtId="184" fontId="80" fillId="47" borderId="26" xfId="23" applyNumberFormat="1" applyFont="1" applyFill="1" applyBorder="1"/>
    <xf numFmtId="0" fontId="88" fillId="0" borderId="11" xfId="22" applyFont="1" applyBorder="1"/>
    <xf numFmtId="0" fontId="88" fillId="0" borderId="43" xfId="22" applyFont="1" applyBorder="1"/>
    <xf numFmtId="0" fontId="88" fillId="0" borderId="64" xfId="22" applyFont="1" applyBorder="1"/>
    <xf numFmtId="184" fontId="81" fillId="0" borderId="28" xfId="23" applyNumberFormat="1" applyFont="1" applyBorder="1"/>
    <xf numFmtId="184" fontId="87" fillId="0" borderId="0" xfId="22" applyNumberFormat="1" applyFont="1"/>
    <xf numFmtId="184" fontId="81" fillId="0" borderId="153" xfId="23" applyNumberFormat="1" applyFont="1" applyBorder="1"/>
    <xf numFmtId="184" fontId="81" fillId="0" borderId="68" xfId="23" applyNumberFormat="1" applyFont="1" applyBorder="1"/>
    <xf numFmtId="184" fontId="81" fillId="0" borderId="151" xfId="23" applyNumberFormat="1" applyFont="1" applyBorder="1"/>
    <xf numFmtId="184" fontId="80" fillId="46" borderId="26" xfId="23" applyNumberFormat="1" applyFont="1" applyFill="1" applyBorder="1"/>
    <xf numFmtId="0" fontId="80" fillId="5" borderId="0" xfId="22" applyFont="1" applyFill="1"/>
    <xf numFmtId="43" fontId="80" fillId="0" borderId="28" xfId="23" applyFont="1" applyBorder="1"/>
    <xf numFmtId="184" fontId="80" fillId="0" borderId="28" xfId="23" applyNumberFormat="1" applyFont="1" applyBorder="1"/>
    <xf numFmtId="184" fontId="81" fillId="0" borderId="26" xfId="23" applyNumberFormat="1" applyFont="1" applyBorder="1"/>
    <xf numFmtId="184" fontId="81" fillId="0" borderId="27" xfId="23" applyNumberFormat="1" applyFont="1" applyBorder="1"/>
    <xf numFmtId="184" fontId="81" fillId="0" borderId="30" xfId="23" applyNumberFormat="1" applyFont="1" applyBorder="1"/>
    <xf numFmtId="184" fontId="81" fillId="0" borderId="59" xfId="23" applyNumberFormat="1" applyFont="1" applyBorder="1"/>
    <xf numFmtId="0" fontId="82" fillId="5" borderId="14" xfId="22" applyFont="1" applyFill="1" applyBorder="1"/>
    <xf numFmtId="0" fontId="79" fillId="5" borderId="0" xfId="22" applyFill="1"/>
    <xf numFmtId="184" fontId="81" fillId="0" borderId="0" xfId="23" applyNumberFormat="1" applyFont="1" applyBorder="1"/>
    <xf numFmtId="184" fontId="87" fillId="5" borderId="0" xfId="22" applyNumberFormat="1" applyFont="1" applyFill="1"/>
    <xf numFmtId="0" fontId="87" fillId="5" borderId="0" xfId="22" applyFont="1" applyFill="1"/>
    <xf numFmtId="0" fontId="83" fillId="5" borderId="30" xfId="22" applyFont="1" applyFill="1" applyBorder="1"/>
    <xf numFmtId="0" fontId="82" fillId="5" borderId="30" xfId="22" applyFont="1" applyFill="1" applyBorder="1"/>
    <xf numFmtId="0" fontId="82" fillId="0" borderId="30" xfId="22" applyFont="1" applyBorder="1"/>
    <xf numFmtId="0" fontId="85" fillId="0" borderId="30" xfId="22" applyFont="1" applyBorder="1"/>
    <xf numFmtId="184" fontId="89" fillId="5" borderId="30" xfId="22" applyNumberFormat="1" applyFont="1" applyFill="1" applyBorder="1"/>
    <xf numFmtId="184" fontId="79" fillId="0" borderId="30" xfId="22" applyNumberFormat="1" applyBorder="1"/>
    <xf numFmtId="184" fontId="79" fillId="5" borderId="0" xfId="22" applyNumberFormat="1" applyFill="1"/>
    <xf numFmtId="0" fontId="80" fillId="5" borderId="0" xfId="22" applyFont="1" applyFill="1" applyAlignment="1">
      <alignment horizontal="center"/>
    </xf>
    <xf numFmtId="9" fontId="80" fillId="5" borderId="0" xfId="24" applyFont="1" applyFill="1"/>
    <xf numFmtId="184" fontId="80" fillId="5" borderId="0" xfId="22" applyNumberFormat="1" applyFont="1" applyFill="1"/>
    <xf numFmtId="43" fontId="80" fillId="0" borderId="0" xfId="23" applyFont="1"/>
    <xf numFmtId="43" fontId="80" fillId="5" borderId="0" xfId="23" applyFont="1" applyFill="1"/>
    <xf numFmtId="13" fontId="79" fillId="5" borderId="0" xfId="22" applyNumberFormat="1" applyFill="1"/>
    <xf numFmtId="9" fontId="80" fillId="0" borderId="0" xfId="24" applyFont="1"/>
    <xf numFmtId="0" fontId="61" fillId="0" borderId="9" xfId="12" applyFont="1" applyBorder="1" applyAlignment="1">
      <alignment horizontal="center" vertical="center"/>
    </xf>
    <xf numFmtId="171" fontId="58" fillId="0" borderId="9" xfId="0" applyNumberFormat="1" applyFont="1" applyBorder="1" applyAlignment="1">
      <alignment horizontal="center" vertical="center" wrapText="1"/>
    </xf>
    <xf numFmtId="0" fontId="0" fillId="0" borderId="15" xfId="0" applyBorder="1"/>
    <xf numFmtId="0" fontId="0" fillId="45" borderId="15" xfId="0" applyFill="1" applyBorder="1"/>
    <xf numFmtId="0" fontId="0" fillId="2" borderId="15" xfId="0" applyFill="1" applyBorder="1"/>
    <xf numFmtId="3" fontId="0" fillId="0" borderId="15" xfId="0" applyNumberFormat="1" applyBorder="1"/>
    <xf numFmtId="0" fontId="0" fillId="0" borderId="19" xfId="0" applyBorder="1"/>
    <xf numFmtId="3" fontId="0" fillId="0" borderId="19" xfId="0" applyNumberFormat="1" applyBorder="1"/>
    <xf numFmtId="0" fontId="0" fillId="0" borderId="34" xfId="0" applyBorder="1"/>
    <xf numFmtId="0" fontId="42" fillId="59" borderId="6" xfId="0" applyFont="1" applyFill="1" applyBorder="1" applyAlignment="1">
      <alignment horizontal="center"/>
    </xf>
    <xf numFmtId="0" fontId="42" fillId="0" borderId="6" xfId="0" applyFont="1" applyBorder="1" applyAlignment="1">
      <alignment horizontal="center"/>
    </xf>
    <xf numFmtId="0" fontId="42" fillId="34" borderId="6" xfId="0" applyFont="1" applyFill="1" applyBorder="1" applyAlignment="1">
      <alignment horizontal="center"/>
    </xf>
    <xf numFmtId="10" fontId="16" fillId="0" borderId="34" xfId="0" applyNumberFormat="1" applyFont="1" applyBorder="1"/>
    <xf numFmtId="10" fontId="16" fillId="0" borderId="15" xfId="0" applyNumberFormat="1" applyFont="1" applyBorder="1"/>
    <xf numFmtId="10" fontId="16" fillId="45" borderId="15" xfId="0" applyNumberFormat="1" applyFont="1" applyFill="1" applyBorder="1"/>
    <xf numFmtId="10" fontId="16" fillId="57" borderId="15" xfId="0" applyNumberFormat="1" applyFont="1" applyFill="1" applyBorder="1"/>
    <xf numFmtId="182" fontId="16" fillId="0" borderId="15" xfId="0" applyNumberFormat="1" applyFont="1" applyBorder="1"/>
    <xf numFmtId="182" fontId="16" fillId="2" borderId="15" xfId="0" applyNumberFormat="1" applyFont="1" applyFill="1" applyBorder="1"/>
    <xf numFmtId="182" fontId="16" fillId="58" borderId="15" xfId="0" applyNumberFormat="1" applyFont="1" applyFill="1" applyBorder="1"/>
    <xf numFmtId="0" fontId="16" fillId="0" borderId="15" xfId="0" applyFont="1" applyBorder="1"/>
    <xf numFmtId="10" fontId="16" fillId="0" borderId="19" xfId="0" applyNumberFormat="1" applyFont="1" applyBorder="1"/>
    <xf numFmtId="0" fontId="16" fillId="0" borderId="34" xfId="0" applyFont="1" applyBorder="1"/>
    <xf numFmtId="0" fontId="16" fillId="45" borderId="15" xfId="0" applyFont="1" applyFill="1" applyBorder="1"/>
    <xf numFmtId="0" fontId="16" fillId="2" borderId="15" xfId="0" applyFont="1" applyFill="1" applyBorder="1"/>
    <xf numFmtId="0" fontId="16" fillId="0" borderId="19" xfId="0" applyFont="1" applyBorder="1"/>
    <xf numFmtId="0" fontId="16" fillId="56" borderId="15" xfId="0" applyFont="1" applyFill="1" applyBorder="1"/>
    <xf numFmtId="0" fontId="42" fillId="6" borderId="15" xfId="0" applyFont="1" applyFill="1" applyBorder="1"/>
    <xf numFmtId="0" fontId="16" fillId="22" borderId="15" xfId="0" applyFont="1" applyFill="1" applyBorder="1"/>
    <xf numFmtId="0" fontId="16" fillId="58" borderId="15" xfId="0" applyFont="1" applyFill="1" applyBorder="1"/>
    <xf numFmtId="0" fontId="0" fillId="0" borderId="50" xfId="0" applyBorder="1"/>
    <xf numFmtId="0" fontId="0" fillId="0" borderId="155" xfId="0" applyBorder="1"/>
    <xf numFmtId="0" fontId="0" fillId="0" borderId="150" xfId="0" applyBorder="1"/>
    <xf numFmtId="3" fontId="91" fillId="0" borderId="0" xfId="0" applyNumberFormat="1" applyFont="1"/>
    <xf numFmtId="0" fontId="90" fillId="2" borderId="50" xfId="0" applyFont="1" applyFill="1" applyBorder="1"/>
    <xf numFmtId="0" fontId="0" fillId="0" borderId="38" xfId="0" applyBorder="1"/>
    <xf numFmtId="0" fontId="10" fillId="0" borderId="0" xfId="0" applyFont="1"/>
    <xf numFmtId="3" fontId="0" fillId="2" borderId="50" xfId="0" applyNumberFormat="1" applyFill="1" applyBorder="1"/>
    <xf numFmtId="0" fontId="0" fillId="2" borderId="50" xfId="0" applyFill="1" applyBorder="1"/>
    <xf numFmtId="0" fontId="0" fillId="2" borderId="155" xfId="0" applyFill="1" applyBorder="1"/>
    <xf numFmtId="0" fontId="0" fillId="2" borderId="150" xfId="0" applyFill="1" applyBorder="1"/>
    <xf numFmtId="10" fontId="16" fillId="2" borderId="19" xfId="0" applyNumberFormat="1" applyFont="1" applyFill="1" applyBorder="1"/>
    <xf numFmtId="0" fontId="90" fillId="0" borderId="50" xfId="0" applyFont="1" applyBorder="1"/>
    <xf numFmtId="3" fontId="0" fillId="0" borderId="50" xfId="0" applyNumberFormat="1" applyBorder="1"/>
    <xf numFmtId="10" fontId="90" fillId="0" borderId="155" xfId="0" applyNumberFormat="1" applyFont="1" applyBorder="1"/>
    <xf numFmtId="0" fontId="16" fillId="0" borderId="34" xfId="0" applyFont="1" applyBorder="1" applyAlignment="1">
      <alignment horizontal="center"/>
    </xf>
    <xf numFmtId="0" fontId="92" fillId="0" borderId="155" xfId="0" applyFont="1" applyBorder="1"/>
    <xf numFmtId="10" fontId="90" fillId="2" borderId="155" xfId="0" applyNumberFormat="1" applyFont="1" applyFill="1" applyBorder="1"/>
    <xf numFmtId="0" fontId="61" fillId="0" borderId="35" xfId="12" applyFont="1" applyBorder="1" applyAlignment="1">
      <alignment horizontal="center" vertical="center"/>
    </xf>
    <xf numFmtId="0" fontId="61" fillId="0" borderId="6" xfId="12" applyFont="1" applyBorder="1" applyAlignment="1">
      <alignment horizontal="center" vertical="center"/>
    </xf>
    <xf numFmtId="171" fontId="93" fillId="0" borderId="6" xfId="0" applyNumberFormat="1" applyFont="1" applyBorder="1" applyAlignment="1">
      <alignment horizontal="center" vertical="center" wrapText="1"/>
    </xf>
    <xf numFmtId="171" fontId="93" fillId="0" borderId="6" xfId="0" applyNumberFormat="1" applyFont="1" applyBorder="1" applyAlignment="1">
      <alignment horizontal="center" vertical="center"/>
    </xf>
    <xf numFmtId="0" fontId="61" fillId="0" borderId="6" xfId="12" applyFont="1" applyBorder="1" applyAlignment="1">
      <alignment vertical="center" wrapText="1"/>
    </xf>
    <xf numFmtId="2" fontId="61" fillId="0" borderId="6" xfId="12" applyNumberFormat="1" applyFont="1" applyBorder="1" applyAlignment="1">
      <alignment horizontal="center" vertical="center"/>
    </xf>
    <xf numFmtId="0" fontId="0" fillId="50" borderId="50" xfId="0" applyFill="1" applyBorder="1"/>
    <xf numFmtId="0" fontId="0" fillId="50" borderId="155" xfId="0" applyFill="1" applyBorder="1"/>
    <xf numFmtId="0" fontId="90" fillId="50" borderId="50" xfId="0" applyFont="1" applyFill="1" applyBorder="1"/>
    <xf numFmtId="0" fontId="0" fillId="50" borderId="150" xfId="0" applyFill="1" applyBorder="1"/>
    <xf numFmtId="10" fontId="90" fillId="50" borderId="155" xfId="0" applyNumberFormat="1" applyFont="1" applyFill="1" applyBorder="1"/>
    <xf numFmtId="0" fontId="42" fillId="0" borderId="35" xfId="0" applyFont="1" applyBorder="1" applyAlignment="1">
      <alignment horizontal="center"/>
    </xf>
    <xf numFmtId="0" fontId="16" fillId="0" borderId="154" xfId="0" applyFont="1" applyBorder="1"/>
    <xf numFmtId="0" fontId="16" fillId="2" borderId="154" xfId="0" applyFont="1" applyFill="1" applyBorder="1"/>
    <xf numFmtId="0" fontId="16" fillId="50" borderId="154" xfId="0" applyFont="1" applyFill="1" applyBorder="1"/>
    <xf numFmtId="0" fontId="16" fillId="6" borderId="0" xfId="0" applyFont="1" applyFill="1"/>
    <xf numFmtId="0" fontId="0" fillId="0" borderId="154" xfId="0" applyBorder="1"/>
    <xf numFmtId="0" fontId="95" fillId="0" borderId="0" xfId="22" applyFont="1"/>
    <xf numFmtId="49" fontId="96" fillId="0" borderId="6" xfId="0" applyNumberFormat="1" applyFont="1" applyBorder="1" applyAlignment="1">
      <alignment horizontal="center" wrapText="1"/>
    </xf>
    <xf numFmtId="0" fontId="97" fillId="0" borderId="47" xfId="0" applyFont="1" applyBorder="1" applyAlignment="1">
      <alignment horizontal="left"/>
    </xf>
    <xf numFmtId="185" fontId="97" fillId="0" borderId="47" xfId="0" applyNumberFormat="1" applyFont="1" applyBorder="1" applyAlignment="1">
      <alignment horizontal="center"/>
    </xf>
    <xf numFmtId="0" fontId="97" fillId="0" borderId="50" xfId="0" applyFont="1" applyBorder="1" applyAlignment="1">
      <alignment horizontal="left"/>
    </xf>
    <xf numFmtId="185" fontId="97" fillId="0" borderId="50" xfId="0" applyNumberFormat="1" applyFont="1" applyBorder="1" applyAlignment="1">
      <alignment horizontal="center"/>
    </xf>
    <xf numFmtId="185" fontId="97" fillId="0" borderId="47" xfId="0" applyNumberFormat="1" applyFont="1" applyBorder="1" applyAlignment="1">
      <alignment horizontal="center" vertical="center"/>
    </xf>
    <xf numFmtId="185" fontId="97" fillId="0" borderId="19" xfId="0" applyNumberFormat="1" applyFont="1" applyBorder="1" applyAlignment="1">
      <alignment horizontal="center" vertical="center"/>
    </xf>
    <xf numFmtId="0" fontId="97" fillId="0" borderId="34" xfId="0" applyFont="1" applyBorder="1" applyAlignment="1">
      <alignment horizontal="left"/>
    </xf>
    <xf numFmtId="185" fontId="97" fillId="0" borderId="34" xfId="0" applyNumberFormat="1" applyFont="1" applyBorder="1" applyAlignment="1">
      <alignment horizontal="center"/>
    </xf>
    <xf numFmtId="0" fontId="97" fillId="0" borderId="15" xfId="0" applyFont="1" applyBorder="1" applyAlignment="1">
      <alignment horizontal="left"/>
    </xf>
    <xf numFmtId="185" fontId="97" fillId="0" borderId="15" xfId="0" applyNumberFormat="1" applyFont="1" applyBorder="1" applyAlignment="1">
      <alignment horizontal="center"/>
    </xf>
    <xf numFmtId="185" fontId="97" fillId="0" borderId="19" xfId="0" applyNumberFormat="1" applyFont="1" applyBorder="1" applyAlignment="1">
      <alignment horizontal="center"/>
    </xf>
    <xf numFmtId="0" fontId="97" fillId="0" borderId="19" xfId="0" applyFont="1" applyBorder="1" applyAlignment="1">
      <alignment horizontal="left"/>
    </xf>
    <xf numFmtId="1" fontId="16" fillId="53" borderId="25" xfId="0" applyNumberFormat="1" applyFont="1" applyFill="1" applyBorder="1" applyAlignment="1">
      <alignment horizontal="center"/>
    </xf>
    <xf numFmtId="0" fontId="16" fillId="0" borderId="6" xfId="0" applyFont="1" applyBorder="1"/>
    <xf numFmtId="0" fontId="16" fillId="34" borderId="0" xfId="0" applyFont="1" applyFill="1"/>
    <xf numFmtId="167" fontId="75" fillId="0" borderId="0" xfId="12" applyNumberFormat="1" applyFont="1" applyAlignment="1">
      <alignment horizontal="center" vertical="center"/>
    </xf>
    <xf numFmtId="167" fontId="25" fillId="0" borderId="0" xfId="12" applyNumberFormat="1" applyFont="1" applyAlignment="1">
      <alignment horizontal="center" vertical="center"/>
    </xf>
    <xf numFmtId="0" fontId="9" fillId="0" borderId="6" xfId="0" applyFont="1" applyBorder="1" applyAlignment="1">
      <alignment horizontal="center"/>
    </xf>
    <xf numFmtId="0" fontId="9" fillId="34" borderId="6" xfId="0" applyFont="1" applyFill="1" applyBorder="1" applyAlignment="1">
      <alignment horizontal="center"/>
    </xf>
    <xf numFmtId="0" fontId="0" fillId="34" borderId="6" xfId="0" applyFill="1" applyBorder="1" applyAlignment="1">
      <alignment horizontal="center"/>
    </xf>
    <xf numFmtId="14" fontId="0" fillId="34" borderId="6" xfId="0" applyNumberFormat="1" applyFill="1" applyBorder="1"/>
    <xf numFmtId="0" fontId="9" fillId="2" borderId="6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98" fillId="0" borderId="6" xfId="0" applyFont="1" applyBorder="1" applyAlignment="1">
      <alignment horizontal="center" vertical="center" wrapText="1"/>
    </xf>
    <xf numFmtId="0" fontId="98" fillId="0" borderId="6" xfId="0" applyFont="1" applyBorder="1" applyAlignment="1">
      <alignment horizontal="center" vertical="top" wrapText="1"/>
    </xf>
    <xf numFmtId="167" fontId="58" fillId="0" borderId="6" xfId="0" applyNumberFormat="1" applyFont="1" applyBorder="1" applyAlignment="1">
      <alignment horizontal="center" vertical="center" wrapText="1"/>
    </xf>
    <xf numFmtId="2" fontId="58" fillId="0" borderId="9" xfId="0" applyNumberFormat="1" applyFont="1" applyBorder="1" applyAlignment="1">
      <alignment horizontal="center" vertical="center" wrapText="1"/>
    </xf>
    <xf numFmtId="171" fontId="18" fillId="5" borderId="47" xfId="12" applyNumberFormat="1" applyFont="1" applyFill="1" applyBorder="1" applyAlignment="1">
      <alignment horizontal="center" vertical="center"/>
    </xf>
    <xf numFmtId="171" fontId="18" fillId="5" borderId="19" xfId="12" applyNumberFormat="1" applyFont="1" applyFill="1" applyBorder="1" applyAlignment="1">
      <alignment horizontal="center" vertical="center"/>
    </xf>
    <xf numFmtId="171" fontId="18" fillId="60" borderId="39" xfId="12" applyNumberFormat="1" applyFont="1" applyFill="1" applyBorder="1" applyAlignment="1">
      <alignment horizontal="center" vertical="center"/>
    </xf>
    <xf numFmtId="171" fontId="18" fillId="60" borderId="66" xfId="12" applyNumberFormat="1" applyFont="1" applyFill="1" applyBorder="1" applyAlignment="1">
      <alignment horizontal="center" vertical="center"/>
    </xf>
    <xf numFmtId="171" fontId="18" fillId="60" borderId="41" xfId="12" applyNumberFormat="1" applyFont="1" applyFill="1" applyBorder="1" applyAlignment="1">
      <alignment horizontal="center" vertical="center"/>
    </xf>
    <xf numFmtId="0" fontId="18" fillId="60" borderId="1" xfId="12" applyFont="1" applyFill="1" applyBorder="1" applyAlignment="1">
      <alignment horizontal="center" vertical="center"/>
    </xf>
    <xf numFmtId="0" fontId="18" fillId="60" borderId="2" xfId="12" applyFont="1" applyFill="1" applyBorder="1" applyAlignment="1">
      <alignment horizontal="center" vertical="center"/>
    </xf>
    <xf numFmtId="0" fontId="20" fillId="60" borderId="6" xfId="12" applyFont="1" applyFill="1" applyBorder="1" applyAlignment="1">
      <alignment horizontal="center" vertical="center"/>
    </xf>
    <xf numFmtId="0" fontId="18" fillId="60" borderId="6" xfId="12" applyFont="1" applyFill="1" applyBorder="1" applyAlignment="1">
      <alignment horizontal="center" vertical="center"/>
    </xf>
    <xf numFmtId="2" fontId="18" fillId="39" borderId="9" xfId="12" applyNumberFormat="1" applyFont="1" applyFill="1" applyBorder="1" applyAlignment="1">
      <alignment horizontal="center" vertical="center"/>
    </xf>
    <xf numFmtId="2" fontId="18" fillId="39" borderId="5" xfId="9" applyNumberFormat="1" applyFont="1" applyFill="1" applyBorder="1" applyAlignment="1">
      <alignment horizontal="center" vertical="center"/>
    </xf>
    <xf numFmtId="0" fontId="18" fillId="39" borderId="9" xfId="12" applyFont="1" applyFill="1" applyBorder="1" applyAlignment="1">
      <alignment horizontal="center" vertical="center"/>
    </xf>
    <xf numFmtId="0" fontId="18" fillId="39" borderId="6" xfId="12" applyFont="1" applyFill="1" applyBorder="1" applyAlignment="1">
      <alignment horizontal="center" vertical="center"/>
    </xf>
    <xf numFmtId="0" fontId="20" fillId="39" borderId="3" xfId="12" applyFont="1" applyFill="1" applyBorder="1" applyAlignment="1">
      <alignment horizontal="center" vertical="center"/>
    </xf>
    <xf numFmtId="0" fontId="20" fillId="39" borderId="6" xfId="12" applyFont="1" applyFill="1" applyBorder="1" applyAlignment="1">
      <alignment horizontal="center" vertical="center"/>
    </xf>
    <xf numFmtId="1" fontId="76" fillId="39" borderId="6" xfId="12" applyNumberFormat="1" applyFont="1" applyFill="1" applyBorder="1" applyAlignment="1">
      <alignment horizontal="center" vertical="center"/>
    </xf>
    <xf numFmtId="2" fontId="17" fillId="39" borderId="1" xfId="12" applyNumberFormat="1" applyFont="1" applyFill="1" applyBorder="1" applyAlignment="1">
      <alignment horizontal="center" vertical="center"/>
    </xf>
    <xf numFmtId="2" fontId="17" fillId="39" borderId="2" xfId="12" applyNumberFormat="1" applyFont="1" applyFill="1" applyBorder="1" applyAlignment="1">
      <alignment horizontal="center" vertical="center"/>
    </xf>
    <xf numFmtId="2" fontId="18" fillId="39" borderId="2" xfId="12" applyNumberFormat="1" applyFont="1" applyFill="1" applyBorder="1" applyAlignment="1">
      <alignment horizontal="center" vertical="center"/>
    </xf>
    <xf numFmtId="2" fontId="17" fillId="39" borderId="3" xfId="12" applyNumberFormat="1" applyFont="1" applyFill="1" applyBorder="1" applyAlignment="1">
      <alignment horizontal="center" vertical="center"/>
    </xf>
    <xf numFmtId="0" fontId="17" fillId="39" borderId="39" xfId="12" applyFont="1" applyFill="1" applyBorder="1" applyAlignment="1">
      <alignment horizontal="center" vertical="center"/>
    </xf>
    <xf numFmtId="0" fontId="17" fillId="39" borderId="40" xfId="12" applyFont="1" applyFill="1" applyBorder="1" applyAlignment="1">
      <alignment horizontal="center" vertical="center"/>
    </xf>
    <xf numFmtId="0" fontId="17" fillId="39" borderId="41" xfId="12" applyFont="1" applyFill="1" applyBorder="1" applyAlignment="1">
      <alignment horizontal="center" vertical="center" wrapText="1"/>
    </xf>
    <xf numFmtId="0" fontId="22" fillId="39" borderId="13" xfId="12" applyFont="1" applyFill="1" applyBorder="1" applyAlignment="1">
      <alignment horizontal="center" vertical="center"/>
    </xf>
    <xf numFmtId="0" fontId="22" fillId="49" borderId="10" xfId="12" applyFont="1" applyFill="1" applyBorder="1" applyAlignment="1">
      <alignment horizontal="center" vertical="center"/>
    </xf>
    <xf numFmtId="0" fontId="22" fillId="49" borderId="26" xfId="12" applyFont="1" applyFill="1" applyBorder="1" applyAlignment="1">
      <alignment horizontal="center" vertical="center"/>
    </xf>
    <xf numFmtId="0" fontId="22" fillId="49" borderId="27" xfId="12" applyFont="1" applyFill="1" applyBorder="1" applyAlignment="1">
      <alignment horizontal="center" vertical="center"/>
    </xf>
    <xf numFmtId="0" fontId="19" fillId="49" borderId="27" xfId="12" applyFont="1" applyFill="1" applyBorder="1" applyAlignment="1">
      <alignment horizontal="center" vertical="center"/>
    </xf>
    <xf numFmtId="0" fontId="22" fillId="49" borderId="13" xfId="12" applyFont="1" applyFill="1" applyBorder="1" applyAlignment="1">
      <alignment horizontal="center" vertical="center" wrapText="1"/>
    </xf>
    <xf numFmtId="1" fontId="22" fillId="49" borderId="28" xfId="12" applyNumberFormat="1" applyFont="1" applyFill="1" applyBorder="1" applyAlignment="1">
      <alignment horizontal="center" vertical="center"/>
    </xf>
    <xf numFmtId="1" fontId="23" fillId="49" borderId="28" xfId="12" applyNumberFormat="1" applyFont="1" applyFill="1" applyBorder="1" applyAlignment="1">
      <alignment horizontal="center" vertical="center"/>
    </xf>
    <xf numFmtId="1" fontId="23" fillId="49" borderId="14" xfId="12" applyNumberFormat="1" applyFont="1" applyFill="1" applyBorder="1" applyAlignment="1">
      <alignment horizontal="center" vertical="center"/>
    </xf>
    <xf numFmtId="2" fontId="22" fillId="49" borderId="29" xfId="12" applyNumberFormat="1" applyFont="1" applyFill="1" applyBorder="1" applyAlignment="1">
      <alignment horizontal="center" vertical="center"/>
    </xf>
    <xf numFmtId="0" fontId="22" fillId="49" borderId="17" xfId="12" applyFont="1" applyFill="1" applyBorder="1" applyAlignment="1">
      <alignment horizontal="center" vertical="center" wrapText="1"/>
    </xf>
    <xf numFmtId="2" fontId="22" fillId="49" borderId="32" xfId="12" applyNumberFormat="1" applyFont="1" applyFill="1" applyBorder="1" applyAlignment="1">
      <alignment horizontal="center" vertical="center"/>
    </xf>
    <xf numFmtId="1" fontId="22" fillId="49" borderId="32" xfId="12" applyNumberFormat="1" applyFont="1" applyFill="1" applyBorder="1" applyAlignment="1">
      <alignment horizontal="center" vertical="center"/>
    </xf>
    <xf numFmtId="1" fontId="22" fillId="49" borderId="33" xfId="12" applyNumberFormat="1" applyFont="1" applyFill="1" applyBorder="1" applyAlignment="1">
      <alignment horizontal="center" vertical="center"/>
    </xf>
    <xf numFmtId="2" fontId="18" fillId="39" borderId="1" xfId="12" applyNumberFormat="1" applyFont="1" applyFill="1" applyBorder="1" applyAlignment="1">
      <alignment vertical="center" wrapText="1"/>
    </xf>
    <xf numFmtId="1" fontId="22" fillId="54" borderId="28" xfId="12" applyNumberFormat="1" applyFont="1" applyFill="1" applyBorder="1" applyAlignment="1">
      <alignment horizontal="center" vertical="center"/>
    </xf>
    <xf numFmtId="1" fontId="23" fillId="54" borderId="28" xfId="12" applyNumberFormat="1" applyFont="1" applyFill="1" applyBorder="1" applyAlignment="1">
      <alignment horizontal="center" vertical="center"/>
    </xf>
    <xf numFmtId="1" fontId="23" fillId="54" borderId="14" xfId="12" applyNumberFormat="1" applyFont="1" applyFill="1" applyBorder="1" applyAlignment="1">
      <alignment horizontal="center" vertical="center"/>
    </xf>
    <xf numFmtId="2" fontId="22" fillId="54" borderId="29" xfId="12" applyNumberFormat="1" applyFont="1" applyFill="1" applyBorder="1" applyAlignment="1">
      <alignment horizontal="center" vertical="center"/>
    </xf>
    <xf numFmtId="1" fontId="22" fillId="54" borderId="32" xfId="12" applyNumberFormat="1" applyFont="1" applyFill="1" applyBorder="1" applyAlignment="1">
      <alignment horizontal="center" vertical="center"/>
    </xf>
    <xf numFmtId="1" fontId="22" fillId="54" borderId="33" xfId="12" applyNumberFormat="1" applyFont="1" applyFill="1" applyBorder="1" applyAlignment="1">
      <alignment horizontal="center" vertical="center"/>
    </xf>
    <xf numFmtId="2" fontId="23" fillId="50" borderId="1" xfId="12" applyNumberFormat="1" applyFont="1" applyFill="1" applyBorder="1" applyAlignment="1">
      <alignment vertical="center" wrapText="1"/>
    </xf>
    <xf numFmtId="0" fontId="18" fillId="50" borderId="1" xfId="12" applyFont="1" applyFill="1" applyBorder="1" applyAlignment="1">
      <alignment horizontal="center" vertical="center"/>
    </xf>
    <xf numFmtId="0" fontId="20" fillId="50" borderId="6" xfId="12" applyFont="1" applyFill="1" applyBorder="1" applyAlignment="1">
      <alignment horizontal="center" vertical="center"/>
    </xf>
    <xf numFmtId="2" fontId="18" fillId="50" borderId="9" xfId="12" applyNumberFormat="1" applyFont="1" applyFill="1" applyBorder="1" applyAlignment="1">
      <alignment horizontal="center" vertical="center"/>
    </xf>
    <xf numFmtId="2" fontId="18" fillId="50" borderId="6" xfId="9" applyNumberFormat="1" applyFont="1" applyFill="1" applyBorder="1" applyAlignment="1">
      <alignment horizontal="center" vertical="center"/>
    </xf>
    <xf numFmtId="2" fontId="18" fillId="50" borderId="3" xfId="9" applyNumberFormat="1" applyFont="1" applyFill="1" applyBorder="1" applyAlignment="1">
      <alignment horizontal="center" vertical="center"/>
    </xf>
    <xf numFmtId="2" fontId="18" fillId="50" borderId="9" xfId="9" applyNumberFormat="1" applyFont="1" applyFill="1" applyBorder="1" applyAlignment="1">
      <alignment horizontal="center" vertical="center"/>
    </xf>
    <xf numFmtId="0" fontId="18" fillId="50" borderId="5" xfId="12" applyFont="1" applyFill="1" applyBorder="1" applyAlignment="1">
      <alignment horizontal="center" vertical="center"/>
    </xf>
    <xf numFmtId="1" fontId="17" fillId="0" borderId="59" xfId="12" applyNumberFormat="1" applyFont="1" applyBorder="1" applyAlignment="1">
      <alignment horizontal="center" vertical="center"/>
    </xf>
    <xf numFmtId="0" fontId="17" fillId="0" borderId="7" xfId="12" applyFont="1" applyBorder="1" applyAlignment="1">
      <alignment horizontal="center" vertical="center"/>
    </xf>
    <xf numFmtId="0" fontId="17" fillId="0" borderId="45" xfId="12" applyFont="1" applyBorder="1" applyAlignment="1">
      <alignment horizontal="center" vertical="center"/>
    </xf>
    <xf numFmtId="0" fontId="23" fillId="54" borderId="10" xfId="12" applyFont="1" applyFill="1" applyBorder="1" applyAlignment="1">
      <alignment horizontal="center" vertical="center"/>
    </xf>
    <xf numFmtId="0" fontId="23" fillId="54" borderId="26" xfId="12" applyFont="1" applyFill="1" applyBorder="1" applyAlignment="1">
      <alignment horizontal="center" vertical="center"/>
    </xf>
    <xf numFmtId="0" fontId="23" fillId="54" borderId="27" xfId="12" applyFont="1" applyFill="1" applyBorder="1" applyAlignment="1">
      <alignment horizontal="center" vertical="center"/>
    </xf>
    <xf numFmtId="0" fontId="23" fillId="50" borderId="13" xfId="12" applyFont="1" applyFill="1" applyBorder="1" applyAlignment="1">
      <alignment horizontal="center" vertical="center"/>
    </xf>
    <xf numFmtId="0" fontId="23" fillId="54" borderId="13" xfId="12" applyFont="1" applyFill="1" applyBorder="1" applyAlignment="1">
      <alignment horizontal="center" vertical="center" wrapText="1"/>
    </xf>
    <xf numFmtId="0" fontId="23" fillId="54" borderId="17" xfId="12" applyFont="1" applyFill="1" applyBorder="1" applyAlignment="1">
      <alignment horizontal="center" vertical="center" wrapText="1"/>
    </xf>
    <xf numFmtId="3" fontId="16" fillId="0" borderId="50" xfId="0" applyNumberFormat="1" applyFont="1" applyBorder="1"/>
    <xf numFmtId="0" fontId="16" fillId="0" borderId="50" xfId="0" applyFont="1" applyBorder="1"/>
    <xf numFmtId="0" fontId="16" fillId="0" borderId="155" xfId="0" applyFont="1" applyBorder="1"/>
    <xf numFmtId="0" fontId="16" fillId="0" borderId="150" xfId="0" applyFont="1" applyBorder="1"/>
    <xf numFmtId="10" fontId="16" fillId="0" borderId="155" xfId="0" applyNumberFormat="1" applyFont="1" applyBorder="1"/>
    <xf numFmtId="0" fontId="16" fillId="2" borderId="50" xfId="0" applyFont="1" applyFill="1" applyBorder="1"/>
    <xf numFmtId="0" fontId="0" fillId="2" borderId="154" xfId="0" applyFill="1" applyBorder="1"/>
    <xf numFmtId="10" fontId="16" fillId="2" borderId="155" xfId="0" applyNumberFormat="1" applyFont="1" applyFill="1" applyBorder="1"/>
    <xf numFmtId="0" fontId="7" fillId="0" borderId="0" xfId="0" applyFont="1"/>
    <xf numFmtId="1" fontId="19" fillId="47" borderId="28" xfId="12" applyNumberFormat="1" applyFont="1" applyFill="1" applyBorder="1" applyAlignment="1">
      <alignment horizontal="center" vertical="center"/>
    </xf>
    <xf numFmtId="0" fontId="6" fillId="2" borderId="0" xfId="0" applyFont="1" applyFill="1" applyProtection="1">
      <protection locked="0"/>
    </xf>
    <xf numFmtId="0" fontId="16" fillId="46" borderId="154" xfId="0" applyFont="1" applyFill="1" applyBorder="1"/>
    <xf numFmtId="0" fontId="90" fillId="46" borderId="50" xfId="0" applyFont="1" applyFill="1" applyBorder="1"/>
    <xf numFmtId="0" fontId="16" fillId="2" borderId="155" xfId="0" applyFont="1" applyFill="1" applyBorder="1"/>
    <xf numFmtId="0" fontId="16" fillId="2" borderId="150" xfId="0" applyFont="1" applyFill="1" applyBorder="1"/>
    <xf numFmtId="168" fontId="18" fillId="5" borderId="28" xfId="12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186" fontId="17" fillId="0" borderId="0" xfId="12" applyNumberFormat="1" applyFont="1" applyAlignment="1">
      <alignment horizontal="center" vertical="center"/>
    </xf>
    <xf numFmtId="0" fontId="4" fillId="0" borderId="0" xfId="0" applyFont="1"/>
    <xf numFmtId="0" fontId="16" fillId="2" borderId="0" xfId="0" applyFont="1" applyFill="1"/>
    <xf numFmtId="173" fontId="0" fillId="0" borderId="0" xfId="0" applyNumberFormat="1" applyAlignment="1">
      <alignment horizontal="center"/>
    </xf>
    <xf numFmtId="0" fontId="16" fillId="38" borderId="154" xfId="0" applyFont="1" applyFill="1" applyBorder="1"/>
    <xf numFmtId="0" fontId="0" fillId="0" borderId="44" xfId="0" applyBorder="1"/>
    <xf numFmtId="0" fontId="90" fillId="0" borderId="15" xfId="0" applyFont="1" applyBorder="1"/>
    <xf numFmtId="0" fontId="0" fillId="0" borderId="49" xfId="0" applyBorder="1"/>
    <xf numFmtId="0" fontId="16" fillId="0" borderId="16" xfId="0" applyFont="1" applyBorder="1"/>
    <xf numFmtId="0" fontId="3" fillId="0" borderId="6" xfId="0" applyFont="1" applyBorder="1" applyAlignment="1">
      <alignment horizontal="center"/>
    </xf>
    <xf numFmtId="3" fontId="90" fillId="0" borderId="50" xfId="0" applyNumberFormat="1" applyFont="1" applyBorder="1"/>
    <xf numFmtId="3" fontId="0" fillId="0" borderId="150" xfId="0" applyNumberFormat="1" applyBorder="1"/>
    <xf numFmtId="0" fontId="22" fillId="49" borderId="1" xfId="12" applyFont="1" applyFill="1" applyBorder="1" applyAlignment="1">
      <alignment horizontal="center" vertical="center"/>
    </xf>
    <xf numFmtId="0" fontId="22" fillId="49" borderId="2" xfId="12" applyFont="1" applyFill="1" applyBorder="1" applyAlignment="1">
      <alignment horizontal="center" vertical="center"/>
    </xf>
    <xf numFmtId="0" fontId="22" fillId="49" borderId="3" xfId="12" applyFont="1" applyFill="1" applyBorder="1" applyAlignment="1">
      <alignment horizontal="center" vertical="center"/>
    </xf>
    <xf numFmtId="1" fontId="99" fillId="39" borderId="2" xfId="12" applyNumberFormat="1" applyFont="1" applyFill="1" applyBorder="1" applyAlignment="1">
      <alignment horizontal="center" vertical="center"/>
    </xf>
    <xf numFmtId="1" fontId="99" fillId="39" borderId="3" xfId="12" applyNumberFormat="1" applyFont="1" applyFill="1" applyBorder="1" applyAlignment="1">
      <alignment horizontal="center" vertical="center"/>
    </xf>
    <xf numFmtId="2" fontId="18" fillId="5" borderId="0" xfId="12" applyNumberFormat="1" applyFont="1" applyFill="1" applyAlignment="1">
      <alignment horizontal="center" vertical="center"/>
    </xf>
    <xf numFmtId="0" fontId="18" fillId="0" borderId="13" xfId="12" applyFont="1" applyBorder="1" applyAlignment="1">
      <alignment horizontal="center" vertical="center"/>
    </xf>
    <xf numFmtId="0" fontId="18" fillId="0" borderId="14" xfId="12" applyFont="1" applyBorder="1" applyAlignment="1">
      <alignment horizontal="center" vertical="center"/>
    </xf>
    <xf numFmtId="0" fontId="18" fillId="0" borderId="17" xfId="12" applyFont="1" applyBorder="1" applyAlignment="1">
      <alignment horizontal="center" vertical="center"/>
    </xf>
    <xf numFmtId="0" fontId="18" fillId="0" borderId="18" xfId="12" applyFont="1" applyBorder="1" applyAlignment="1">
      <alignment horizontal="center" vertical="center"/>
    </xf>
    <xf numFmtId="0" fontId="18" fillId="34" borderId="22" xfId="12" applyFont="1" applyFill="1" applyBorder="1" applyAlignment="1">
      <alignment horizontal="center" vertical="center"/>
    </xf>
    <xf numFmtId="0" fontId="18" fillId="34" borderId="23" xfId="12" applyFont="1" applyFill="1" applyBorder="1" applyAlignment="1">
      <alignment horizontal="center" vertical="center"/>
    </xf>
    <xf numFmtId="1" fontId="18" fillId="5" borderId="2" xfId="12" applyNumberFormat="1" applyFont="1" applyFill="1" applyBorder="1" applyAlignment="1">
      <alignment horizontal="center" vertical="center"/>
    </xf>
    <xf numFmtId="1" fontId="18" fillId="5" borderId="31" xfId="12" applyNumberFormat="1" applyFont="1" applyFill="1" applyBorder="1" applyAlignment="1">
      <alignment horizontal="center" vertical="center"/>
    </xf>
    <xf numFmtId="0" fontId="18" fillId="39" borderId="4" xfId="12" applyFont="1" applyFill="1" applyBorder="1" applyAlignment="1">
      <alignment horizontal="center" vertical="center"/>
    </xf>
    <xf numFmtId="0" fontId="18" fillId="39" borderId="43" xfId="12" applyFont="1" applyFill="1" applyBorder="1" applyAlignment="1">
      <alignment horizontal="center" vertical="center"/>
    </xf>
    <xf numFmtId="0" fontId="18" fillId="39" borderId="5" xfId="12" applyFont="1" applyFill="1" applyBorder="1" applyAlignment="1">
      <alignment horizontal="center" vertical="center"/>
    </xf>
    <xf numFmtId="0" fontId="18" fillId="39" borderId="45" xfId="12" applyFont="1" applyFill="1" applyBorder="1" applyAlignment="1">
      <alignment horizontal="center" vertical="center"/>
    </xf>
    <xf numFmtId="0" fontId="18" fillId="39" borderId="52" xfId="12" applyFont="1" applyFill="1" applyBorder="1" applyAlignment="1">
      <alignment horizontal="center" vertical="center"/>
    </xf>
    <xf numFmtId="0" fontId="18" fillId="39" borderId="57" xfId="12" applyFont="1" applyFill="1" applyBorder="1" applyAlignment="1">
      <alignment horizontal="center" vertical="center"/>
    </xf>
    <xf numFmtId="0" fontId="18" fillId="39" borderId="22" xfId="12" applyFont="1" applyFill="1" applyBorder="1" applyAlignment="1">
      <alignment horizontal="center" vertical="center"/>
    </xf>
    <xf numFmtId="0" fontId="18" fillId="39" borderId="24" xfId="12" applyFont="1" applyFill="1" applyBorder="1" applyAlignment="1">
      <alignment horizontal="center" vertical="center"/>
    </xf>
    <xf numFmtId="0" fontId="18" fillId="39" borderId="25" xfId="12" applyFont="1" applyFill="1" applyBorder="1" applyAlignment="1">
      <alignment horizontal="center" vertical="center"/>
    </xf>
    <xf numFmtId="171" fontId="17" fillId="39" borderId="1" xfId="12" applyNumberFormat="1" applyFont="1" applyFill="1" applyBorder="1" applyAlignment="1">
      <alignment horizontal="center" vertical="center" wrapText="1"/>
    </xf>
    <xf numFmtId="171" fontId="17" fillId="39" borderId="3" xfId="12" applyNumberFormat="1" applyFont="1" applyFill="1" applyBorder="1" applyAlignment="1">
      <alignment horizontal="center" vertical="center" wrapText="1"/>
    </xf>
    <xf numFmtId="171" fontId="17" fillId="39" borderId="39" xfId="12" applyNumberFormat="1" applyFont="1" applyFill="1" applyBorder="1" applyAlignment="1">
      <alignment horizontal="center" vertical="center" wrapText="1"/>
    </xf>
    <xf numFmtId="171" fontId="17" fillId="39" borderId="40" xfId="12" applyNumberFormat="1" applyFont="1" applyFill="1" applyBorder="1" applyAlignment="1">
      <alignment horizontal="center" vertical="center" wrapText="1"/>
    </xf>
    <xf numFmtId="171" fontId="17" fillId="39" borderId="41" xfId="12" applyNumberFormat="1" applyFont="1" applyFill="1" applyBorder="1" applyAlignment="1">
      <alignment horizontal="center" vertical="center" wrapText="1"/>
    </xf>
    <xf numFmtId="0" fontId="18" fillId="39" borderId="1" xfId="12" applyFont="1" applyFill="1" applyBorder="1" applyAlignment="1">
      <alignment horizontal="center" vertical="center"/>
    </xf>
    <xf numFmtId="0" fontId="18" fillId="39" borderId="2" xfId="12" applyFont="1" applyFill="1" applyBorder="1" applyAlignment="1">
      <alignment horizontal="center" vertical="center"/>
    </xf>
    <xf numFmtId="0" fontId="18" fillId="39" borderId="3" xfId="12" applyFont="1" applyFill="1" applyBorder="1" applyAlignment="1">
      <alignment horizontal="center" vertical="center"/>
    </xf>
    <xf numFmtId="2" fontId="18" fillId="39" borderId="4" xfId="12" applyNumberFormat="1" applyFont="1" applyFill="1" applyBorder="1" applyAlignment="1">
      <alignment horizontal="center" vertical="center"/>
    </xf>
    <xf numFmtId="2" fontId="18" fillId="39" borderId="5" xfId="12" applyNumberFormat="1" applyFont="1" applyFill="1" applyBorder="1" applyAlignment="1">
      <alignment horizontal="center" vertical="center"/>
    </xf>
    <xf numFmtId="2" fontId="18" fillId="39" borderId="7" xfId="12" applyNumberFormat="1" applyFont="1" applyFill="1" applyBorder="1" applyAlignment="1">
      <alignment horizontal="center" vertical="center"/>
    </xf>
    <xf numFmtId="2" fontId="18" fillId="39" borderId="8" xfId="12" applyNumberFormat="1" applyFont="1" applyFill="1" applyBorder="1" applyAlignment="1">
      <alignment horizontal="center" vertical="center"/>
    </xf>
    <xf numFmtId="2" fontId="18" fillId="39" borderId="11" xfId="12" applyNumberFormat="1" applyFont="1" applyFill="1" applyBorder="1" applyAlignment="1">
      <alignment horizontal="center" vertical="center"/>
    </xf>
    <xf numFmtId="2" fontId="18" fillId="39" borderId="12" xfId="12" applyNumberFormat="1" applyFont="1" applyFill="1" applyBorder="1" applyAlignment="1">
      <alignment horizontal="center" vertical="center"/>
    </xf>
    <xf numFmtId="0" fontId="18" fillId="0" borderId="39" xfId="12" applyFont="1" applyBorder="1" applyAlignment="1">
      <alignment horizontal="center" vertical="center"/>
    </xf>
    <xf numFmtId="0" fontId="18" fillId="0" borderId="46" xfId="12" applyFont="1" applyBorder="1" applyAlignment="1">
      <alignment horizontal="center" vertical="center"/>
    </xf>
    <xf numFmtId="0" fontId="18" fillId="0" borderId="13" xfId="12" applyFont="1" applyBorder="1" applyAlignment="1">
      <alignment horizontal="center" vertical="center" wrapText="1"/>
    </xf>
    <xf numFmtId="2" fontId="18" fillId="0" borderId="13" xfId="12" applyNumberFormat="1" applyFont="1" applyBorder="1" applyAlignment="1">
      <alignment horizontal="center" vertical="center"/>
    </xf>
    <xf numFmtId="2" fontId="18" fillId="0" borderId="14" xfId="12" applyNumberFormat="1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39" borderId="2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28" xfId="0" applyFill="1" applyBorder="1" applyAlignment="1">
      <alignment horizontal="center"/>
    </xf>
    <xf numFmtId="0" fontId="35" fillId="35" borderId="2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5" fillId="0" borderId="0" xfId="0" applyFont="1" applyAlignment="1">
      <alignment horizontal="center"/>
    </xf>
    <xf numFmtId="0" fontId="58" fillId="0" borderId="7" xfId="0" applyFont="1" applyBorder="1" applyAlignment="1">
      <alignment horizontal="center" wrapText="1"/>
    </xf>
    <xf numFmtId="0" fontId="58" fillId="0" borderId="0" xfId="0" applyFont="1" applyAlignment="1">
      <alignment horizontal="center" wrapText="1"/>
    </xf>
    <xf numFmtId="0" fontId="16" fillId="48" borderId="6" xfId="0" applyFont="1" applyFill="1" applyBorder="1" applyAlignment="1">
      <alignment horizontal="center"/>
    </xf>
    <xf numFmtId="0" fontId="16" fillId="53" borderId="6" xfId="0" applyFont="1" applyFill="1" applyBorder="1" applyAlignment="1">
      <alignment horizontal="center" vertical="center"/>
    </xf>
    <xf numFmtId="0" fontId="16" fillId="53" borderId="1" xfId="0" applyFont="1" applyFill="1" applyBorder="1" applyAlignment="1">
      <alignment horizontal="right"/>
    </xf>
    <xf numFmtId="0" fontId="16" fillId="53" borderId="2" xfId="0" applyFont="1" applyFill="1" applyBorder="1" applyAlignment="1">
      <alignment horizontal="right"/>
    </xf>
    <xf numFmtId="0" fontId="16" fillId="53" borderId="31" xfId="0" applyFont="1" applyFill="1" applyBorder="1" applyAlignment="1">
      <alignment horizontal="right"/>
    </xf>
    <xf numFmtId="0" fontId="16" fillId="52" borderId="9" xfId="0" applyFont="1" applyFill="1" applyBorder="1" applyAlignment="1">
      <alignment horizontal="center" vertical="center"/>
    </xf>
    <xf numFmtId="0" fontId="16" fillId="52" borderId="35" xfId="0" applyFont="1" applyFill="1" applyBorder="1" applyAlignment="1">
      <alignment horizontal="center" vertical="center"/>
    </xf>
    <xf numFmtId="1" fontId="16" fillId="52" borderId="9" xfId="0" applyNumberFormat="1" applyFont="1" applyFill="1" applyBorder="1" applyAlignment="1">
      <alignment horizontal="center" vertical="center"/>
    </xf>
    <xf numFmtId="1" fontId="16" fillId="52" borderId="35" xfId="0" applyNumberFormat="1" applyFont="1" applyFill="1" applyBorder="1" applyAlignment="1">
      <alignment horizontal="center" vertical="center"/>
    </xf>
    <xf numFmtId="0" fontId="16" fillId="52" borderId="0" xfId="0" applyFont="1" applyFill="1" applyAlignment="1">
      <alignment horizontal="center"/>
    </xf>
    <xf numFmtId="0" fontId="16" fillId="53" borderId="0" xfId="0" applyFont="1" applyFill="1" applyAlignment="1">
      <alignment horizontal="center"/>
    </xf>
    <xf numFmtId="185" fontId="97" fillId="0" borderId="47" xfId="0" applyNumberFormat="1" applyFont="1" applyBorder="1" applyAlignment="1">
      <alignment horizontal="center" vertical="center"/>
    </xf>
    <xf numFmtId="185" fontId="97" fillId="0" borderId="19" xfId="0" applyNumberFormat="1" applyFont="1" applyBorder="1" applyAlignment="1">
      <alignment horizontal="center" vertical="center"/>
    </xf>
    <xf numFmtId="0" fontId="97" fillId="0" borderId="47" xfId="0" applyFont="1" applyBorder="1" applyAlignment="1">
      <alignment horizontal="left" vertical="center"/>
    </xf>
    <xf numFmtId="0" fontId="97" fillId="0" borderId="19" xfId="0" applyFont="1" applyBorder="1" applyAlignment="1">
      <alignment horizontal="left" vertical="center"/>
    </xf>
    <xf numFmtId="0" fontId="94" fillId="0" borderId="1" xfId="22" applyFont="1" applyBorder="1" applyAlignment="1">
      <alignment horizontal="center"/>
    </xf>
    <xf numFmtId="0" fontId="94" fillId="0" borderId="2" xfId="22" applyFont="1" applyBorder="1" applyAlignment="1">
      <alignment horizontal="center"/>
    </xf>
    <xf numFmtId="0" fontId="94" fillId="0" borderId="3" xfId="22" applyFont="1" applyBorder="1" applyAlignment="1">
      <alignment horizontal="center"/>
    </xf>
    <xf numFmtId="0" fontId="61" fillId="0" borderId="9" xfId="12" applyFont="1" applyBorder="1" applyAlignment="1">
      <alignment horizontal="center" vertical="center" wrapText="1"/>
    </xf>
    <xf numFmtId="0" fontId="61" fillId="0" borderId="35" xfId="12" applyFont="1" applyBorder="1" applyAlignment="1">
      <alignment horizontal="center" vertical="center" wrapText="1"/>
    </xf>
    <xf numFmtId="0" fontId="61" fillId="0" borderId="38" xfId="12" applyFont="1" applyBorder="1" applyAlignment="1">
      <alignment horizontal="center" vertical="center" wrapText="1"/>
    </xf>
    <xf numFmtId="0" fontId="58" fillId="0" borderId="12" xfId="0" applyFont="1" applyBorder="1" applyAlignment="1">
      <alignment horizontal="center" vertical="center" wrapText="1"/>
    </xf>
    <xf numFmtId="0" fontId="58" fillId="0" borderId="43" xfId="0" applyFont="1" applyBorder="1" applyAlignment="1">
      <alignment horizontal="center" vertical="center" wrapText="1"/>
    </xf>
    <xf numFmtId="0" fontId="58" fillId="0" borderId="65" xfId="0" applyFont="1" applyBorder="1" applyAlignment="1">
      <alignment horizontal="center" vertical="center" wrapText="1"/>
    </xf>
    <xf numFmtId="0" fontId="58" fillId="0" borderId="61" xfId="0" applyFont="1" applyBorder="1" applyAlignment="1">
      <alignment horizontal="center" vertical="center" wrapText="1"/>
    </xf>
    <xf numFmtId="0" fontId="58" fillId="0" borderId="52" xfId="0" applyFont="1" applyBorder="1" applyAlignment="1">
      <alignment horizontal="center" vertical="center" wrapText="1"/>
    </xf>
    <xf numFmtId="0" fontId="58" fillId="0" borderId="69" xfId="0" applyFont="1" applyBorder="1" applyAlignment="1">
      <alignment horizontal="center" vertical="center" wrapText="1"/>
    </xf>
    <xf numFmtId="2" fontId="58" fillId="0" borderId="64" xfId="0" applyNumberFormat="1" applyFont="1" applyBorder="1" applyAlignment="1">
      <alignment horizontal="center" vertical="center" wrapText="1"/>
    </xf>
    <xf numFmtId="2" fontId="58" fillId="0" borderId="62" xfId="0" applyNumberFormat="1" applyFont="1" applyBorder="1" applyAlignment="1">
      <alignment horizontal="center" vertical="center" wrapText="1"/>
    </xf>
    <xf numFmtId="0" fontId="58" fillId="0" borderId="6" xfId="0" applyFont="1" applyBorder="1" applyAlignment="1">
      <alignment horizontal="center" vertical="center" wrapText="1"/>
    </xf>
    <xf numFmtId="181" fontId="58" fillId="0" borderId="6" xfId="0" applyNumberFormat="1" applyFont="1" applyBorder="1" applyAlignment="1">
      <alignment horizontal="center" vertical="center" wrapText="1"/>
    </xf>
    <xf numFmtId="0" fontId="63" fillId="0" borderId="0" xfId="0" applyFont="1" applyAlignment="1">
      <alignment horizontal="center"/>
    </xf>
    <xf numFmtId="171" fontId="58" fillId="0" borderId="148" xfId="0" applyNumberFormat="1" applyFont="1" applyBorder="1" applyAlignment="1">
      <alignment horizontal="center" vertical="center" wrapText="1"/>
    </xf>
    <xf numFmtId="171" fontId="58" fillId="0" borderId="0" xfId="0" applyNumberFormat="1" applyFont="1" applyAlignment="1">
      <alignment horizontal="center" vertical="center" wrapText="1"/>
    </xf>
    <xf numFmtId="171" fontId="58" fillId="0" borderId="138" xfId="0" applyNumberFormat="1" applyFont="1" applyBorder="1" applyAlignment="1">
      <alignment horizontal="center" vertical="center" wrapText="1"/>
    </xf>
    <xf numFmtId="171" fontId="58" fillId="0" borderId="61" xfId="0" applyNumberFormat="1" applyFont="1" applyBorder="1" applyAlignment="1">
      <alignment horizontal="center" vertical="center" wrapText="1"/>
    </xf>
    <xf numFmtId="171" fontId="58" fillId="0" borderId="52" xfId="0" applyNumberFormat="1" applyFont="1" applyBorder="1" applyAlignment="1">
      <alignment horizontal="center" vertical="center" wrapText="1"/>
    </xf>
    <xf numFmtId="171" fontId="58" fillId="0" borderId="69" xfId="0" applyNumberFormat="1" applyFont="1" applyBorder="1" applyAlignment="1">
      <alignment horizontal="center" vertical="center" wrapText="1"/>
    </xf>
    <xf numFmtId="171" fontId="58" fillId="0" borderId="151" xfId="0" applyNumberFormat="1" applyFont="1" applyBorder="1" applyAlignment="1">
      <alignment horizontal="center" vertical="center" wrapText="1"/>
    </xf>
    <xf numFmtId="171" fontId="58" fillId="0" borderId="62" xfId="0" applyNumberFormat="1" applyFont="1" applyBorder="1" applyAlignment="1">
      <alignment horizontal="center" vertical="center" wrapText="1"/>
    </xf>
    <xf numFmtId="0" fontId="61" fillId="0" borderId="6" xfId="12" applyFont="1" applyBorder="1" applyAlignment="1">
      <alignment horizontal="center" vertical="center" wrapText="1"/>
    </xf>
    <xf numFmtId="171" fontId="58" fillId="0" borderId="6" xfId="0" applyNumberFormat="1" applyFont="1" applyBorder="1" applyAlignment="1">
      <alignment horizontal="center" vertical="center" wrapText="1"/>
    </xf>
    <xf numFmtId="171" fontId="62" fillId="0" borderId="1" xfId="0" applyNumberFormat="1" applyFont="1" applyBorder="1" applyAlignment="1">
      <alignment horizontal="center"/>
    </xf>
    <xf numFmtId="171" fontId="62" fillId="0" borderId="2" xfId="0" applyNumberFormat="1" applyFont="1" applyBorder="1" applyAlignment="1">
      <alignment horizontal="center"/>
    </xf>
    <xf numFmtId="171" fontId="62" fillId="0" borderId="3" xfId="0" applyNumberFormat="1" applyFont="1" applyBorder="1" applyAlignment="1">
      <alignment horizontal="center"/>
    </xf>
    <xf numFmtId="2" fontId="58" fillId="0" borderId="6" xfId="0" applyNumberFormat="1" applyFont="1" applyBorder="1" applyAlignment="1">
      <alignment horizontal="center" vertical="center" wrapText="1"/>
    </xf>
    <xf numFmtId="0" fontId="61" fillId="0" borderId="9" xfId="12" applyFont="1" applyBorder="1" applyAlignment="1">
      <alignment horizontal="center" vertical="center"/>
    </xf>
    <xf numFmtId="0" fontId="61" fillId="0" borderId="35" xfId="12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wrapText="1"/>
    </xf>
    <xf numFmtId="0" fontId="58" fillId="0" borderId="2" xfId="0" applyFont="1" applyBorder="1" applyAlignment="1">
      <alignment horizontal="center" vertical="center" wrapText="1"/>
    </xf>
    <xf numFmtId="0" fontId="58" fillId="0" borderId="3" xfId="0" applyFont="1" applyBorder="1" applyAlignment="1">
      <alignment horizontal="center" vertical="center" wrapText="1"/>
    </xf>
    <xf numFmtId="181" fontId="58" fillId="0" borderId="9" xfId="0" applyNumberFormat="1" applyFont="1" applyBorder="1" applyAlignment="1">
      <alignment horizontal="center" vertical="center" wrapText="1"/>
    </xf>
    <xf numFmtId="181" fontId="58" fillId="0" borderId="38" xfId="0" applyNumberFormat="1" applyFont="1" applyBorder="1" applyAlignment="1">
      <alignment horizontal="center" vertical="center" wrapText="1"/>
    </xf>
    <xf numFmtId="181" fontId="58" fillId="0" borderId="35" xfId="0" applyNumberFormat="1" applyFont="1" applyBorder="1" applyAlignment="1">
      <alignment horizontal="center" vertical="center" wrapText="1"/>
    </xf>
    <xf numFmtId="0" fontId="59" fillId="0" borderId="1" xfId="12" applyFont="1" applyBorder="1" applyAlignment="1">
      <alignment horizontal="center" vertical="center" wrapText="1"/>
    </xf>
    <xf numFmtId="0" fontId="59" fillId="0" borderId="2" xfId="12" applyFont="1" applyBorder="1" applyAlignment="1">
      <alignment horizontal="center" vertical="center" wrapText="1"/>
    </xf>
    <xf numFmtId="0" fontId="59" fillId="0" borderId="137" xfId="12" applyFont="1" applyBorder="1" applyAlignment="1">
      <alignment horizontal="center" vertical="center" wrapText="1"/>
    </xf>
    <xf numFmtId="0" fontId="59" fillId="0" borderId="48" xfId="12" applyFont="1" applyBorder="1" applyAlignment="1">
      <alignment horizontal="center" vertical="center" wrapText="1"/>
    </xf>
    <xf numFmtId="0" fontId="56" fillId="0" borderId="0" xfId="0" applyFont="1" applyAlignment="1">
      <alignment horizontal="center"/>
    </xf>
    <xf numFmtId="0" fontId="0" fillId="38" borderId="11" xfId="0" applyFill="1" applyBorder="1" applyAlignment="1">
      <alignment horizontal="center"/>
    </xf>
    <xf numFmtId="0" fontId="0" fillId="38" borderId="63" xfId="0" applyFill="1" applyBorder="1" applyAlignment="1">
      <alignment horizontal="center"/>
    </xf>
    <xf numFmtId="0" fontId="0" fillId="38" borderId="64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38" borderId="1" xfId="0" applyFill="1" applyBorder="1" applyAlignment="1">
      <alignment horizontal="center"/>
    </xf>
    <xf numFmtId="0" fontId="0" fillId="38" borderId="2" xfId="0" applyFill="1" applyBorder="1" applyAlignment="1">
      <alignment horizontal="center"/>
    </xf>
    <xf numFmtId="0" fontId="0" fillId="38" borderId="3" xfId="0" applyFill="1" applyBorder="1" applyAlignment="1">
      <alignment horizontal="center"/>
    </xf>
    <xf numFmtId="0" fontId="53" fillId="0" borderId="13" xfId="0" applyFont="1" applyBorder="1" applyAlignment="1">
      <alignment vertical="center" wrapText="1"/>
    </xf>
    <xf numFmtId="0" fontId="53" fillId="0" borderId="28" xfId="0" applyFont="1" applyBorder="1" applyAlignment="1">
      <alignment vertical="center" wrapText="1"/>
    </xf>
    <xf numFmtId="0" fontId="53" fillId="0" borderId="13" xfId="0" applyFont="1" applyBorder="1" applyAlignment="1">
      <alignment vertical="center"/>
    </xf>
    <xf numFmtId="0" fontId="53" fillId="0" borderId="28" xfId="0" applyFont="1" applyBorder="1" applyAlignment="1">
      <alignment vertical="center"/>
    </xf>
    <xf numFmtId="0" fontId="53" fillId="0" borderId="13" xfId="0" applyFont="1" applyBorder="1" applyAlignment="1">
      <alignment horizontal="center" vertical="center" wrapText="1"/>
    </xf>
    <xf numFmtId="0" fontId="53" fillId="0" borderId="28" xfId="0" applyFont="1" applyBorder="1" applyAlignment="1">
      <alignment horizontal="center" vertical="center" wrapText="1"/>
    </xf>
    <xf numFmtId="171" fontId="53" fillId="0" borderId="0" xfId="0" applyNumberFormat="1" applyFont="1" applyAlignment="1">
      <alignment horizontal="center" vertical="center"/>
    </xf>
    <xf numFmtId="0" fontId="53" fillId="0" borderId="22" xfId="0" applyFont="1" applyBorder="1" applyAlignment="1">
      <alignment horizontal="center" vertical="center"/>
    </xf>
    <xf numFmtId="0" fontId="53" fillId="0" borderId="24" xfId="0" applyFont="1" applyBorder="1" applyAlignment="1">
      <alignment horizontal="center" vertical="center"/>
    </xf>
    <xf numFmtId="0" fontId="53" fillId="0" borderId="10" xfId="0" applyFont="1" applyBorder="1" applyAlignment="1">
      <alignment vertical="center"/>
    </xf>
    <xf numFmtId="0" fontId="53" fillId="0" borderId="26" xfId="0" applyFont="1" applyBorder="1" applyAlignment="1">
      <alignment vertical="center"/>
    </xf>
    <xf numFmtId="0" fontId="78" fillId="47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36" borderId="4" xfId="0" applyFill="1" applyBorder="1" applyAlignment="1">
      <alignment horizontal="center" vertical="center"/>
    </xf>
    <xf numFmtId="0" fontId="0" fillId="36" borderId="5" xfId="0" applyFill="1" applyBorder="1" applyAlignment="1">
      <alignment horizontal="center" vertical="center"/>
    </xf>
    <xf numFmtId="0" fontId="16" fillId="36" borderId="22" xfId="0" applyFont="1" applyFill="1" applyBorder="1" applyAlignment="1">
      <alignment horizontal="center" vertical="center" wrapText="1"/>
    </xf>
    <xf numFmtId="0" fontId="16" fillId="36" borderId="24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8" fillId="36" borderId="1" xfId="0" applyFont="1" applyFill="1" applyBorder="1" applyAlignment="1">
      <alignment horizontal="center" vertical="center"/>
    </xf>
    <xf numFmtId="0" fontId="38" fillId="36" borderId="2" xfId="0" applyFont="1" applyFill="1" applyBorder="1" applyAlignment="1">
      <alignment horizontal="center" vertical="center"/>
    </xf>
    <xf numFmtId="0" fontId="38" fillId="36" borderId="3" xfId="0" applyFont="1" applyFill="1" applyBorder="1" applyAlignment="1">
      <alignment horizontal="center" vertical="center"/>
    </xf>
    <xf numFmtId="0" fontId="16" fillId="36" borderId="1" xfId="0" applyFont="1" applyFill="1" applyBorder="1" applyAlignment="1">
      <alignment horizontal="center" vertical="center"/>
    </xf>
    <xf numFmtId="0" fontId="16" fillId="36" borderId="2" xfId="0" applyFont="1" applyFill="1" applyBorder="1" applyAlignment="1">
      <alignment horizontal="center" vertical="center"/>
    </xf>
    <xf numFmtId="0" fontId="16" fillId="36" borderId="3" xfId="0" applyFont="1" applyFill="1" applyBorder="1" applyAlignment="1">
      <alignment horizontal="center" vertical="center"/>
    </xf>
    <xf numFmtId="0" fontId="50" fillId="37" borderId="1" xfId="0" applyFont="1" applyFill="1" applyBorder="1" applyAlignment="1">
      <alignment horizontal="center" vertical="center"/>
    </xf>
    <xf numFmtId="0" fontId="50" fillId="37" borderId="3" xfId="0" applyFont="1" applyFill="1" applyBorder="1" applyAlignment="1">
      <alignment horizontal="center" vertical="center"/>
    </xf>
    <xf numFmtId="0" fontId="16" fillId="32" borderId="11" xfId="0" applyFont="1" applyFill="1" applyBorder="1" applyAlignment="1">
      <alignment horizontal="center" vertical="center" wrapText="1"/>
    </xf>
    <xf numFmtId="0" fontId="16" fillId="32" borderId="63" xfId="0" applyFont="1" applyFill="1" applyBorder="1" applyAlignment="1">
      <alignment horizontal="center" vertical="center" wrapText="1"/>
    </xf>
    <xf numFmtId="0" fontId="16" fillId="37" borderId="22" xfId="0" applyFont="1" applyFill="1" applyBorder="1" applyAlignment="1">
      <alignment horizontal="center" vertical="center" wrapText="1"/>
    </xf>
    <xf numFmtId="0" fontId="16" fillId="37" borderId="24" xfId="0" applyFont="1" applyFill="1" applyBorder="1" applyAlignment="1">
      <alignment horizontal="center" vertical="center" wrapText="1"/>
    </xf>
    <xf numFmtId="0" fontId="48" fillId="36" borderId="0" xfId="0" applyFont="1" applyFill="1" applyAlignment="1">
      <alignment horizontal="center" vertical="center"/>
    </xf>
    <xf numFmtId="0" fontId="48" fillId="32" borderId="0" xfId="0" applyFont="1" applyFill="1" applyAlignment="1">
      <alignment horizontal="center" vertical="center"/>
    </xf>
    <xf numFmtId="0" fontId="48" fillId="37" borderId="0" xfId="0" applyFont="1" applyFill="1" applyAlignment="1">
      <alignment horizontal="center" vertical="center"/>
    </xf>
    <xf numFmtId="0" fontId="38" fillId="32" borderId="1" xfId="0" applyFont="1" applyFill="1" applyBorder="1" applyAlignment="1">
      <alignment horizontal="center" vertical="center"/>
    </xf>
    <xf numFmtId="0" fontId="38" fillId="32" borderId="2" xfId="0" applyFont="1" applyFill="1" applyBorder="1" applyAlignment="1">
      <alignment horizontal="center" vertical="center"/>
    </xf>
    <xf numFmtId="0" fontId="38" fillId="37" borderId="1" xfId="0" applyFont="1" applyFill="1" applyBorder="1" applyAlignment="1">
      <alignment horizontal="center" vertical="center"/>
    </xf>
    <xf numFmtId="0" fontId="38" fillId="37" borderId="2" xfId="0" applyFont="1" applyFill="1" applyBorder="1" applyAlignment="1">
      <alignment horizontal="center" vertical="center"/>
    </xf>
    <xf numFmtId="0" fontId="38" fillId="37" borderId="3" xfId="0" applyFont="1" applyFill="1" applyBorder="1" applyAlignment="1">
      <alignment horizontal="center" vertical="center"/>
    </xf>
    <xf numFmtId="0" fontId="16" fillId="32" borderId="1" xfId="0" applyFont="1" applyFill="1" applyBorder="1" applyAlignment="1">
      <alignment horizontal="center" vertical="center"/>
    </xf>
    <xf numFmtId="0" fontId="16" fillId="32" borderId="2" xfId="0" applyFont="1" applyFill="1" applyBorder="1" applyAlignment="1">
      <alignment horizontal="center" vertical="center"/>
    </xf>
    <xf numFmtId="0" fontId="16" fillId="32" borderId="3" xfId="0" applyFont="1" applyFill="1" applyBorder="1" applyAlignment="1">
      <alignment horizontal="center" vertical="center"/>
    </xf>
    <xf numFmtId="0" fontId="50" fillId="32" borderId="4" xfId="0" applyFont="1" applyFill="1" applyBorder="1" applyAlignment="1">
      <alignment horizontal="center" vertical="center"/>
    </xf>
    <xf numFmtId="0" fontId="50" fillId="32" borderId="5" xfId="0" applyFont="1" applyFill="1" applyBorder="1" applyAlignment="1">
      <alignment horizontal="center" vertical="center"/>
    </xf>
    <xf numFmtId="0" fontId="16" fillId="37" borderId="1" xfId="0" applyFont="1" applyFill="1" applyBorder="1" applyAlignment="1">
      <alignment horizontal="center" vertical="center"/>
    </xf>
    <xf numFmtId="0" fontId="16" fillId="37" borderId="2" xfId="0" applyFont="1" applyFill="1" applyBorder="1" applyAlignment="1">
      <alignment horizontal="center" vertical="center"/>
    </xf>
    <xf numFmtId="0" fontId="16" fillId="37" borderId="3" xfId="0" applyFont="1" applyFill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35" borderId="22" xfId="0" applyFont="1" applyFill="1" applyBorder="1" applyAlignment="1">
      <alignment horizontal="center" vertical="center" wrapText="1"/>
    </xf>
    <xf numFmtId="0" fontId="16" fillId="35" borderId="24" xfId="0" applyFont="1" applyFill="1" applyBorder="1" applyAlignment="1">
      <alignment horizontal="center" vertical="center" wrapText="1"/>
    </xf>
    <xf numFmtId="0" fontId="16" fillId="13" borderId="22" xfId="0" applyFont="1" applyFill="1" applyBorder="1" applyAlignment="1">
      <alignment horizontal="center" vertical="center" wrapText="1"/>
    </xf>
    <xf numFmtId="0" fontId="16" fillId="13" borderId="24" xfId="0" applyFont="1" applyFill="1" applyBorder="1" applyAlignment="1">
      <alignment horizontal="center" vertical="center" wrapText="1"/>
    </xf>
    <xf numFmtId="9" fontId="0" fillId="0" borderId="14" xfId="0" applyNumberFormat="1" applyBorder="1" applyAlignment="1">
      <alignment horizontal="center" vertical="center"/>
    </xf>
    <xf numFmtId="9" fontId="0" fillId="0" borderId="55" xfId="0" applyNumberFormat="1" applyBorder="1" applyAlignment="1">
      <alignment horizontal="center" vertical="center"/>
    </xf>
    <xf numFmtId="9" fontId="0" fillId="0" borderId="28" xfId="0" applyNumberForma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35" borderId="1" xfId="0" applyFont="1" applyFill="1" applyBorder="1" applyAlignment="1">
      <alignment horizontal="center" vertical="center"/>
    </xf>
    <xf numFmtId="0" fontId="16" fillId="35" borderId="2" xfId="0" applyFont="1" applyFill="1" applyBorder="1" applyAlignment="1">
      <alignment horizontal="center" vertical="center"/>
    </xf>
    <xf numFmtId="0" fontId="16" fillId="35" borderId="3" xfId="0" applyFont="1" applyFill="1" applyBorder="1" applyAlignment="1">
      <alignment horizontal="center" vertical="center"/>
    </xf>
    <xf numFmtId="0" fontId="0" fillId="35" borderId="4" xfId="0" applyFill="1" applyBorder="1" applyAlignment="1">
      <alignment horizontal="center" vertical="center"/>
    </xf>
    <xf numFmtId="0" fontId="0" fillId="35" borderId="5" xfId="0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center" vertical="center"/>
    </xf>
    <xf numFmtId="0" fontId="16" fillId="13" borderId="3" xfId="0" applyFont="1" applyFill="1" applyBorder="1" applyAlignment="1">
      <alignment horizontal="center" vertical="center"/>
    </xf>
    <xf numFmtId="0" fontId="50" fillId="13" borderId="4" xfId="0" applyFont="1" applyFill="1" applyBorder="1" applyAlignment="1">
      <alignment horizontal="center" vertical="center"/>
    </xf>
    <xf numFmtId="0" fontId="50" fillId="13" borderId="5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8" fillId="35" borderId="1" xfId="0" applyFont="1" applyFill="1" applyBorder="1" applyAlignment="1">
      <alignment horizontal="center" vertical="center"/>
    </xf>
    <xf numFmtId="0" fontId="38" fillId="35" borderId="2" xfId="0" applyFont="1" applyFill="1" applyBorder="1" applyAlignment="1">
      <alignment horizontal="center" vertical="center"/>
    </xf>
    <xf numFmtId="0" fontId="38" fillId="35" borderId="3" xfId="0" applyFont="1" applyFill="1" applyBorder="1" applyAlignment="1">
      <alignment horizontal="center" vertical="center"/>
    </xf>
    <xf numFmtId="0" fontId="38" fillId="13" borderId="1" xfId="0" applyFont="1" applyFill="1" applyBorder="1" applyAlignment="1">
      <alignment horizontal="center" vertical="center"/>
    </xf>
    <xf numFmtId="0" fontId="38" fillId="13" borderId="2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48" fillId="35" borderId="0" xfId="0" applyFont="1" applyFill="1" applyAlignment="1">
      <alignment horizontal="center" vertical="center"/>
    </xf>
    <xf numFmtId="0" fontId="48" fillId="13" borderId="1" xfId="0" applyFont="1" applyFill="1" applyBorder="1" applyAlignment="1">
      <alignment horizontal="center" vertical="center"/>
    </xf>
    <xf numFmtId="0" fontId="48" fillId="13" borderId="2" xfId="0" applyFont="1" applyFill="1" applyBorder="1" applyAlignment="1">
      <alignment horizontal="center" vertical="center"/>
    </xf>
    <xf numFmtId="0" fontId="48" fillId="13" borderId="3" xfId="0" applyFont="1" applyFill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/>
    </xf>
    <xf numFmtId="4" fontId="16" fillId="29" borderId="120" xfId="0" applyNumberFormat="1" applyFont="1" applyFill="1" applyBorder="1" applyAlignment="1" applyProtection="1">
      <alignment horizontal="center" vertical="center" wrapText="1"/>
      <protection locked="0"/>
    </xf>
    <xf numFmtId="4" fontId="16" fillId="29" borderId="121" xfId="0" applyNumberFormat="1" applyFont="1" applyFill="1" applyBorder="1" applyAlignment="1" applyProtection="1">
      <alignment horizontal="center" vertical="center" wrapText="1"/>
      <protection locked="0"/>
    </xf>
    <xf numFmtId="4" fontId="16" fillId="29" borderId="126" xfId="0" applyNumberFormat="1" applyFont="1" applyFill="1" applyBorder="1" applyAlignment="1" applyProtection="1">
      <alignment horizontal="center" vertical="center" wrapText="1"/>
      <protection locked="0"/>
    </xf>
    <xf numFmtId="0" fontId="16" fillId="8" borderId="72" xfId="0" applyFont="1" applyFill="1" applyBorder="1" applyAlignment="1">
      <alignment horizontal="center" vertical="center" wrapText="1"/>
    </xf>
    <xf numFmtId="0" fontId="16" fillId="8" borderId="76" xfId="0" applyFont="1" applyFill="1" applyBorder="1" applyAlignment="1">
      <alignment horizontal="center" vertical="center" wrapText="1"/>
    </xf>
    <xf numFmtId="0" fontId="16" fillId="8" borderId="80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35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42" fillId="5" borderId="0" xfId="0" applyFont="1" applyFill="1" applyAlignment="1">
      <alignment horizontal="center" vertical="center" wrapText="1"/>
    </xf>
    <xf numFmtId="0" fontId="35" fillId="28" borderId="70" xfId="0" applyFont="1" applyFill="1" applyBorder="1" applyAlignment="1">
      <alignment horizontal="center" vertical="center" wrapText="1"/>
    </xf>
    <xf numFmtId="0" fontId="35" fillId="28" borderId="78" xfId="0" applyFont="1" applyFill="1" applyBorder="1" applyAlignment="1">
      <alignment horizontal="center" vertical="center" wrapText="1"/>
    </xf>
    <xf numFmtId="0" fontId="16" fillId="29" borderId="71" xfId="0" applyFont="1" applyFill="1" applyBorder="1" applyAlignment="1">
      <alignment horizontal="center" vertical="center"/>
    </xf>
    <xf numFmtId="0" fontId="16" fillId="29" borderId="75" xfId="0" applyFont="1" applyFill="1" applyBorder="1" applyAlignment="1">
      <alignment horizontal="center" vertical="center"/>
    </xf>
    <xf numFmtId="0" fontId="16" fillId="29" borderId="79" xfId="0" applyFont="1" applyFill="1" applyBorder="1" applyAlignment="1">
      <alignment horizontal="center" vertical="center"/>
    </xf>
    <xf numFmtId="0" fontId="16" fillId="30" borderId="72" xfId="0" applyFont="1" applyFill="1" applyBorder="1" applyAlignment="1">
      <alignment horizontal="center" vertical="center"/>
    </xf>
    <xf numFmtId="0" fontId="16" fillId="30" borderId="76" xfId="0" applyFont="1" applyFill="1" applyBorder="1" applyAlignment="1">
      <alignment horizontal="center" vertical="center"/>
    </xf>
    <xf numFmtId="0" fontId="16" fillId="30" borderId="80" xfId="0" applyFont="1" applyFill="1" applyBorder="1" applyAlignment="1">
      <alignment horizontal="center" vertical="center"/>
    </xf>
    <xf numFmtId="4" fontId="16" fillId="31" borderId="74" xfId="0" applyNumberFormat="1" applyFont="1" applyFill="1" applyBorder="1" applyAlignment="1">
      <alignment horizontal="center" vertical="center" wrapText="1"/>
    </xf>
    <xf numFmtId="4" fontId="16" fillId="31" borderId="70" xfId="0" applyNumberFormat="1" applyFont="1" applyFill="1" applyBorder="1" applyAlignment="1">
      <alignment horizontal="center" vertical="center" wrapText="1"/>
    </xf>
    <xf numFmtId="4" fontId="16" fillId="31" borderId="78" xfId="0" applyNumberFormat="1" applyFont="1" applyFill="1" applyBorder="1" applyAlignment="1">
      <alignment horizontal="center" vertical="center" wrapText="1"/>
    </xf>
    <xf numFmtId="4" fontId="16" fillId="28" borderId="74" xfId="0" applyNumberFormat="1" applyFont="1" applyFill="1" applyBorder="1" applyAlignment="1">
      <alignment horizontal="center" vertical="center" wrapText="1"/>
    </xf>
    <xf numFmtId="4" fontId="16" fillId="28" borderId="70" xfId="0" applyNumberFormat="1" applyFont="1" applyFill="1" applyBorder="1" applyAlignment="1">
      <alignment horizontal="center" vertical="center" wrapText="1"/>
    </xf>
    <xf numFmtId="4" fontId="16" fillId="28" borderId="78" xfId="0" applyNumberFormat="1" applyFont="1" applyFill="1" applyBorder="1" applyAlignment="1">
      <alignment horizontal="center" vertical="center" wrapText="1"/>
    </xf>
    <xf numFmtId="4" fontId="16" fillId="5" borderId="108" xfId="0" applyNumberFormat="1" applyFont="1" applyFill="1" applyBorder="1" applyAlignment="1">
      <alignment horizontal="center" vertical="center"/>
    </xf>
    <xf numFmtId="4" fontId="16" fillId="5" borderId="0" xfId="0" applyNumberFormat="1" applyFont="1" applyFill="1" applyAlignment="1">
      <alignment horizontal="center" vertical="center"/>
    </xf>
    <xf numFmtId="4" fontId="16" fillId="30" borderId="74" xfId="0" applyNumberFormat="1" applyFont="1" applyFill="1" applyBorder="1" applyAlignment="1" applyProtection="1">
      <alignment horizontal="center" vertical="center" wrapText="1"/>
      <protection locked="0"/>
    </xf>
    <xf numFmtId="4" fontId="16" fillId="30" borderId="70" xfId="0" applyNumberFormat="1" applyFont="1" applyFill="1" applyBorder="1" applyAlignment="1" applyProtection="1">
      <alignment horizontal="center" vertical="center" wrapText="1"/>
      <protection locked="0"/>
    </xf>
    <xf numFmtId="4" fontId="16" fillId="30" borderId="78" xfId="0" applyNumberFormat="1" applyFont="1" applyFill="1" applyBorder="1" applyAlignment="1" applyProtection="1">
      <alignment horizontal="center" vertical="center" wrapText="1"/>
      <protection locked="0"/>
    </xf>
    <xf numFmtId="4" fontId="16" fillId="31" borderId="74" xfId="0" applyNumberFormat="1" applyFont="1" applyFill="1" applyBorder="1" applyAlignment="1" applyProtection="1">
      <alignment horizontal="center" vertical="center" wrapText="1"/>
      <protection locked="0"/>
    </xf>
    <xf numFmtId="4" fontId="16" fillId="31" borderId="70" xfId="0" applyNumberFormat="1" applyFont="1" applyFill="1" applyBorder="1" applyAlignment="1" applyProtection="1">
      <alignment horizontal="center" vertical="center" wrapText="1"/>
      <protection locked="0"/>
    </xf>
    <xf numFmtId="4" fontId="16" fillId="31" borderId="78" xfId="0" applyNumberFormat="1" applyFont="1" applyFill="1" applyBorder="1" applyAlignment="1" applyProtection="1">
      <alignment horizontal="center" vertical="center" wrapText="1"/>
      <protection locked="0"/>
    </xf>
    <xf numFmtId="4" fontId="16" fillId="28" borderId="74" xfId="0" applyNumberFormat="1" applyFont="1" applyFill="1" applyBorder="1" applyAlignment="1" applyProtection="1">
      <alignment horizontal="center" vertical="center" wrapText="1"/>
      <protection locked="0"/>
    </xf>
    <xf numFmtId="4" fontId="16" fillId="28" borderId="70" xfId="0" applyNumberFormat="1" applyFont="1" applyFill="1" applyBorder="1" applyAlignment="1" applyProtection="1">
      <alignment horizontal="center" vertical="center" wrapText="1"/>
      <protection locked="0"/>
    </xf>
    <xf numFmtId="4" fontId="16" fillId="28" borderId="78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89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103" xfId="0" applyNumberFormat="1" applyFont="1" applyFill="1" applyBorder="1" applyAlignment="1" applyProtection="1">
      <alignment horizontal="center" vertical="center" wrapText="1"/>
      <protection locked="0"/>
    </xf>
    <xf numFmtId="4" fontId="16" fillId="31" borderId="89" xfId="0" applyNumberFormat="1" applyFont="1" applyFill="1" applyBorder="1" applyAlignment="1" applyProtection="1">
      <alignment horizontal="center" vertical="center" wrapText="1"/>
      <protection locked="0"/>
    </xf>
    <xf numFmtId="4" fontId="16" fillId="31" borderId="103" xfId="0" applyNumberFormat="1" applyFont="1" applyFill="1" applyBorder="1" applyAlignment="1" applyProtection="1">
      <alignment horizontal="center" vertical="center" wrapText="1"/>
      <protection locked="0"/>
    </xf>
    <xf numFmtId="4" fontId="16" fillId="33" borderId="109" xfId="0" applyNumberFormat="1" applyFont="1" applyFill="1" applyBorder="1" applyAlignment="1" applyProtection="1">
      <alignment horizontal="center" vertical="center" wrapText="1"/>
      <protection locked="0"/>
    </xf>
    <xf numFmtId="4" fontId="16" fillId="33" borderId="110" xfId="0" applyNumberFormat="1" applyFont="1" applyFill="1" applyBorder="1" applyAlignment="1" applyProtection="1">
      <alignment horizontal="center" vertical="center" wrapText="1"/>
      <protection locked="0"/>
    </xf>
    <xf numFmtId="4" fontId="16" fillId="33" borderId="111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0" xfId="0" applyFont="1" applyAlignment="1">
      <alignment horizontal="center"/>
    </xf>
    <xf numFmtId="4" fontId="0" fillId="0" borderId="0" xfId="0" applyNumberFormat="1" applyAlignment="1">
      <alignment horizontal="center" vertical="center"/>
    </xf>
    <xf numFmtId="0" fontId="38" fillId="22" borderId="1" xfId="0" applyFont="1" applyFill="1" applyBorder="1" applyAlignment="1">
      <alignment horizontal="center" vertical="center"/>
    </xf>
    <xf numFmtId="0" fontId="38" fillId="22" borderId="2" xfId="0" applyFont="1" applyFill="1" applyBorder="1" applyAlignment="1">
      <alignment horizontal="center" vertical="center"/>
    </xf>
    <xf numFmtId="0" fontId="38" fillId="22" borderId="3" xfId="0" applyFont="1" applyFill="1" applyBorder="1" applyAlignment="1">
      <alignment horizontal="center" vertical="center"/>
    </xf>
    <xf numFmtId="0" fontId="35" fillId="22" borderId="1" xfId="0" applyFont="1" applyFill="1" applyBorder="1" applyAlignment="1">
      <alignment horizontal="center"/>
    </xf>
    <xf numFmtId="0" fontId="35" fillId="22" borderId="2" xfId="0" applyFont="1" applyFill="1" applyBorder="1" applyAlignment="1">
      <alignment horizontal="center"/>
    </xf>
    <xf numFmtId="0" fontId="35" fillId="22" borderId="3" xfId="0" applyFont="1" applyFill="1" applyBorder="1" applyAlignment="1">
      <alignment horizontal="center"/>
    </xf>
    <xf numFmtId="0" fontId="35" fillId="5" borderId="52" xfId="0" applyFont="1" applyFill="1" applyBorder="1" applyAlignment="1">
      <alignment horizontal="center" vertical="center"/>
    </xf>
    <xf numFmtId="0" fontId="38" fillId="22" borderId="4" xfId="0" applyFont="1" applyFill="1" applyBorder="1" applyAlignment="1">
      <alignment horizontal="center" vertical="center"/>
    </xf>
    <xf numFmtId="0" fontId="38" fillId="22" borderId="43" xfId="0" applyFont="1" applyFill="1" applyBorder="1" applyAlignment="1">
      <alignment horizontal="center" vertical="center"/>
    </xf>
    <xf numFmtId="0" fontId="38" fillId="22" borderId="5" xfId="0" applyFont="1" applyFill="1" applyBorder="1" applyAlignment="1">
      <alignment horizontal="center" vertical="center"/>
    </xf>
    <xf numFmtId="0" fontId="37" fillId="24" borderId="14" xfId="0" applyFont="1" applyFill="1" applyBorder="1" applyAlignment="1">
      <alignment horizontal="center"/>
    </xf>
    <xf numFmtId="0" fontId="37" fillId="24" borderId="55" xfId="0" applyFont="1" applyFill="1" applyBorder="1" applyAlignment="1">
      <alignment horizontal="center"/>
    </xf>
    <xf numFmtId="0" fontId="35" fillId="22" borderId="9" xfId="0" applyFont="1" applyFill="1" applyBorder="1" applyAlignment="1">
      <alignment horizontal="center" vertical="center"/>
    </xf>
    <xf numFmtId="0" fontId="35" fillId="22" borderId="35" xfId="0" applyFont="1" applyFill="1" applyBorder="1" applyAlignment="1">
      <alignment horizontal="center" vertical="center"/>
    </xf>
    <xf numFmtId="0" fontId="28" fillId="22" borderId="9" xfId="0" applyFont="1" applyFill="1" applyBorder="1" applyAlignment="1">
      <alignment horizontal="center" vertical="center" textRotation="90" wrapText="1"/>
    </xf>
    <xf numFmtId="0" fontId="28" fillId="22" borderId="38" xfId="0" applyFont="1" applyFill="1" applyBorder="1" applyAlignment="1">
      <alignment horizontal="center" vertical="center" textRotation="90" wrapText="1"/>
    </xf>
    <xf numFmtId="0" fontId="28" fillId="22" borderId="35" xfId="0" applyFont="1" applyFill="1" applyBorder="1" applyAlignment="1">
      <alignment horizontal="center" vertical="center" textRotation="90" wrapText="1"/>
    </xf>
    <xf numFmtId="9" fontId="28" fillId="22" borderId="9" xfId="0" applyNumberFormat="1" applyFont="1" applyFill="1" applyBorder="1" applyAlignment="1">
      <alignment horizontal="center" vertical="center" textRotation="90" wrapText="1"/>
    </xf>
    <xf numFmtId="9" fontId="28" fillId="22" borderId="35" xfId="0" applyNumberFormat="1" applyFont="1" applyFill="1" applyBorder="1" applyAlignment="1">
      <alignment horizontal="center" vertical="center" textRotation="90" wrapText="1"/>
    </xf>
    <xf numFmtId="9" fontId="41" fillId="22" borderId="9" xfId="0" applyNumberFormat="1" applyFont="1" applyFill="1" applyBorder="1" applyAlignment="1">
      <alignment horizontal="center" vertical="center" wrapText="1"/>
    </xf>
    <xf numFmtId="9" fontId="41" fillId="22" borderId="35" xfId="0" applyNumberFormat="1" applyFont="1" applyFill="1" applyBorder="1" applyAlignment="1">
      <alignment horizontal="center" vertical="center" wrapText="1"/>
    </xf>
    <xf numFmtId="9" fontId="41" fillId="22" borderId="38" xfId="0" applyNumberFormat="1" applyFont="1" applyFill="1" applyBorder="1" applyAlignment="1">
      <alignment horizontal="center" vertical="center" wrapText="1"/>
    </xf>
    <xf numFmtId="0" fontId="30" fillId="15" borderId="0" xfId="0" applyFont="1" applyFill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5" xfId="0" applyFill="1" applyBorder="1" applyAlignment="1">
      <alignment horizontal="center"/>
    </xf>
    <xf numFmtId="2" fontId="30" fillId="15" borderId="0" xfId="0" applyNumberFormat="1" applyFont="1" applyFill="1" applyAlignment="1">
      <alignment horizontal="center"/>
    </xf>
    <xf numFmtId="0" fontId="0" fillId="21" borderId="45" xfId="0" applyFill="1" applyBorder="1" applyAlignment="1">
      <alignment horizontal="center"/>
    </xf>
    <xf numFmtId="0" fontId="0" fillId="21" borderId="57" xfId="0" applyFill="1" applyBorder="1" applyAlignment="1">
      <alignment horizontal="center"/>
    </xf>
    <xf numFmtId="0" fontId="36" fillId="21" borderId="4" xfId="0" applyFont="1" applyFill="1" applyBorder="1" applyAlignment="1">
      <alignment horizontal="center" wrapText="1"/>
    </xf>
    <xf numFmtId="0" fontId="36" fillId="21" borderId="5" xfId="0" applyFont="1" applyFill="1" applyBorder="1" applyAlignment="1">
      <alignment horizontal="center" wrapText="1"/>
    </xf>
    <xf numFmtId="0" fontId="0" fillId="15" borderId="0" xfId="0" applyFill="1" applyAlignment="1">
      <alignment horizontal="left"/>
    </xf>
    <xf numFmtId="0" fontId="16" fillId="2" borderId="0" xfId="0" applyFont="1" applyFill="1" applyAlignment="1">
      <alignment horizontal="center"/>
    </xf>
    <xf numFmtId="0" fontId="28" fillId="15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8" fillId="45" borderId="4" xfId="12" applyFont="1" applyFill="1" applyBorder="1" applyAlignment="1">
      <alignment horizontal="center" vertical="center"/>
    </xf>
    <xf numFmtId="0" fontId="18" fillId="45" borderId="43" xfId="12" applyFont="1" applyFill="1" applyBorder="1" applyAlignment="1">
      <alignment horizontal="center" vertical="center"/>
    </xf>
    <xf numFmtId="0" fontId="18" fillId="45" borderId="5" xfId="12" applyFont="1" applyFill="1" applyBorder="1" applyAlignment="1">
      <alignment horizontal="center" vertical="center"/>
    </xf>
    <xf numFmtId="0" fontId="18" fillId="45" borderId="45" xfId="12" applyFont="1" applyFill="1" applyBorder="1" applyAlignment="1">
      <alignment horizontal="center" vertical="center"/>
    </xf>
    <xf numFmtId="0" fontId="18" fillId="45" borderId="52" xfId="12" applyFont="1" applyFill="1" applyBorder="1" applyAlignment="1">
      <alignment horizontal="center" vertical="center"/>
    </xf>
    <xf numFmtId="0" fontId="18" fillId="45" borderId="57" xfId="12" applyFont="1" applyFill="1" applyBorder="1" applyAlignment="1">
      <alignment horizontal="center" vertical="center"/>
    </xf>
    <xf numFmtId="2" fontId="18" fillId="45" borderId="4" xfId="12" applyNumberFormat="1" applyFont="1" applyFill="1" applyBorder="1" applyAlignment="1">
      <alignment horizontal="center" vertical="center"/>
    </xf>
    <xf numFmtId="2" fontId="18" fillId="45" borderId="5" xfId="12" applyNumberFormat="1" applyFont="1" applyFill="1" applyBorder="1" applyAlignment="1">
      <alignment horizontal="center" vertical="center"/>
    </xf>
    <xf numFmtId="2" fontId="18" fillId="45" borderId="7" xfId="12" applyNumberFormat="1" applyFont="1" applyFill="1" applyBorder="1" applyAlignment="1">
      <alignment horizontal="center" vertical="center"/>
    </xf>
    <xf numFmtId="2" fontId="18" fillId="45" borderId="8" xfId="12" applyNumberFormat="1" applyFont="1" applyFill="1" applyBorder="1" applyAlignment="1">
      <alignment horizontal="center" vertical="center"/>
    </xf>
    <xf numFmtId="0" fontId="18" fillId="45" borderId="22" xfId="12" applyFont="1" applyFill="1" applyBorder="1" applyAlignment="1">
      <alignment horizontal="center" vertical="center"/>
    </xf>
    <xf numFmtId="0" fontId="18" fillId="45" borderId="24" xfId="12" applyFont="1" applyFill="1" applyBorder="1" applyAlignment="1">
      <alignment horizontal="center" vertical="center"/>
    </xf>
    <xf numFmtId="0" fontId="18" fillId="45" borderId="25" xfId="12" applyFont="1" applyFill="1" applyBorder="1" applyAlignment="1">
      <alignment horizontal="center" vertical="center"/>
    </xf>
    <xf numFmtId="171" fontId="17" fillId="45" borderId="1" xfId="12" applyNumberFormat="1" applyFont="1" applyFill="1" applyBorder="1" applyAlignment="1">
      <alignment horizontal="center" vertical="center" wrapText="1"/>
    </xf>
    <xf numFmtId="171" fontId="17" fillId="45" borderId="3" xfId="12" applyNumberFormat="1" applyFont="1" applyFill="1" applyBorder="1" applyAlignment="1">
      <alignment horizontal="center" vertical="center" wrapText="1"/>
    </xf>
    <xf numFmtId="171" fontId="17" fillId="45" borderId="39" xfId="12" applyNumberFormat="1" applyFont="1" applyFill="1" applyBorder="1" applyAlignment="1">
      <alignment horizontal="center" vertical="center" wrapText="1"/>
    </xf>
    <xf numFmtId="171" fontId="17" fillId="45" borderId="40" xfId="12" applyNumberFormat="1" applyFont="1" applyFill="1" applyBorder="1" applyAlignment="1">
      <alignment horizontal="center" vertical="center" wrapText="1"/>
    </xf>
    <xf numFmtId="171" fontId="17" fillId="45" borderId="41" xfId="12" applyNumberFormat="1" applyFont="1" applyFill="1" applyBorder="1" applyAlignment="1">
      <alignment horizontal="center" vertical="center" wrapText="1"/>
    </xf>
    <xf numFmtId="0" fontId="22" fillId="47" borderId="1" xfId="12" applyFont="1" applyFill="1" applyBorder="1" applyAlignment="1">
      <alignment horizontal="center" vertical="center"/>
    </xf>
    <xf numFmtId="0" fontId="22" fillId="47" borderId="2" xfId="12" applyFont="1" applyFill="1" applyBorder="1" applyAlignment="1">
      <alignment horizontal="center" vertical="center"/>
    </xf>
    <xf numFmtId="0" fontId="22" fillId="47" borderId="3" xfId="12" applyFont="1" applyFill="1" applyBorder="1" applyAlignment="1">
      <alignment horizontal="center" vertical="center"/>
    </xf>
    <xf numFmtId="1" fontId="24" fillId="46" borderId="2" xfId="12" applyNumberFormat="1" applyFont="1" applyFill="1" applyBorder="1" applyAlignment="1">
      <alignment horizontal="center" vertical="center"/>
    </xf>
    <xf numFmtId="1" fontId="24" fillId="46" borderId="3" xfId="12" applyNumberFormat="1" applyFont="1" applyFill="1" applyBorder="1" applyAlignment="1">
      <alignment horizontal="center" vertical="center"/>
    </xf>
    <xf numFmtId="0" fontId="18" fillId="46" borderId="22" xfId="12" applyFont="1" applyFill="1" applyBorder="1" applyAlignment="1">
      <alignment horizontal="center" vertical="center"/>
    </xf>
    <xf numFmtId="0" fontId="18" fillId="46" borderId="23" xfId="12" applyFont="1" applyFill="1" applyBorder="1" applyAlignment="1">
      <alignment horizontal="center" vertical="center"/>
    </xf>
    <xf numFmtId="171" fontId="17" fillId="0" borderId="137" xfId="12" applyNumberFormat="1" applyFont="1" applyBorder="1" applyAlignment="1">
      <alignment horizontal="center" vertical="center"/>
    </xf>
    <xf numFmtId="171" fontId="17" fillId="0" borderId="66" xfId="12" applyNumberFormat="1" applyFont="1" applyBorder="1" applyAlignment="1">
      <alignment horizontal="center" vertical="center"/>
    </xf>
    <xf numFmtId="0" fontId="18" fillId="45" borderId="1" xfId="12" applyFont="1" applyFill="1" applyBorder="1" applyAlignment="1">
      <alignment horizontal="center" vertical="center"/>
    </xf>
    <xf numFmtId="0" fontId="18" fillId="45" borderId="2" xfId="12" applyFont="1" applyFill="1" applyBorder="1" applyAlignment="1">
      <alignment horizontal="center" vertical="center"/>
    </xf>
    <xf numFmtId="0" fontId="18" fillId="45" borderId="3" xfId="12" applyFont="1" applyFill="1" applyBorder="1" applyAlignment="1">
      <alignment horizontal="center" vertical="center"/>
    </xf>
    <xf numFmtId="2" fontId="18" fillId="45" borderId="11" xfId="12" applyNumberFormat="1" applyFont="1" applyFill="1" applyBorder="1" applyAlignment="1">
      <alignment horizontal="center" vertical="center"/>
    </xf>
    <xf numFmtId="2" fontId="18" fillId="45" borderId="12" xfId="12" applyNumberFormat="1" applyFont="1" applyFill="1" applyBorder="1" applyAlignment="1">
      <alignment horizontal="center" vertical="center"/>
    </xf>
    <xf numFmtId="0" fontId="18" fillId="12" borderId="1" xfId="12" applyFont="1" applyFill="1" applyBorder="1" applyAlignment="1">
      <alignment horizontal="center" vertical="center"/>
    </xf>
    <xf numFmtId="0" fontId="18" fillId="12" borderId="2" xfId="12" applyFont="1" applyFill="1" applyBorder="1" applyAlignment="1">
      <alignment horizontal="center" vertical="center"/>
    </xf>
    <xf numFmtId="0" fontId="18" fillId="12" borderId="3" xfId="12" applyFont="1" applyFill="1" applyBorder="1" applyAlignment="1">
      <alignment horizontal="center" vertical="center"/>
    </xf>
    <xf numFmtId="0" fontId="71" fillId="0" borderId="28" xfId="0" applyFont="1" applyBorder="1" applyAlignment="1">
      <alignment horizontal="center" vertical="center" wrapText="1"/>
    </xf>
    <xf numFmtId="0" fontId="71" fillId="0" borderId="28" xfId="0" applyFont="1" applyBorder="1" applyAlignment="1">
      <alignment horizontal="center" vertical="center"/>
    </xf>
    <xf numFmtId="3" fontId="58" fillId="0" borderId="28" xfId="0" applyNumberFormat="1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1" fillId="0" borderId="149" xfId="0" applyFont="1" applyBorder="1" applyAlignment="1">
      <alignment horizontal="center" vertical="center"/>
    </xf>
    <xf numFmtId="0" fontId="71" fillId="0" borderId="150" xfId="0" applyFont="1" applyBorder="1" applyAlignment="1">
      <alignment horizontal="center" vertical="center"/>
    </xf>
    <xf numFmtId="0" fontId="71" fillId="0" borderId="56" xfId="0" applyFont="1" applyBorder="1" applyAlignment="1">
      <alignment horizontal="center" vertical="center"/>
    </xf>
    <xf numFmtId="0" fontId="71" fillId="0" borderId="147" xfId="0" applyFont="1" applyBorder="1" applyAlignment="1">
      <alignment horizontal="center" vertical="center"/>
    </xf>
    <xf numFmtId="0" fontId="71" fillId="0" borderId="42" xfId="0" applyFont="1" applyBorder="1" applyAlignment="1">
      <alignment horizontal="center" vertical="center"/>
    </xf>
    <xf numFmtId="0" fontId="71" fillId="0" borderId="54" xfId="0" applyFont="1" applyBorder="1" applyAlignment="1">
      <alignment horizontal="center" vertical="center"/>
    </xf>
    <xf numFmtId="3" fontId="71" fillId="0" borderId="149" xfId="0" applyNumberFormat="1" applyFont="1" applyBorder="1" applyAlignment="1">
      <alignment horizontal="center" vertical="center"/>
    </xf>
    <xf numFmtId="0" fontId="71" fillId="0" borderId="149" xfId="0" applyFont="1" applyBorder="1" applyAlignment="1">
      <alignment horizontal="center" vertical="center" wrapText="1"/>
    </xf>
    <xf numFmtId="0" fontId="71" fillId="0" borderId="150" xfId="0" applyFont="1" applyBorder="1" applyAlignment="1">
      <alignment horizontal="center" vertical="center" wrapText="1"/>
    </xf>
    <xf numFmtId="0" fontId="71" fillId="0" borderId="56" xfId="0" applyFont="1" applyBorder="1" applyAlignment="1">
      <alignment horizontal="center" vertical="center" wrapText="1"/>
    </xf>
    <xf numFmtId="0" fontId="71" fillId="0" borderId="148" xfId="0" applyFont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138" xfId="0" applyFont="1" applyBorder="1" applyAlignment="1">
      <alignment horizontal="center" vertical="center" wrapText="1"/>
    </xf>
    <xf numFmtId="0" fontId="71" fillId="0" borderId="147" xfId="0" applyFont="1" applyBorder="1" applyAlignment="1">
      <alignment horizontal="center" vertical="center" wrapText="1"/>
    </xf>
    <xf numFmtId="0" fontId="71" fillId="0" borderId="42" xfId="0" applyFont="1" applyBorder="1" applyAlignment="1">
      <alignment horizontal="center" vertical="center" wrapText="1"/>
    </xf>
    <xf numFmtId="0" fontId="71" fillId="0" borderId="5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/>
    </xf>
    <xf numFmtId="0" fontId="58" fillId="0" borderId="49" xfId="0" applyFont="1" applyBorder="1" applyAlignment="1">
      <alignment horizontal="center" vertical="center"/>
    </xf>
    <xf numFmtId="0" fontId="58" fillId="0" borderId="55" xfId="0" applyFont="1" applyBorder="1" applyAlignment="1">
      <alignment horizontal="center" vertical="center"/>
    </xf>
    <xf numFmtId="3" fontId="71" fillId="0" borderId="14" xfId="0" applyNumberFormat="1" applyFont="1" applyBorder="1" applyAlignment="1">
      <alignment horizontal="center" vertical="center"/>
    </xf>
    <xf numFmtId="0" fontId="71" fillId="0" borderId="49" xfId="0" applyFont="1" applyBorder="1" applyAlignment="1">
      <alignment horizontal="center" vertical="center"/>
    </xf>
    <xf numFmtId="0" fontId="71" fillId="0" borderId="55" xfId="0" applyFont="1" applyBorder="1" applyAlignment="1">
      <alignment horizontal="center" vertical="center"/>
    </xf>
    <xf numFmtId="3" fontId="71" fillId="0" borderId="28" xfId="0" applyNumberFormat="1" applyFont="1" applyBorder="1" applyAlignment="1">
      <alignment horizontal="center" vertical="center"/>
    </xf>
    <xf numFmtId="0" fontId="70" fillId="0" borderId="28" xfId="0" applyFont="1" applyBorder="1" applyAlignment="1">
      <alignment horizontal="center" vertical="center"/>
    </xf>
    <xf numFmtId="3" fontId="70" fillId="0" borderId="28" xfId="0" applyNumberFormat="1" applyFont="1" applyBorder="1" applyAlignment="1">
      <alignment horizontal="center" vertical="center" wrapText="1"/>
    </xf>
    <xf numFmtId="3" fontId="58" fillId="0" borderId="28" xfId="0" applyNumberFormat="1" applyFont="1" applyBorder="1" applyAlignment="1">
      <alignment horizontal="center" vertical="center"/>
    </xf>
    <xf numFmtId="3" fontId="70" fillId="0" borderId="28" xfId="0" applyNumberFormat="1" applyFont="1" applyBorder="1" applyAlignment="1">
      <alignment horizontal="center" vertical="center"/>
    </xf>
    <xf numFmtId="0" fontId="58" fillId="0" borderId="148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0" borderId="138" xfId="0" applyFont="1" applyBorder="1" applyAlignment="1">
      <alignment horizontal="center" vertical="center"/>
    </xf>
    <xf numFmtId="0" fontId="58" fillId="0" borderId="147" xfId="0" applyFont="1" applyBorder="1" applyAlignment="1">
      <alignment horizontal="center" vertical="center"/>
    </xf>
    <xf numFmtId="0" fontId="58" fillId="0" borderId="42" xfId="0" applyFont="1" applyBorder="1" applyAlignment="1">
      <alignment horizontal="center" vertical="center"/>
    </xf>
    <xf numFmtId="0" fontId="58" fillId="0" borderId="54" xfId="0" applyFont="1" applyBorder="1" applyAlignment="1">
      <alignment horizontal="center" vertical="center"/>
    </xf>
    <xf numFmtId="3" fontId="70" fillId="0" borderId="148" xfId="0" applyNumberFormat="1" applyFont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0" borderId="138" xfId="0" applyFont="1" applyBorder="1" applyAlignment="1">
      <alignment horizontal="center" vertical="center"/>
    </xf>
    <xf numFmtId="0" fontId="70" fillId="0" borderId="147" xfId="0" applyFont="1" applyBorder="1" applyAlignment="1">
      <alignment horizontal="center" vertical="center"/>
    </xf>
    <xf numFmtId="0" fontId="70" fillId="0" borderId="42" xfId="0" applyFont="1" applyBorder="1" applyAlignment="1">
      <alignment horizontal="center" vertical="center"/>
    </xf>
    <xf numFmtId="0" fontId="70" fillId="0" borderId="54" xfId="0" applyFont="1" applyBorder="1" applyAlignment="1">
      <alignment horizontal="center" vertical="center"/>
    </xf>
    <xf numFmtId="0" fontId="72" fillId="0" borderId="28" xfId="0" applyFont="1" applyBorder="1" applyAlignment="1">
      <alignment horizontal="center"/>
    </xf>
    <xf numFmtId="0" fontId="74" fillId="0" borderId="28" xfId="0" applyFont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18" fillId="5" borderId="0" xfId="0" applyFont="1" applyFill="1" applyAlignment="1">
      <alignment horizontal="center" vertical="center"/>
    </xf>
    <xf numFmtId="2" fontId="18" fillId="5" borderId="0" xfId="0" applyNumberFormat="1" applyFont="1" applyFill="1" applyAlignment="1">
      <alignment horizontal="center" vertical="center"/>
    </xf>
    <xf numFmtId="2" fontId="18" fillId="9" borderId="4" xfId="12" applyNumberFormat="1" applyFont="1" applyFill="1" applyBorder="1" applyAlignment="1">
      <alignment horizontal="center" vertical="center"/>
    </xf>
    <xf numFmtId="2" fontId="18" fillId="9" borderId="5" xfId="12" applyNumberFormat="1" applyFont="1" applyFill="1" applyBorder="1" applyAlignment="1">
      <alignment horizontal="center" vertical="center"/>
    </xf>
    <xf numFmtId="2" fontId="18" fillId="9" borderId="7" xfId="12" applyNumberFormat="1" applyFont="1" applyFill="1" applyBorder="1" applyAlignment="1">
      <alignment horizontal="center" vertical="center"/>
    </xf>
    <xf numFmtId="2" fontId="18" fillId="9" borderId="8" xfId="12" applyNumberFormat="1" applyFont="1" applyFill="1" applyBorder="1" applyAlignment="1">
      <alignment horizontal="center" vertical="center"/>
    </xf>
    <xf numFmtId="0" fontId="18" fillId="0" borderId="22" xfId="12" applyFont="1" applyBorder="1" applyAlignment="1">
      <alignment horizontal="center" vertical="center"/>
    </xf>
    <xf numFmtId="0" fontId="18" fillId="0" borderId="23" xfId="12" applyFont="1" applyBorder="1" applyAlignment="1">
      <alignment horizontal="center" vertical="center"/>
    </xf>
    <xf numFmtId="1" fontId="18" fillId="5" borderId="43" xfId="12" applyNumberFormat="1" applyFont="1" applyFill="1" applyBorder="1" applyAlignment="1">
      <alignment horizontal="center" vertical="center"/>
    </xf>
    <xf numFmtId="0" fontId="18" fillId="5" borderId="43" xfId="12" applyFont="1" applyFill="1" applyBorder="1" applyAlignment="1">
      <alignment horizontal="center" vertical="center"/>
    </xf>
    <xf numFmtId="171" fontId="17" fillId="0" borderId="7" xfId="12" applyNumberFormat="1" applyFont="1" applyBorder="1" applyAlignment="1">
      <alignment horizontal="center" vertical="center"/>
    </xf>
    <xf numFmtId="171" fontId="17" fillId="0" borderId="0" xfId="12" applyNumberFormat="1" applyFont="1" applyAlignment="1">
      <alignment horizontal="center" vertical="center"/>
    </xf>
    <xf numFmtId="0" fontId="17" fillId="0" borderId="0" xfId="12" applyFont="1" applyAlignment="1">
      <alignment horizontal="center" vertical="center"/>
    </xf>
    <xf numFmtId="0" fontId="18" fillId="9" borderId="1" xfId="12" applyFont="1" applyFill="1" applyBorder="1" applyAlignment="1">
      <alignment horizontal="center" vertical="center"/>
    </xf>
    <xf numFmtId="0" fontId="18" fillId="9" borderId="2" xfId="12" applyFont="1" applyFill="1" applyBorder="1" applyAlignment="1">
      <alignment horizontal="center" vertical="center"/>
    </xf>
    <xf numFmtId="0" fontId="18" fillId="9" borderId="3" xfId="12" applyFont="1" applyFill="1" applyBorder="1" applyAlignment="1">
      <alignment horizontal="center" vertical="center"/>
    </xf>
    <xf numFmtId="0" fontId="18" fillId="60" borderId="1" xfId="12" applyFont="1" applyFill="1" applyBorder="1" applyAlignment="1">
      <alignment horizontal="center" vertical="center"/>
    </xf>
    <xf numFmtId="0" fontId="18" fillId="60" borderId="2" xfId="12" applyFont="1" applyFill="1" applyBorder="1" applyAlignment="1">
      <alignment horizontal="center" vertical="center"/>
    </xf>
    <xf numFmtId="0" fontId="18" fillId="60" borderId="3" xfId="12" applyFont="1" applyFill="1" applyBorder="1" applyAlignment="1">
      <alignment horizontal="center" vertical="center"/>
    </xf>
    <xf numFmtId="2" fontId="18" fillId="9" borderId="22" xfId="12" applyNumberFormat="1" applyFont="1" applyFill="1" applyBorder="1" applyAlignment="1">
      <alignment horizontal="center" vertical="center"/>
    </xf>
    <xf numFmtId="2" fontId="18" fillId="9" borderId="23" xfId="12" applyNumberFormat="1" applyFont="1" applyFill="1" applyBorder="1" applyAlignment="1">
      <alignment horizontal="center" vertical="center"/>
    </xf>
    <xf numFmtId="2" fontId="18" fillId="5" borderId="36" xfId="12" applyNumberFormat="1" applyFont="1" applyFill="1" applyBorder="1" applyAlignment="1">
      <alignment horizontal="center" vertical="center"/>
    </xf>
    <xf numFmtId="2" fontId="18" fillId="5" borderId="37" xfId="12" applyNumberFormat="1" applyFont="1" applyFill="1" applyBorder="1" applyAlignment="1">
      <alignment horizontal="center" vertical="center"/>
    </xf>
    <xf numFmtId="0" fontId="17" fillId="44" borderId="0" xfId="12" applyFont="1" applyFill="1" applyAlignment="1">
      <alignment horizontal="center" vertical="center"/>
    </xf>
    <xf numFmtId="0" fontId="18" fillId="3" borderId="1" xfId="12" applyFont="1" applyFill="1" applyBorder="1" applyAlignment="1">
      <alignment horizontal="center" vertical="center"/>
    </xf>
    <xf numFmtId="0" fontId="18" fillId="3" borderId="2" xfId="12" applyFont="1" applyFill="1" applyBorder="1" applyAlignment="1">
      <alignment horizontal="center" vertical="center"/>
    </xf>
    <xf numFmtId="0" fontId="18" fillId="3" borderId="3" xfId="12" applyFont="1" applyFill="1" applyBorder="1" applyAlignment="1">
      <alignment horizontal="center" vertical="center"/>
    </xf>
    <xf numFmtId="2" fontId="18" fillId="3" borderId="11" xfId="12" applyNumberFormat="1" applyFont="1" applyFill="1" applyBorder="1" applyAlignment="1">
      <alignment horizontal="center" vertical="center"/>
    </xf>
    <xf numFmtId="2" fontId="18" fillId="3" borderId="12" xfId="12" applyNumberFormat="1" applyFont="1" applyFill="1" applyBorder="1" applyAlignment="1">
      <alignment horizontal="center" vertical="center"/>
    </xf>
    <xf numFmtId="0" fontId="22" fillId="6" borderId="22" xfId="12" applyFont="1" applyFill="1" applyBorder="1" applyAlignment="1">
      <alignment horizontal="center" vertical="center"/>
    </xf>
    <xf numFmtId="0" fontId="22" fillId="6" borderId="24" xfId="12" applyFont="1" applyFill="1" applyBorder="1" applyAlignment="1">
      <alignment horizontal="center" vertical="center"/>
    </xf>
    <xf numFmtId="0" fontId="22" fillId="6" borderId="23" xfId="12" applyFont="1" applyFill="1" applyBorder="1" applyAlignment="1">
      <alignment horizontal="center" vertical="center"/>
    </xf>
    <xf numFmtId="0" fontId="22" fillId="6" borderId="25" xfId="12" applyFont="1" applyFill="1" applyBorder="1" applyAlignment="1">
      <alignment horizontal="center" vertical="center"/>
    </xf>
    <xf numFmtId="2" fontId="18" fillId="3" borderId="4" xfId="12" applyNumberFormat="1" applyFont="1" applyFill="1" applyBorder="1" applyAlignment="1">
      <alignment horizontal="center" vertical="center"/>
    </xf>
    <xf numFmtId="2" fontId="18" fillId="3" borderId="5" xfId="12" applyNumberFormat="1" applyFont="1" applyFill="1" applyBorder="1" applyAlignment="1">
      <alignment horizontal="center" vertical="center"/>
    </xf>
    <xf numFmtId="2" fontId="18" fillId="3" borderId="7" xfId="12" applyNumberFormat="1" applyFont="1" applyFill="1" applyBorder="1" applyAlignment="1">
      <alignment horizontal="center" vertical="center"/>
    </xf>
    <xf numFmtId="2" fontId="18" fillId="3" borderId="8" xfId="12" applyNumberFormat="1" applyFont="1" applyFill="1" applyBorder="1" applyAlignment="1">
      <alignment horizontal="center" vertical="center"/>
    </xf>
    <xf numFmtId="0" fontId="18" fillId="5" borderId="0" xfId="0" applyFont="1" applyFill="1" applyAlignment="1">
      <alignment horizontal="center" vertical="top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68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23" fillId="54" borderId="1" xfId="12" applyFont="1" applyFill="1" applyBorder="1" applyAlignment="1">
      <alignment horizontal="center" vertical="center"/>
    </xf>
    <xf numFmtId="0" fontId="23" fillId="54" borderId="2" xfId="12" applyFont="1" applyFill="1" applyBorder="1" applyAlignment="1">
      <alignment horizontal="center" vertical="center"/>
    </xf>
    <xf numFmtId="0" fontId="23" fillId="54" borderId="3" xfId="12" applyFont="1" applyFill="1" applyBorder="1" applyAlignment="1">
      <alignment horizontal="center" vertical="center"/>
    </xf>
    <xf numFmtId="1" fontId="24" fillId="50" borderId="2" xfId="12" applyNumberFormat="1" applyFont="1" applyFill="1" applyBorder="1" applyAlignment="1">
      <alignment horizontal="center" vertical="center"/>
    </xf>
    <xf numFmtId="1" fontId="24" fillId="50" borderId="3" xfId="12" applyNumberFormat="1" applyFont="1" applyFill="1" applyBorder="1" applyAlignment="1">
      <alignment horizontal="center" vertical="center"/>
    </xf>
    <xf numFmtId="0" fontId="18" fillId="50" borderId="1" xfId="12" applyFont="1" applyFill="1" applyBorder="1" applyAlignment="1">
      <alignment horizontal="center" vertical="center"/>
    </xf>
    <xf numFmtId="0" fontId="18" fillId="50" borderId="2" xfId="12" applyFont="1" applyFill="1" applyBorder="1" applyAlignment="1">
      <alignment horizontal="center" vertical="center"/>
    </xf>
    <xf numFmtId="0" fontId="18" fillId="50" borderId="3" xfId="12" applyFont="1" applyFill="1" applyBorder="1" applyAlignment="1">
      <alignment horizontal="center" vertical="center"/>
    </xf>
    <xf numFmtId="2" fontId="18" fillId="50" borderId="11" xfId="12" applyNumberFormat="1" applyFont="1" applyFill="1" applyBorder="1" applyAlignment="1">
      <alignment horizontal="center" vertical="center"/>
    </xf>
    <xf numFmtId="2" fontId="18" fillId="50" borderId="12" xfId="12" applyNumberFormat="1" applyFont="1" applyFill="1" applyBorder="1" applyAlignment="1">
      <alignment horizontal="center" vertical="center"/>
    </xf>
    <xf numFmtId="2" fontId="18" fillId="50" borderId="4" xfId="12" applyNumberFormat="1" applyFont="1" applyFill="1" applyBorder="1" applyAlignment="1">
      <alignment horizontal="center" vertical="center"/>
    </xf>
    <xf numFmtId="2" fontId="18" fillId="50" borderId="5" xfId="12" applyNumberFormat="1" applyFont="1" applyFill="1" applyBorder="1" applyAlignment="1">
      <alignment horizontal="center" vertical="center"/>
    </xf>
    <xf numFmtId="2" fontId="18" fillId="50" borderId="7" xfId="12" applyNumberFormat="1" applyFont="1" applyFill="1" applyBorder="1" applyAlignment="1">
      <alignment horizontal="center" vertical="center"/>
    </xf>
    <xf numFmtId="2" fontId="18" fillId="50" borderId="8" xfId="12" applyNumberFormat="1" applyFont="1" applyFill="1" applyBorder="1" applyAlignment="1">
      <alignment horizontal="center" vertical="center"/>
    </xf>
  </cellXfs>
  <cellStyles count="25">
    <cellStyle name="20% - Énfasis1" xfId="21" builtinId="30"/>
    <cellStyle name="Millares" xfId="20" builtinId="3"/>
    <cellStyle name="Millares 2" xfId="2" xr:uid="{00000000-0005-0000-0000-000031000000}"/>
    <cellStyle name="Millares 2 2" xfId="3" xr:uid="{00000000-0005-0000-0000-000032000000}"/>
    <cellStyle name="Millares 2 2 2" xfId="4" xr:uid="{00000000-0005-0000-0000-000033000000}"/>
    <cellStyle name="Millares 2 3" xfId="5" xr:uid="{00000000-0005-0000-0000-000034000000}"/>
    <cellStyle name="Millares 2 3 2" xfId="6" xr:uid="{00000000-0005-0000-0000-000035000000}"/>
    <cellStyle name="Millares 3" xfId="7" xr:uid="{00000000-0005-0000-0000-000036000000}"/>
    <cellStyle name="Millares 3 2" xfId="8" xr:uid="{00000000-0005-0000-0000-000037000000}"/>
    <cellStyle name="Millares 4" xfId="9" xr:uid="{00000000-0005-0000-0000-000038000000}"/>
    <cellStyle name="Millares 5" xfId="10" xr:uid="{00000000-0005-0000-0000-000039000000}"/>
    <cellStyle name="Millares 6" xfId="23" xr:uid="{58B5B634-BA41-4ECA-8FDC-A548B47F7F56}"/>
    <cellStyle name="Normal" xfId="0" builtinId="0"/>
    <cellStyle name="Normal 2" xfId="11" xr:uid="{00000000-0005-0000-0000-00003A000000}"/>
    <cellStyle name="Normal 3" xfId="12" xr:uid="{00000000-0005-0000-0000-00003B000000}"/>
    <cellStyle name="Normal 3 2" xfId="13" xr:uid="{00000000-0005-0000-0000-00003C000000}"/>
    <cellStyle name="Normal 4" xfId="14" xr:uid="{00000000-0005-0000-0000-00003D000000}"/>
    <cellStyle name="Normal 5" xfId="15" xr:uid="{00000000-0005-0000-0000-00003E000000}"/>
    <cellStyle name="Normal 6" xfId="16" xr:uid="{00000000-0005-0000-0000-00003F000000}"/>
    <cellStyle name="Normal 7" xfId="17" xr:uid="{00000000-0005-0000-0000-000040000000}"/>
    <cellStyle name="Normal 8" xfId="18" xr:uid="{00000000-0005-0000-0000-000041000000}"/>
    <cellStyle name="Normal 9" xfId="22" xr:uid="{D7CF83A5-B657-4155-ABA0-CD8A5EFCC9E4}"/>
    <cellStyle name="Porcentaje" xfId="1" builtinId="5"/>
    <cellStyle name="Porcentaje 2" xfId="19" xr:uid="{00000000-0005-0000-0000-000042000000}"/>
    <cellStyle name="Porcentaje 3" xfId="24" xr:uid="{D09DECDC-5F26-4D44-86D0-B6F2C079BF4D}"/>
  </cellStyles>
  <dxfs count="139">
    <dxf>
      <numFmt numFmtId="184" formatCode="_ * #,##0_ ;_ * \-#,##0_ ;_ * &quot;-&quot;??_ ;_ @_ 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84" formatCode="_ * #,##0_ ;_ * \-#,##0_ ;_ * &quot;-&quot;??_ ;_ @_ 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4" formatCode="_ * #,##0_ ;_ * \-#,##0_ ;_ * &quot;-&quot;??_ ;_ @_ 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4" formatCode="_ * #,##0_ ;_ * \-#,##0_ ;_ * &quot;-&quot;??_ ;_ @_ 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4" formatCode="_ * #,##0_ ;_ * \-#,##0_ ;_ * &quot;-&quot;??_ ;_ @_ 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4" formatCode="_ * #,##0_ ;_ * \-#,##0_ ;_ * &quot;-&quot;??_ ;_ @_ 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4" formatCode="_ * #,##0_ ;_ * \-#,##0_ ;_ * &quot;-&quot;??_ ;_ @_ 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4" formatCode="_ * #,##0_ ;_ * \-#,##0_ ;_ * &quot;-&quot;??_ ;_ @_ 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4" formatCode="_ * #,##0_ ;_ * \-#,##0_ ;_ * &quot;-&quot;??_ ;_ @_ 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4" formatCode="_ * #,##0_ ;_ * \-#,##0_ ;_ * &quot;-&quot;??_ ;_ @_ 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9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84" formatCode="_ * #,##0_ ;_ * \-#,##0_ ;_ * &quot;-&quot;??_ ;_ @_ 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84" formatCode="_ * #,##0_ ;_ * \-#,##0_ ;_ * &quot;-&quot;??_ ;_ @_ 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84" formatCode="_ * #,##0_ ;_ * \-#,##0_ ;_ * &quot;-&quot;??_ ;_ @_ 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4" formatCode="_ * #,##0_ ;_ * \-#,##0_ ;_ * &quot;-&quot;??_ ;_ @_ 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1" tint="0.499984740745262"/>
      </font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3" formatCode="0.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3" formatCode="0.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3" formatCode="0.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3" formatCode="0.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3" formatCode="0.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3" formatCode="0.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3" formatCode="0.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3" formatCode="0.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family val="2"/>
      </font>
      <border diagonalUp="0" diagonalDown="0" outline="0">
        <left style="medium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family val="2"/>
      </font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</dxf>
    <dxf>
      <border diagonalUp="0" diagonalDown="0" outline="0">
        <left style="medium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</dxfs>
  <tableStyles count="0" defaultTableStyle="TableStyleMedium2" defaultPivotStyle="PivotStyleLight16"/>
  <colors>
    <mruColors>
      <color rgb="FFFECAF4"/>
      <color rgb="FF0000FF"/>
      <color rgb="FFEBAFAF"/>
      <color rgb="FFFED9D6"/>
      <color rgb="FFCC3434"/>
      <color rgb="FFE28DF3"/>
      <color rgb="FFF1ADAD"/>
      <color rgb="FF99FFCC"/>
      <color rgb="FF3DBC10"/>
      <color rgb="FF0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5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0.xml"/><Relationship Id="rId34" Type="http://schemas.microsoft.com/office/2007/relationships/slicerCache" Target="slicerCaches/slicerCache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worksheet" Target="worksheets/sheet28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3.xml"/><Relationship Id="rId32" Type="http://schemas.microsoft.com/office/2007/relationships/slicerCache" Target="slicerCaches/slicerCache1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microsoft.com/office/2007/relationships/slicerCache" Target="slicerCaches/slicerCache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microsoft.com/office/2007/relationships/slicerCache" Target="slicerCaches/slicerCache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4.xml"/><Relationship Id="rId33" Type="http://schemas.microsoft.com/office/2007/relationships/slicerCache" Target="slicerCaches/slicerCache2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MATERIA PRIMA CLASICA '!$B$4:$B$5</c:f>
              <c:strCache>
                <c:ptCount val="2"/>
                <c:pt idx="0">
                  <c:v>NÉCTAR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 MATERIA PRIMA CLASICA '!$A$6:$A$16</c:f>
              <c:strCache>
                <c:ptCount val="1"/>
                <c:pt idx="0">
                  <c:v>                           </c:v>
                </c:pt>
              </c:strCache>
            </c:strRef>
          </c:cat>
          <c:val>
            <c:numRef>
              <c:f>' MATERIA PRIMA CLASICA '!$B$6:$B$16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0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B2-448F-8EB7-D5F5290FD930}"/>
            </c:ext>
          </c:extLst>
        </c:ser>
        <c:ser>
          <c:idx val="1"/>
          <c:order val="1"/>
          <c:tx>
            <c:strRef>
              <c:f>' MATERIA PRIMA CLASICA '!$C$4:$C$5</c:f>
              <c:strCache>
                <c:ptCount val="2"/>
                <c:pt idx="0">
                  <c:v>NÉCTAR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 MATERIA PRIMA CLASICA '!$A$6:$A$16</c:f>
              <c:strCache>
                <c:ptCount val="1"/>
                <c:pt idx="0">
                  <c:v>                           </c:v>
                </c:pt>
              </c:strCache>
            </c:strRef>
          </c:cat>
          <c:val>
            <c:numRef>
              <c:f>' MATERIA PRIMA CLASICA '!$C$6:$C$16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EFB2-448F-8EB7-D5F5290FD930}"/>
            </c:ext>
          </c:extLst>
        </c:ser>
        <c:ser>
          <c:idx val="2"/>
          <c:order val="2"/>
          <c:tx>
            <c:strRef>
              <c:f>' MATERIA PRIMA CLASICA '!$D$4:$D$5</c:f>
              <c:strCache>
                <c:ptCount val="2"/>
                <c:pt idx="0">
                  <c:v>Sabor</c:v>
                </c:pt>
                <c:pt idx="1">
                  <c:v>Pera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 MATERIA PRIMA CLASICA '!$A$6:$A$16</c:f>
              <c:strCache>
                <c:ptCount val="1"/>
                <c:pt idx="0">
                  <c:v>                           </c:v>
                </c:pt>
              </c:strCache>
            </c:strRef>
          </c:cat>
          <c:val>
            <c:numRef>
              <c:f>' MATERIA PRIMA CLASICA '!$D$6:$D$16</c:f>
              <c:numCache>
                <c:formatCode>0.0000</c:formatCode>
                <c:ptCount val="11"/>
                <c:pt idx="0" formatCode="0.00">
                  <c:v>0</c:v>
                </c:pt>
                <c:pt idx="1">
                  <c:v>3000</c:v>
                </c:pt>
                <c:pt idx="2">
                  <c:v>78</c:v>
                </c:pt>
                <c:pt idx="3">
                  <c:v>96</c:v>
                </c:pt>
                <c:pt idx="4">
                  <c:v>150</c:v>
                </c:pt>
                <c:pt idx="5">
                  <c:v>34.5</c:v>
                </c:pt>
                <c:pt idx="6">
                  <c:v>22.2</c:v>
                </c:pt>
                <c:pt idx="7">
                  <c:v>4.3199999999999994</c:v>
                </c:pt>
                <c:pt idx="8">
                  <c:v>4.95</c:v>
                </c:pt>
                <c:pt idx="9">
                  <c:v>0</c:v>
                </c:pt>
                <c:pt idx="10">
                  <c:v>72900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B2-448F-8EB7-D5F5290FD930}"/>
            </c:ext>
          </c:extLst>
        </c:ser>
        <c:ser>
          <c:idx val="3"/>
          <c:order val="3"/>
          <c:tx>
            <c:strRef>
              <c:f>' MATERIA PRIMA CLASICA '!$E$4:$E$5</c:f>
              <c:strCache>
                <c:ptCount val="2"/>
                <c:pt idx="0">
                  <c:v>Sabor</c:v>
                </c:pt>
                <c:pt idx="1">
                  <c:v>30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 MATERIA PRIMA CLASICA '!$A$6:$A$16</c:f>
              <c:strCache>
                <c:ptCount val="1"/>
                <c:pt idx="0">
                  <c:v>                           </c:v>
                </c:pt>
              </c:strCache>
            </c:strRef>
          </c:cat>
          <c:val>
            <c:numRef>
              <c:f>' MATERIA PRIMA CLASICA '!$E$6:$E$16</c:f>
              <c:numCache>
                <c:formatCode>0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3-EFB2-448F-8EB7-D5F5290FD930}"/>
            </c:ext>
          </c:extLst>
        </c:ser>
        <c:ser>
          <c:idx val="4"/>
          <c:order val="4"/>
          <c:tx>
            <c:strRef>
              <c:f>' MATERIA PRIMA CLASICA '!$F$4:$F$5</c:f>
              <c:strCache>
                <c:ptCount val="2"/>
                <c:pt idx="0">
                  <c:v>  </c:v>
                </c:pt>
                <c:pt idx="1">
                  <c:v>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 MATERIA PRIMA CLASICA '!$A$6:$A$16</c:f>
              <c:strCache>
                <c:ptCount val="1"/>
                <c:pt idx="0">
                  <c:v>                           </c:v>
                </c:pt>
              </c:strCache>
            </c:strRef>
          </c:cat>
          <c:val>
            <c:numRef>
              <c:f>' MATERIA PRIMA CLASICA '!$F$6:$F$16</c:f>
              <c:numCache>
                <c:formatCode>0</c:formatCode>
                <c:ptCount val="11"/>
                <c:pt idx="0" formatCode="General">
                  <c:v>0</c:v>
                </c:pt>
                <c:pt idx="1">
                  <c:v>3000</c:v>
                </c:pt>
                <c:pt idx="2" formatCode="0.00">
                  <c:v>78</c:v>
                </c:pt>
                <c:pt idx="3" formatCode="0.00">
                  <c:v>96</c:v>
                </c:pt>
                <c:pt idx="4" formatCode="0.00">
                  <c:v>150</c:v>
                </c:pt>
                <c:pt idx="5" formatCode="0.00">
                  <c:v>34.5</c:v>
                </c:pt>
                <c:pt idx="6" formatCode="0.00">
                  <c:v>22.2</c:v>
                </c:pt>
                <c:pt idx="7" formatCode="0.0000">
                  <c:v>4.3199999999999994</c:v>
                </c:pt>
                <c:pt idx="8" formatCode="0.0000">
                  <c:v>4.95</c:v>
                </c:pt>
                <c:pt idx="9" formatCode="0.0000">
                  <c:v>0</c:v>
                </c:pt>
                <c:pt idx="10" formatCode="0.00">
                  <c:v>72900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B2-448F-8EB7-D5F5290FD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5450191"/>
        <c:axId val="865464591"/>
      </c:barChart>
      <c:catAx>
        <c:axId val="86545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65464591"/>
        <c:crosses val="autoZero"/>
        <c:auto val="1"/>
        <c:lblAlgn val="ctr"/>
        <c:lblOffset val="100"/>
        <c:noMultiLvlLbl val="0"/>
      </c:catAx>
      <c:valAx>
        <c:axId val="86546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65450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0CD2AC1-C866-4409-AA1D-4223F6A48BD3}">
  <sheetPr codeName="Gráfico23"/>
  <sheetViews>
    <sheetView zoomScale="6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2825750</xdr:colOff>
      <xdr:row>7</xdr:row>
      <xdr:rowOff>47625</xdr:rowOff>
    </xdr:to>
    <xdr:pic>
      <xdr:nvPicPr>
        <xdr:cNvPr id="3" name="Imagen 2" descr="Maros_-_Membret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190500"/>
          <a:ext cx="8426450" cy="11906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1841501</xdr:colOff>
      <xdr:row>4</xdr:row>
      <xdr:rowOff>174625</xdr:rowOff>
    </xdr:from>
    <xdr:to>
      <xdr:col>3</xdr:col>
      <xdr:colOff>2726839</xdr:colOff>
      <xdr:row>8</xdr:row>
      <xdr:rowOff>111125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0" y="936625"/>
          <a:ext cx="885190" cy="698500"/>
        </a:xfrm>
        <a:prstGeom prst="rect">
          <a:avLst/>
        </a:prstGeom>
      </xdr:spPr>
    </xdr:pic>
    <xdr:clientData/>
  </xdr:twoCellAnchor>
  <xdr:oneCellAnchor>
    <xdr:from>
      <xdr:col>1</xdr:col>
      <xdr:colOff>412750</xdr:colOff>
      <xdr:row>4</xdr:row>
      <xdr:rowOff>15373</xdr:rowOff>
    </xdr:from>
    <xdr:ext cx="6492875" cy="997558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146175" y="777240"/>
          <a:ext cx="6492875" cy="9975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RELACIÓN MATERIAL DE EMPAQUE ASÉPTICO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217</xdr:col>
      <xdr:colOff>1097389</xdr:colOff>
      <xdr:row>0</xdr:row>
      <xdr:rowOff>174208</xdr:rowOff>
    </xdr:from>
    <xdr:to>
      <xdr:col>217</xdr:col>
      <xdr:colOff>2279333</xdr:colOff>
      <xdr:row>5</xdr:row>
      <xdr:rowOff>5046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9880" y="173990"/>
          <a:ext cx="1181735" cy="10210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5077" cy="63011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6BB7B41-A3D1-4AA2-2EB9-0CC9568759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109842</xdr:colOff>
      <xdr:row>0</xdr:row>
      <xdr:rowOff>44348</xdr:rowOff>
    </xdr:from>
    <xdr:to>
      <xdr:col>5</xdr:col>
      <xdr:colOff>876423</xdr:colOff>
      <xdr:row>4</xdr:row>
      <xdr:rowOff>308660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ondicion">
              <a:extLst>
                <a:ext uri="{FF2B5EF4-FFF2-40B4-BE49-F238E27FC236}">
                  <a16:creationId xmlns:a16="http://schemas.microsoft.com/office/drawing/2014/main" id="{81F38B4C-3E86-44AB-A18A-C0637AAB66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di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55307" y="44348"/>
              <a:ext cx="1453267" cy="11946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625327</xdr:colOff>
      <xdr:row>0</xdr:row>
      <xdr:rowOff>48090</xdr:rowOff>
    </xdr:from>
    <xdr:to>
      <xdr:col>21</xdr:col>
      <xdr:colOff>397409</xdr:colOff>
      <xdr:row>5</xdr:row>
      <xdr:rowOff>23371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lanta de Fabricacion 1">
              <a:extLst>
                <a:ext uri="{FF2B5EF4-FFF2-40B4-BE49-F238E27FC236}">
                  <a16:creationId xmlns:a16="http://schemas.microsoft.com/office/drawing/2014/main" id="{9942EC8D-1C33-45D7-AA29-BEA5375887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nta de Fabricac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00269" y="48090"/>
              <a:ext cx="2873245" cy="12711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1187880</xdr:colOff>
      <xdr:row>0</xdr:row>
      <xdr:rowOff>49438</xdr:rowOff>
    </xdr:from>
    <xdr:to>
      <xdr:col>13</xdr:col>
      <xdr:colOff>115223</xdr:colOff>
      <xdr:row>5</xdr:row>
      <xdr:rowOff>185854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lase de Producto">
              <a:extLst>
                <a:ext uri="{FF2B5EF4-FFF2-40B4-BE49-F238E27FC236}">
                  <a16:creationId xmlns:a16="http://schemas.microsoft.com/office/drawing/2014/main" id="{FAB7A27B-B9D5-45E7-9D06-8C1587AEF9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e de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20031" y="49438"/>
              <a:ext cx="3446180" cy="1432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332927</xdr:colOff>
      <xdr:row>0</xdr:row>
      <xdr:rowOff>0</xdr:rowOff>
    </xdr:from>
    <xdr:to>
      <xdr:col>17</xdr:col>
      <xdr:colOff>372360</xdr:colOff>
      <xdr:row>5</xdr:row>
      <xdr:rowOff>251088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Clasif de Producto">
              <a:extLst>
                <a:ext uri="{FF2B5EF4-FFF2-40B4-BE49-F238E27FC236}">
                  <a16:creationId xmlns:a16="http://schemas.microsoft.com/office/drawing/2014/main" id="{3FB9F844-C163-4820-9F39-20DE5ED085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 de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83915" y="0"/>
              <a:ext cx="2963387" cy="15469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112249</xdr:colOff>
      <xdr:row>0</xdr:row>
      <xdr:rowOff>28413</xdr:rowOff>
    </xdr:from>
    <xdr:to>
      <xdr:col>4</xdr:col>
      <xdr:colOff>52926</xdr:colOff>
      <xdr:row>4</xdr:row>
      <xdr:rowOff>294669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STATUS 1">
              <a:extLst>
                <a:ext uri="{FF2B5EF4-FFF2-40B4-BE49-F238E27FC236}">
                  <a16:creationId xmlns:a16="http://schemas.microsoft.com/office/drawing/2014/main" id="{C4BB07EA-E247-4215-B0E9-F52E42750F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394" y="28413"/>
              <a:ext cx="1745997" cy="11966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uario\Downloads\REPORTE%20DE%20INVENTARIO%20FEBRERO%2025-02-26.xlsx" TargetMode="External"/><Relationship Id="rId1" Type="http://schemas.openxmlformats.org/officeDocument/2006/relationships/externalLinkPath" Target="file:///C:\Users\Usuario\Downloads\REPORTE%20DE%20INVENTARIO%20FEBRERO%2025-02-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0"/>
      <sheetName val="VENCIMIENTO"/>
      <sheetName val="CAPACIDADES DE ALM"/>
      <sheetName val="INF GENERAL"/>
      <sheetName val="DATA GENERAL"/>
      <sheetName val="PP CABUDARE "/>
      <sheetName val="PP BQTO "/>
      <sheetName val="PP QUEBRADA A"/>
      <sheetName val="PP ANROS "/>
      <sheetName val="DETALLE DIAS DE INVENTARIO"/>
      <sheetName val="PROD vs VENTA"/>
    </sheetNames>
    <sheetDataSet>
      <sheetData sheetId="0"/>
      <sheetData sheetId="1"/>
      <sheetData sheetId="2"/>
      <sheetData sheetId="3">
        <row r="1">
          <cell r="J1" t="str">
            <v>VENTAS</v>
          </cell>
        </row>
        <row r="2">
          <cell r="B2" t="str">
            <v>CODIGO</v>
          </cell>
          <cell r="C2" t="str">
            <v>PRODUCTO</v>
          </cell>
          <cell r="D2" t="str">
            <v>CAJAS</v>
          </cell>
          <cell r="F2" t="str">
            <v>CODIGO</v>
          </cell>
          <cell r="G2" t="str">
            <v>PRODUCTO</v>
          </cell>
          <cell r="H2" t="str">
            <v>CAJAS</v>
          </cell>
          <cell r="J2" t="str">
            <v>CODIGO</v>
          </cell>
          <cell r="L2" t="str">
            <v>CAJAS</v>
          </cell>
          <cell r="N2" t="str">
            <v>CODIGO</v>
          </cell>
          <cell r="O2" t="str">
            <v>PRODUCTO</v>
          </cell>
          <cell r="P2" t="str">
            <v>CAJAS</v>
          </cell>
          <cell r="R2" t="str">
            <v>CODIGO</v>
          </cell>
          <cell r="S2" t="str">
            <v>PRODUCTO</v>
          </cell>
          <cell r="T2" t="str">
            <v>CAJAS</v>
          </cell>
          <cell r="V2" t="str">
            <v>CODIGO</v>
          </cell>
          <cell r="W2" t="str">
            <v>PRODUCTO</v>
          </cell>
          <cell r="X2" t="str">
            <v>CAJAS</v>
          </cell>
        </row>
        <row r="3">
          <cell r="B3" t="str">
            <v>PT1100001</v>
          </cell>
          <cell r="C3" t="str">
            <v xml:space="preserve"> NECTAR DE DURAZNO VIDRIO 250 CM3 X 24 Σ</v>
          </cell>
          <cell r="D3">
            <v>516</v>
          </cell>
          <cell r="F3" t="str">
            <v>PT4210002</v>
          </cell>
          <cell r="G3" t="str">
            <v xml:space="preserve"> CHICHA NATULAC TBA 473 CM3 X 12</v>
          </cell>
          <cell r="H3">
            <v>4408</v>
          </cell>
          <cell r="J3" t="str">
            <v>PT1500003</v>
          </cell>
          <cell r="L3">
            <v>14484</v>
          </cell>
          <cell r="N3" t="str">
            <v>PT1100001</v>
          </cell>
          <cell r="O3" t="str">
            <v xml:space="preserve"> NECTAR DE DURAZNO VIDRIO 250 CM3 X 24 Σ</v>
          </cell>
          <cell r="P3">
            <v>266</v>
          </cell>
          <cell r="R3" t="str">
            <v>PT5000001</v>
          </cell>
          <cell r="S3" t="str">
            <v xml:space="preserve"> CHOCO PILOS 40 G X 144 Σ</v>
          </cell>
          <cell r="T3">
            <v>0.03</v>
          </cell>
          <cell r="V3" t="str">
            <v>PT1300001</v>
          </cell>
          <cell r="W3" t="str">
            <v xml:space="preserve"> NECTAR DE DURAZNO TBA 1000 CM3 X 12</v>
          </cell>
          <cell r="X3">
            <v>502</v>
          </cell>
        </row>
        <row r="4">
          <cell r="B4" t="str">
            <v>PT1100002</v>
          </cell>
          <cell r="C4" t="str">
            <v xml:space="preserve"> NECTAR DE MANZANA VIDRIO 250 CM3 X 24 Σ</v>
          </cell>
          <cell r="D4">
            <v>1264</v>
          </cell>
          <cell r="F4" t="str">
            <v>PT4210005</v>
          </cell>
          <cell r="G4" t="str">
            <v xml:space="preserve"> CREMA DE LECHE NATULAC TBA 473 CM3 X 12</v>
          </cell>
          <cell r="H4">
            <v>2907</v>
          </cell>
          <cell r="J4" t="str">
            <v>PT1500002</v>
          </cell>
          <cell r="L4">
            <v>13130</v>
          </cell>
          <cell r="N4" t="str">
            <v>PT1100002</v>
          </cell>
          <cell r="O4" t="str">
            <v xml:space="preserve"> NECTAR DE MANZANA VIDRIO 250 CM3 X 24 Σ</v>
          </cell>
          <cell r="P4">
            <v>846</v>
          </cell>
          <cell r="R4" t="str">
            <v>PT5000002</v>
          </cell>
          <cell r="S4" t="str">
            <v xml:space="preserve"> COCO PILOS 40 G X 144 Σ</v>
          </cell>
          <cell r="T4">
            <v>0.75</v>
          </cell>
          <cell r="V4" t="str">
            <v>PT1300002</v>
          </cell>
          <cell r="W4" t="str">
            <v xml:space="preserve"> NECTAR DE MANZANA TBA 1000 CM3 X 12</v>
          </cell>
          <cell r="X4">
            <v>1074.4167</v>
          </cell>
        </row>
        <row r="5">
          <cell r="B5" t="str">
            <v>PT1100003</v>
          </cell>
          <cell r="C5" t="str">
            <v xml:space="preserve"> NECTAR DE PERA VIDRIO 250 CM3 X 24 Σ</v>
          </cell>
          <cell r="D5">
            <v>987</v>
          </cell>
          <cell r="F5" t="str">
            <v>PT4400002</v>
          </cell>
          <cell r="G5" t="str">
            <v xml:space="preserve"> CREAMER MAITA TPA 340 G X 24</v>
          </cell>
          <cell r="H5">
            <v>6837</v>
          </cell>
          <cell r="J5" t="str">
            <v>PT1300002</v>
          </cell>
          <cell r="L5">
            <v>16905</v>
          </cell>
          <cell r="N5" t="str">
            <v>PT1100003</v>
          </cell>
          <cell r="O5" t="str">
            <v xml:space="preserve"> NECTAR DE PERA VIDRIO 250 CM3 X 24 Σ</v>
          </cell>
          <cell r="P5">
            <v>648</v>
          </cell>
          <cell r="R5" t="str">
            <v>PT5000007</v>
          </cell>
          <cell r="S5" t="str">
            <v xml:space="preserve"> CHOCO PILOS ESTUCHE 220 G X 24 Σ</v>
          </cell>
          <cell r="T5">
            <v>9.6597000000000008</v>
          </cell>
          <cell r="V5" t="str">
            <v>PT1300003</v>
          </cell>
          <cell r="W5" t="str">
            <v xml:space="preserve"> NECTAR DE PERA TBA 1000 CM3 X 12</v>
          </cell>
          <cell r="X5">
            <v>812.66660000000002</v>
          </cell>
        </row>
        <row r="6">
          <cell r="B6" t="str">
            <v>PT1100006</v>
          </cell>
          <cell r="C6" t="str">
            <v xml:space="preserve"> NECTAR DE MANGO VIDRIO 250 CM3 X 24 Σ</v>
          </cell>
          <cell r="D6">
            <v>7</v>
          </cell>
          <cell r="F6" t="str">
            <v>PT3100002</v>
          </cell>
          <cell r="G6" t="str">
            <v xml:space="preserve"> COLADO DE MANZANA 186 G X 24</v>
          </cell>
          <cell r="H6">
            <v>6176</v>
          </cell>
          <cell r="J6" t="str">
            <v>PT1301003</v>
          </cell>
          <cell r="L6">
            <v>535</v>
          </cell>
          <cell r="N6" t="str">
            <v>PT1100006</v>
          </cell>
          <cell r="O6" t="str">
            <v xml:space="preserve"> NECTAR DE MANGO VIDRIO 250 CM3 X 24 Σ</v>
          </cell>
          <cell r="P6">
            <v>5</v>
          </cell>
          <cell r="R6" t="str">
            <v>PT5000008</v>
          </cell>
          <cell r="S6" t="str">
            <v xml:space="preserve"> COCO PILOS ESTUCHE 220 G X 24 Σ</v>
          </cell>
          <cell r="T6">
            <v>0.24990000000000001</v>
          </cell>
          <cell r="V6" t="str">
            <v>PT1300004</v>
          </cell>
          <cell r="W6" t="str">
            <v xml:space="preserve"> NARANJADA TBA 1000 CM3 X 12</v>
          </cell>
          <cell r="X6">
            <v>388.16669999999999</v>
          </cell>
        </row>
        <row r="7">
          <cell r="B7" t="str">
            <v>PT1300001</v>
          </cell>
          <cell r="C7" t="str">
            <v xml:space="preserve"> NECTAR DE DURAZNO TBA 1000 CM3 X 12 Σ</v>
          </cell>
          <cell r="D7">
            <v>5136</v>
          </cell>
          <cell r="F7" t="str">
            <v>PT4500002</v>
          </cell>
          <cell r="G7" t="str">
            <v xml:space="preserve"> LECHE CONDENSADA SEMIDESCREMADA MAITA TPA 340 G X 24</v>
          </cell>
          <cell r="H7">
            <v>5908</v>
          </cell>
          <cell r="J7" t="str">
            <v>PT1501003</v>
          </cell>
          <cell r="L7">
            <v>716</v>
          </cell>
          <cell r="N7" t="str">
            <v>PT1300001</v>
          </cell>
          <cell r="O7" t="str">
            <v xml:space="preserve"> NECTAR DE DURAZNO TBA 1000 CM3 X 12 Σ</v>
          </cell>
          <cell r="P7">
            <v>10505</v>
          </cell>
          <cell r="R7" t="str">
            <v>PT1300001</v>
          </cell>
          <cell r="S7" t="str">
            <v xml:space="preserve"> NECTAR DE DURAZNO TBA 1000 CM3 X 12 Σ</v>
          </cell>
          <cell r="T7">
            <v>1535.7529</v>
          </cell>
          <cell r="V7" t="str">
            <v>PT4000002</v>
          </cell>
          <cell r="W7" t="str">
            <v xml:space="preserve"> LECHE CONDENSADA AZUCARADA TUBO 50 G X 24 X 6</v>
          </cell>
          <cell r="X7">
            <v>0.61799999999999999</v>
          </cell>
        </row>
        <row r="8">
          <cell r="B8" t="str">
            <v>PT1300002</v>
          </cell>
          <cell r="C8" t="str">
            <v xml:space="preserve"> NECTAR DE MANZANA TBA 1000 CM3 X 12 Σ</v>
          </cell>
          <cell r="D8">
            <v>19944</v>
          </cell>
          <cell r="F8" t="str">
            <v>PT2010003</v>
          </cell>
          <cell r="G8" t="str">
            <v xml:space="preserve"> NECTAR DE PERA TPA 330 CM3 X 18</v>
          </cell>
          <cell r="H8">
            <v>2876</v>
          </cell>
          <cell r="J8" t="str">
            <v>PT1300001</v>
          </cell>
          <cell r="L8">
            <v>6562</v>
          </cell>
          <cell r="N8" t="str">
            <v>PT1300002</v>
          </cell>
          <cell r="O8" t="str">
            <v xml:space="preserve"> NECTAR DE MANZANA TBA 1000 CM3 X 12 Σ</v>
          </cell>
          <cell r="P8">
            <v>15208</v>
          </cell>
          <cell r="R8" t="str">
            <v>PT1300002</v>
          </cell>
          <cell r="S8" t="str">
            <v xml:space="preserve"> NECTAR DE MANZANA TBA 1000 CM3 X 12 Σ</v>
          </cell>
          <cell r="T8">
            <v>1958.7534000000001</v>
          </cell>
          <cell r="V8" t="str">
            <v>PT4000001</v>
          </cell>
          <cell r="W8" t="str">
            <v xml:space="preserve"> LECHE CONDENSADA AZUCARADA LATA 397 G X 24</v>
          </cell>
          <cell r="X8">
            <v>87.833399999999997</v>
          </cell>
        </row>
        <row r="9">
          <cell r="B9" t="str">
            <v>PT1300003</v>
          </cell>
          <cell r="C9" t="str">
            <v xml:space="preserve"> NECTAR DE PERA TBA 1000 CM3 X 12 Σ</v>
          </cell>
          <cell r="D9">
            <v>20457</v>
          </cell>
          <cell r="F9" t="str">
            <v>PT6000003</v>
          </cell>
          <cell r="G9" t="str">
            <v xml:space="preserve"> BEBIDA DE PERA JUCOSA TBA 1000 CM3 X 12</v>
          </cell>
          <cell r="H9">
            <v>7357</v>
          </cell>
          <cell r="J9" t="str">
            <v>PT1301001</v>
          </cell>
          <cell r="L9">
            <v>476</v>
          </cell>
          <cell r="N9" t="str">
            <v>PT1300003</v>
          </cell>
          <cell r="O9" t="str">
            <v xml:space="preserve"> NECTAR DE PERA TBA 1000 CM3 X 12 Σ</v>
          </cell>
          <cell r="P9">
            <v>22442</v>
          </cell>
          <cell r="R9" t="str">
            <v>PT1300003</v>
          </cell>
          <cell r="S9" t="str">
            <v xml:space="preserve"> NECTAR DE PERA TBA 1000 CM3 X 12 Σ</v>
          </cell>
          <cell r="T9">
            <v>2431.0030999999999</v>
          </cell>
          <cell r="V9" t="str">
            <v>PT4000003</v>
          </cell>
          <cell r="W9" t="str">
            <v xml:space="preserve"> LECHE CONDENSADA AZUCARADA TPA 340 G X 24</v>
          </cell>
          <cell r="X9">
            <v>187.29170000000002</v>
          </cell>
        </row>
        <row r="10">
          <cell r="B10" t="str">
            <v>PT1300004</v>
          </cell>
          <cell r="C10" t="str">
            <v xml:space="preserve"> NARANJADA TBA 1000 CM3 X 12 Σ</v>
          </cell>
          <cell r="D10">
            <v>1045</v>
          </cell>
          <cell r="F10" t="str">
            <v>PT2010002</v>
          </cell>
          <cell r="G10" t="str">
            <v xml:space="preserve"> NECTAR DE MANZANA TPA 330 CM3 X 18</v>
          </cell>
          <cell r="H10">
            <v>6896</v>
          </cell>
          <cell r="J10" t="str">
            <v>PT1500001</v>
          </cell>
          <cell r="L10">
            <v>7000</v>
          </cell>
          <cell r="N10" t="str">
            <v>PT1300004</v>
          </cell>
          <cell r="O10" t="str">
            <v xml:space="preserve"> NARANJADA TBA 1000 CM3 X 12 Σ</v>
          </cell>
          <cell r="P10">
            <v>359</v>
          </cell>
          <cell r="R10" t="str">
            <v>PT1300004</v>
          </cell>
          <cell r="S10" t="str">
            <v xml:space="preserve"> NARANJADA TBA 1000 CM3 X 12 Σ</v>
          </cell>
          <cell r="T10">
            <v>854.25030000000004</v>
          </cell>
          <cell r="V10" t="str">
            <v>PT3000002</v>
          </cell>
          <cell r="W10" t="str">
            <v xml:space="preserve"> COLADO DE MANZANA 113 G X 24</v>
          </cell>
          <cell r="X10">
            <v>27.916799999999999</v>
          </cell>
        </row>
        <row r="11">
          <cell r="B11" t="str">
            <v>PT1300005</v>
          </cell>
          <cell r="C11" t="str">
            <v xml:space="preserve"> COCTEL DE FRUTAS TBA 1000 CM3 X 12 Σ</v>
          </cell>
          <cell r="D11">
            <v>3509</v>
          </cell>
          <cell r="F11" t="str">
            <v>PT6000002</v>
          </cell>
          <cell r="G11" t="str">
            <v xml:space="preserve"> BEBIDA DE MANZANA JUCOSA TBA 1000 CM3 X 12</v>
          </cell>
          <cell r="H11">
            <v>8792</v>
          </cell>
          <cell r="J11" t="str">
            <v>PT1302001</v>
          </cell>
          <cell r="L11">
            <v>166</v>
          </cell>
          <cell r="N11" t="str">
            <v>PT1300005</v>
          </cell>
          <cell r="O11" t="str">
            <v xml:space="preserve"> COCTEL DE FRUTAS TBA 1000 CM3 X 12 Σ</v>
          </cell>
          <cell r="P11">
            <v>3097</v>
          </cell>
          <cell r="R11" t="str">
            <v>PT1300005</v>
          </cell>
          <cell r="S11" t="str">
            <v xml:space="preserve"> COCTEL DE FRUTAS TBA 1000 CM3 X 12 Σ</v>
          </cell>
          <cell r="T11">
            <v>13.75</v>
          </cell>
          <cell r="V11" t="str">
            <v>PT3000003</v>
          </cell>
          <cell r="W11" t="str">
            <v xml:space="preserve"> COLADO DE PERA 113 G X 24</v>
          </cell>
          <cell r="X11">
            <v>77.249899999999997</v>
          </cell>
        </row>
        <row r="12">
          <cell r="B12" t="str">
            <v>PT1300006</v>
          </cell>
          <cell r="C12" t="str">
            <v xml:space="preserve"> NECTAR DE MANGO TBA 1000 CM3 X 12 Σ</v>
          </cell>
          <cell r="D12">
            <v>1770</v>
          </cell>
          <cell r="F12" t="str">
            <v>PT4000001</v>
          </cell>
          <cell r="G12" t="str">
            <v xml:space="preserve"> LECHE CONDENSADA AZUCARADA LATA 397 G X 24</v>
          </cell>
          <cell r="H12">
            <v>7682</v>
          </cell>
          <cell r="J12" t="str">
            <v>PT4210012</v>
          </cell>
          <cell r="L12">
            <v>922</v>
          </cell>
          <cell r="N12" t="str">
            <v>PT1300006</v>
          </cell>
          <cell r="O12" t="str">
            <v xml:space="preserve"> NECTAR DE MANGO TBA 1000 CM3 X 12 Σ</v>
          </cell>
          <cell r="P12">
            <v>2836</v>
          </cell>
          <cell r="R12" t="str">
            <v>PT1500001</v>
          </cell>
          <cell r="S12" t="str">
            <v xml:space="preserve"> NECTAR DE DURAZNO TPA 250 CM3 X 24 (THREE PACK) Σ</v>
          </cell>
          <cell r="T12">
            <v>277.7285</v>
          </cell>
          <cell r="V12" t="str">
            <v>PT3100003</v>
          </cell>
          <cell r="W12" t="str">
            <v xml:space="preserve"> COLADO DE PERA 186 G X 24</v>
          </cell>
          <cell r="X12">
            <v>156.16660000000002</v>
          </cell>
        </row>
        <row r="13">
          <cell r="B13" t="str">
            <v>PT1300009</v>
          </cell>
          <cell r="C13" t="str">
            <v xml:space="preserve"> TE NEGRO DE DURAZNO TBA 1000 CM3 X 12 Σ</v>
          </cell>
          <cell r="D13">
            <v>0</v>
          </cell>
          <cell r="F13" t="str">
            <v>PT3100003</v>
          </cell>
          <cell r="G13" t="str">
            <v xml:space="preserve"> COLADO DE PERA 186 G X 24</v>
          </cell>
          <cell r="H13">
            <v>5015</v>
          </cell>
          <cell r="J13" t="str">
            <v>PT2010001</v>
          </cell>
          <cell r="L13">
            <v>3474</v>
          </cell>
          <cell r="N13" t="str">
            <v>PT1300009</v>
          </cell>
          <cell r="O13" t="str">
            <v xml:space="preserve"> TE NEGRO DE DURAZNO TBA 1000 CM3 X 12 Σ</v>
          </cell>
          <cell r="P13">
            <v>0</v>
          </cell>
          <cell r="R13" t="str">
            <v>PT1500002</v>
          </cell>
          <cell r="S13" t="str">
            <v xml:space="preserve"> NECTAR DE MANZANA TPA 250 CM3 X 24 (THREE PACK) Σ</v>
          </cell>
          <cell r="T13">
            <v>901.61890000000005</v>
          </cell>
          <cell r="V13" t="str">
            <v>PT3100002</v>
          </cell>
          <cell r="W13" t="str">
            <v xml:space="preserve"> COLADO DE MANZANA 186 G X 24</v>
          </cell>
          <cell r="X13">
            <v>218.70820000000003</v>
          </cell>
        </row>
        <row r="14">
          <cell r="B14" t="str">
            <v>PT1300010</v>
          </cell>
          <cell r="C14" t="str">
            <v xml:space="preserve"> TE NEGRO DE LIMON TBA 1000 CM3 X 12 Σ</v>
          </cell>
          <cell r="D14">
            <v>96</v>
          </cell>
          <cell r="F14" t="str">
            <v>PT1500002</v>
          </cell>
          <cell r="G14" t="str">
            <v xml:space="preserve"> NECTAR DE MANZANA TPA 250 CM3 X 24 (THREE PACK)</v>
          </cell>
          <cell r="H14">
            <v>10593</v>
          </cell>
          <cell r="J14" t="str">
            <v>PT2010004</v>
          </cell>
          <cell r="L14">
            <v>1776</v>
          </cell>
          <cell r="N14" t="str">
            <v>PT1300010</v>
          </cell>
          <cell r="O14" t="str">
            <v xml:space="preserve"> TE NEGRO DE LIMON TBA 1000 CM3 X 12 Σ</v>
          </cell>
          <cell r="P14">
            <v>7</v>
          </cell>
          <cell r="R14" t="str">
            <v>PT1500003</v>
          </cell>
          <cell r="S14" t="str">
            <v xml:space="preserve"> NECTAR DE PERA TPA 250 CM3 X 24 (THREE PACK) Σ</v>
          </cell>
          <cell r="T14">
            <v>626.21709999999996</v>
          </cell>
          <cell r="V14" t="str">
            <v>PT1500004</v>
          </cell>
          <cell r="W14" t="str">
            <v xml:space="preserve"> NARANJADA TPA 250 CM3 X 24 (THREE PACK)</v>
          </cell>
          <cell r="X14">
            <v>182.25</v>
          </cell>
        </row>
        <row r="15">
          <cell r="B15" t="str">
            <v>PT1301001</v>
          </cell>
          <cell r="C15" t="str">
            <v xml:space="preserve"> NECTAR DE DURAZNO S/A TBA 1000 CM3 X 12 Σ</v>
          </cell>
          <cell r="D15">
            <v>823</v>
          </cell>
          <cell r="F15" t="str">
            <v>PT1501002</v>
          </cell>
          <cell r="G15" t="str">
            <v xml:space="preserve"> NECTAR DE MANZANA S/A TPA 250 CM3 X 24 (THREE PACK)</v>
          </cell>
          <cell r="H15">
            <v>778</v>
          </cell>
          <cell r="J15" t="str">
            <v>PT4200006</v>
          </cell>
          <cell r="L15">
            <v>3224</v>
          </cell>
          <cell r="N15" t="str">
            <v>PT1301001</v>
          </cell>
          <cell r="O15" t="str">
            <v xml:space="preserve"> NECTAR DE DURAZNO S/A TBA 1000 CM3 X 12 Σ</v>
          </cell>
          <cell r="P15">
            <v>2196</v>
          </cell>
          <cell r="R15" t="str">
            <v>PT1500004</v>
          </cell>
          <cell r="S15" t="str">
            <v xml:space="preserve"> NARANJADA TPA 250 CM3 X 24 (THREE PACK) Σ</v>
          </cell>
          <cell r="T15">
            <v>286.48509999999999</v>
          </cell>
          <cell r="V15" t="str">
            <v>PT1500002</v>
          </cell>
          <cell r="W15" t="str">
            <v xml:space="preserve"> NECTAR DE MANZANA TPA 250 CM3 X 24 (THREE PACK)</v>
          </cell>
          <cell r="X15">
            <v>751.125</v>
          </cell>
        </row>
        <row r="16">
          <cell r="B16" t="str">
            <v>PT1301002</v>
          </cell>
          <cell r="C16" t="str">
            <v xml:space="preserve"> NECTAR DE MANZANA S/A TBA 1000 CM3 X 12 Σ</v>
          </cell>
          <cell r="D16">
            <v>6</v>
          </cell>
          <cell r="F16" t="str">
            <v>PT1300001</v>
          </cell>
          <cell r="G16" t="str">
            <v xml:space="preserve"> NECTAR DE DURAZNO TBA 1000 CM3 X 12</v>
          </cell>
          <cell r="H16">
            <v>12849</v>
          </cell>
          <cell r="J16" t="str">
            <v>PT4200003</v>
          </cell>
          <cell r="L16">
            <v>33845.999899999995</v>
          </cell>
          <cell r="N16" t="str">
            <v>PT1301002</v>
          </cell>
          <cell r="O16" t="str">
            <v xml:space="preserve"> NECTAR DE MANZANA S/A TBA 1000 CM3 X 12 Σ</v>
          </cell>
          <cell r="P16">
            <v>1189</v>
          </cell>
          <cell r="R16" t="str">
            <v>PT3000001</v>
          </cell>
          <cell r="S16" t="str">
            <v xml:space="preserve"> COLADO DE DURAZNO 113 G X 24 Σ</v>
          </cell>
          <cell r="T16">
            <v>9.9582999999999995</v>
          </cell>
          <cell r="V16" t="str">
            <v>PT1500001</v>
          </cell>
          <cell r="W16" t="str">
            <v xml:space="preserve"> NECTAR DE DURAZNO TPA 250 CM3 X 24 (THREE PACK)</v>
          </cell>
          <cell r="X16">
            <v>217.75</v>
          </cell>
        </row>
        <row r="17">
          <cell r="B17" t="str">
            <v>PT1301003</v>
          </cell>
          <cell r="C17" t="str">
            <v xml:space="preserve"> NECTAR DE PERA S/A TBA 1000 CM3 X 12 Σ</v>
          </cell>
          <cell r="D17">
            <v>649</v>
          </cell>
          <cell r="F17" t="str">
            <v>PT4000002</v>
          </cell>
          <cell r="G17" t="str">
            <v xml:space="preserve"> LECHE CONDENSADA AZUCARADA TUBO 50 G X 24 X 6</v>
          </cell>
          <cell r="H17">
            <v>396</v>
          </cell>
          <cell r="J17" t="str">
            <v>PT4200004</v>
          </cell>
          <cell r="L17">
            <v>7408.0833000000002</v>
          </cell>
          <cell r="N17" t="str">
            <v>PT1301003</v>
          </cell>
          <cell r="O17" t="str">
            <v xml:space="preserve"> NECTAR DE PERA S/A TBA 1000 CM3 X 12 Σ</v>
          </cell>
          <cell r="P17">
            <v>146</v>
          </cell>
          <cell r="R17" t="str">
            <v>PT3000002</v>
          </cell>
          <cell r="S17" t="str">
            <v xml:space="preserve"> COLADO DE MANZANA 113 G X 24 Σ</v>
          </cell>
          <cell r="T17">
            <v>367.95139999999998</v>
          </cell>
          <cell r="V17" t="str">
            <v>PT4200008</v>
          </cell>
          <cell r="W17" t="str">
            <v xml:space="preserve"> BEBIDA DE ALMENDRAS NATULAC TBA 946 CM3 X 12</v>
          </cell>
          <cell r="X17">
            <v>179.25</v>
          </cell>
        </row>
        <row r="18">
          <cell r="B18" t="str">
            <v>PT1301006</v>
          </cell>
          <cell r="C18" t="str">
            <v xml:space="preserve"> NECTAR DE MANGO S/A TBA 1000 CM3 X 12 Σ</v>
          </cell>
          <cell r="D18">
            <v>508</v>
          </cell>
          <cell r="F18" t="str">
            <v>PT4200003</v>
          </cell>
          <cell r="G18" t="str">
            <v xml:space="preserve"> LECHE ENTERA NATULAC TBA 946 CM3 X 12</v>
          </cell>
          <cell r="H18">
            <v>33929</v>
          </cell>
          <cell r="J18" t="str">
            <v>PT4200005</v>
          </cell>
          <cell r="L18">
            <v>7454.8333999999995</v>
          </cell>
          <cell r="N18" t="str">
            <v>PT1301006</v>
          </cell>
          <cell r="O18" t="str">
            <v xml:space="preserve"> NECTAR DE MANGO S/A TBA 1000 CM3 X 12 Σ</v>
          </cell>
          <cell r="P18">
            <v>484</v>
          </cell>
          <cell r="R18" t="str">
            <v>PT3000003</v>
          </cell>
          <cell r="S18" t="str">
            <v xml:space="preserve"> COLADO DE PERA 113 G X 24 Σ</v>
          </cell>
          <cell r="T18">
            <v>647.00030000000004</v>
          </cell>
          <cell r="V18" t="str">
            <v>PT1500003</v>
          </cell>
          <cell r="W18" t="str">
            <v xml:space="preserve"> NECTAR DE PERA TPA 250 CM3 X 24 (THREE PACK)</v>
          </cell>
          <cell r="X18">
            <v>476.75</v>
          </cell>
        </row>
        <row r="19">
          <cell r="B19" t="str">
            <v>PT1302001</v>
          </cell>
          <cell r="C19" t="str">
            <v xml:space="preserve"> JUGO DE MANZANA 100% TBA 1000 CM3 X 12 Σ</v>
          </cell>
          <cell r="D19">
            <v>1466</v>
          </cell>
          <cell r="F19" t="str">
            <v>PT1301002</v>
          </cell>
          <cell r="G19" t="str">
            <v xml:space="preserve"> NECTAR DE MANZANA S/A TBA 1000 CM3 X 12</v>
          </cell>
          <cell r="H19">
            <v>1794</v>
          </cell>
          <cell r="J19" t="str">
            <v>PT1300005</v>
          </cell>
          <cell r="L19">
            <v>2971</v>
          </cell>
          <cell r="N19" t="str">
            <v>PT1302001</v>
          </cell>
          <cell r="O19" t="str">
            <v xml:space="preserve"> JUGO DE MANZANA 100% TBA 1000 CM3 X 12 Σ</v>
          </cell>
          <cell r="P19">
            <v>1329</v>
          </cell>
          <cell r="R19" t="str">
            <v>PT3100001</v>
          </cell>
          <cell r="S19" t="str">
            <v xml:space="preserve"> COLADO DE DURAZNO 186 G X 24 Σ</v>
          </cell>
          <cell r="T19">
            <v>70.791700000000006</v>
          </cell>
          <cell r="V19" t="str">
            <v>PT5000007</v>
          </cell>
          <cell r="W19" t="str">
            <v xml:space="preserve"> CHOCO PILOS ESTUCHE 220 G X 24</v>
          </cell>
          <cell r="X19">
            <v>57.041600000000003</v>
          </cell>
        </row>
        <row r="20">
          <cell r="B20" t="str">
            <v>PT1302002</v>
          </cell>
          <cell r="C20" t="str">
            <v xml:space="preserve"> JUGO DE NARANJA 100% TBA 1000 CM3 X 12 Σ</v>
          </cell>
          <cell r="D20">
            <v>103</v>
          </cell>
          <cell r="F20" t="str">
            <v>PT3100001</v>
          </cell>
          <cell r="G20" t="str">
            <v xml:space="preserve"> COLADO DE DURAZNO 186 G X 24</v>
          </cell>
          <cell r="H20">
            <v>1685</v>
          </cell>
          <cell r="J20" t="str">
            <v>PT1501002</v>
          </cell>
          <cell r="L20">
            <v>752</v>
          </cell>
          <cell r="N20" t="str">
            <v>PT1302002</v>
          </cell>
          <cell r="O20" t="str">
            <v xml:space="preserve"> JUGO DE NARANJA 100% TBA 1000 CM3 X 12 Σ</v>
          </cell>
          <cell r="P20">
            <v>0</v>
          </cell>
          <cell r="R20" t="str">
            <v>PT3100002</v>
          </cell>
          <cell r="S20" t="str">
            <v xml:space="preserve"> COLADO DE MANZANA 186 G X 24 Σ</v>
          </cell>
          <cell r="T20">
            <v>573.83320000000003</v>
          </cell>
          <cell r="X20"/>
        </row>
        <row r="21">
          <cell r="B21" t="str">
            <v>PT1302003</v>
          </cell>
          <cell r="C21" t="str">
            <v xml:space="preserve"> AGUA DE COCO TBA 1000 CM3 X 12 Σ</v>
          </cell>
          <cell r="D21">
            <v>20</v>
          </cell>
          <cell r="F21" t="str">
            <v>PT4200005</v>
          </cell>
          <cell r="G21" t="str">
            <v xml:space="preserve"> LECHE DESCREMADA DESLACTOSADA NATULAC TBA 946 CM3 X 12</v>
          </cell>
          <cell r="H21">
            <v>5221</v>
          </cell>
          <cell r="J21" t="str">
            <v>PT1100001</v>
          </cell>
          <cell r="L21">
            <v>252</v>
          </cell>
          <cell r="N21" t="str">
            <v>PT1302003</v>
          </cell>
          <cell r="O21" t="str">
            <v xml:space="preserve"> AGUA DE COCO TBA 1000 CM3 X 12 Σ</v>
          </cell>
          <cell r="P21">
            <v>6</v>
          </cell>
          <cell r="R21" t="str">
            <v>PT3100003</v>
          </cell>
          <cell r="S21" t="str">
            <v xml:space="preserve"> COLADO DE PERA 186 G X 24 Σ</v>
          </cell>
          <cell r="T21">
            <v>278.50029999999998</v>
          </cell>
          <cell r="X21"/>
        </row>
        <row r="22">
          <cell r="B22" t="str">
            <v>PT1400002</v>
          </cell>
          <cell r="C22" t="str">
            <v xml:space="preserve"> NECTAR DE MANZANA TBA 500 CM3 X 12 Σ</v>
          </cell>
          <cell r="D22">
            <v>0</v>
          </cell>
          <cell r="F22" t="str">
            <v>PT1300003</v>
          </cell>
          <cell r="G22" t="str">
            <v xml:space="preserve"> NECTAR DE PERA TBA 1000 CM3 X 12</v>
          </cell>
          <cell r="H22">
            <v>16643</v>
          </cell>
          <cell r="J22" t="str">
            <v>PT4210008</v>
          </cell>
          <cell r="L22">
            <v>235</v>
          </cell>
          <cell r="N22" t="str">
            <v>PT1400002</v>
          </cell>
          <cell r="O22" t="str">
            <v xml:space="preserve"> NECTAR DE MANZANA TBA 500 CM3 X 12 Σ</v>
          </cell>
          <cell r="P22">
            <v>0</v>
          </cell>
          <cell r="R22" t="str">
            <v>PT3400001</v>
          </cell>
          <cell r="S22" t="str">
            <v xml:space="preserve"> COLADO DURAZNO TCA 160 G X 24 (THREE PACK) Σ</v>
          </cell>
          <cell r="T22">
            <v>7.63</v>
          </cell>
          <cell r="X22"/>
        </row>
        <row r="23">
          <cell r="B23" t="str">
            <v>PT1500001</v>
          </cell>
          <cell r="C23" t="str">
            <v xml:space="preserve"> NECTAR DE DURAZNO TPA 250 CM3 X 24 (THREE PACK) Σ</v>
          </cell>
          <cell r="D23">
            <v>4430</v>
          </cell>
          <cell r="F23" t="str">
            <v>PT4000003</v>
          </cell>
          <cell r="G23" t="str">
            <v xml:space="preserve"> LECHE CONDENSADA AZUCARADA TPA 340 G X 24</v>
          </cell>
          <cell r="H23">
            <v>8465</v>
          </cell>
          <cell r="J23" t="str">
            <v>PT1100002</v>
          </cell>
          <cell r="L23">
            <v>415</v>
          </cell>
          <cell r="N23" t="str">
            <v>PT1500001</v>
          </cell>
          <cell r="O23" t="str">
            <v xml:space="preserve"> NECTAR DE DURAZNO TPA 250 CM3 X 24 (THREE PACK) Σ</v>
          </cell>
          <cell r="P23">
            <v>2765</v>
          </cell>
          <cell r="R23" t="str">
            <v>PT3400002</v>
          </cell>
          <cell r="S23" t="str">
            <v xml:space="preserve"> COLADO MANZANA TCA 160 G X 24 (THREE PACK) Σ</v>
          </cell>
          <cell r="T23">
            <v>3.1284000000000001</v>
          </cell>
          <cell r="X23"/>
        </row>
        <row r="24">
          <cell r="B24" t="str">
            <v>PT1500002</v>
          </cell>
          <cell r="C24" t="str">
            <v xml:space="preserve"> NECTAR DE MANZANA TPA 250 CM3 X 24 (THREE PACK) Σ</v>
          </cell>
          <cell r="D24">
            <v>5653</v>
          </cell>
          <cell r="F24" t="str">
            <v>PT3000002</v>
          </cell>
          <cell r="G24" t="str">
            <v xml:space="preserve"> COLADO DE MANZANA 113 G X 24</v>
          </cell>
          <cell r="H24">
            <v>7871</v>
          </cell>
          <cell r="J24" t="str">
            <v>PT1302003</v>
          </cell>
          <cell r="L24">
            <v>14</v>
          </cell>
          <cell r="N24" t="str">
            <v>PT1500002</v>
          </cell>
          <cell r="O24" t="str">
            <v xml:space="preserve"> NECTAR DE MANZANA TPA 250 CM3 X 24 (THREE PACK) Σ</v>
          </cell>
          <cell r="P24">
            <v>2439</v>
          </cell>
          <cell r="R24" t="str">
            <v>PT3400003</v>
          </cell>
          <cell r="S24" t="str">
            <v xml:space="preserve"> COLADO PERA TCA 160 G X 24 (THREE PACK) Σ</v>
          </cell>
          <cell r="T24">
            <v>31.12</v>
          </cell>
          <cell r="X24"/>
        </row>
        <row r="25">
          <cell r="B25" t="str">
            <v>PT1500003</v>
          </cell>
          <cell r="C25" t="str">
            <v xml:space="preserve"> NECTAR DE PERA TPA 250 CM3 X 24 (THREE PACK) Σ</v>
          </cell>
          <cell r="D25">
            <v>5879</v>
          </cell>
          <cell r="F25" t="str">
            <v>PT1500003</v>
          </cell>
          <cell r="G25" t="str">
            <v xml:space="preserve"> NECTAR DE PERA TPA 250 CM3 X 24 (THREE PACK)</v>
          </cell>
          <cell r="H25">
            <v>11895</v>
          </cell>
          <cell r="J25" t="str">
            <v>PT1500004</v>
          </cell>
          <cell r="L25">
            <v>2291</v>
          </cell>
          <cell r="N25" t="str">
            <v>PT1500003</v>
          </cell>
          <cell r="O25" t="str">
            <v xml:space="preserve"> NECTAR DE PERA TPA 250 CM3 X 24 (THREE PACK) Σ</v>
          </cell>
          <cell r="P25">
            <v>2958</v>
          </cell>
          <cell r="R25" t="str">
            <v>PT4000001</v>
          </cell>
          <cell r="S25" t="str">
            <v xml:space="preserve"> LECHE CONDENSADA AZUCARADA LATA 397 G X 24 Σ</v>
          </cell>
          <cell r="T25">
            <v>143.08369999999999</v>
          </cell>
          <cell r="X25"/>
        </row>
        <row r="26">
          <cell r="B26" t="str">
            <v>PT1500004</v>
          </cell>
          <cell r="C26" t="str">
            <v xml:space="preserve"> NARANJADA TPA 250 CM3 X 24 (THREE PACK) Σ</v>
          </cell>
          <cell r="D26">
            <v>704</v>
          </cell>
          <cell r="F26" t="str">
            <v>PT1500004</v>
          </cell>
          <cell r="G26" t="str">
            <v xml:space="preserve"> NARANJADA TPA 250 CM3 X 24 (THREE PACK)</v>
          </cell>
          <cell r="H26">
            <v>2092</v>
          </cell>
          <cell r="J26" t="str">
            <v>PT1302002</v>
          </cell>
          <cell r="L26">
            <v>106</v>
          </cell>
          <cell r="N26" t="str">
            <v>PT1500004</v>
          </cell>
          <cell r="O26" t="str">
            <v xml:space="preserve"> NARANJADA TPA 250 CM3 X 24 (THREE PACK) Σ</v>
          </cell>
          <cell r="P26">
            <v>313</v>
          </cell>
          <cell r="R26" t="str">
            <v>PT4000002</v>
          </cell>
          <cell r="S26" t="str">
            <v xml:space="preserve"> LECHE CONDENSADA AZUCARADA TUBO 50 G X 24 X 6 Σ</v>
          </cell>
          <cell r="T26">
            <v>30.761500000000002</v>
          </cell>
          <cell r="X26"/>
        </row>
        <row r="27">
          <cell r="B27" t="str">
            <v>PT1501001</v>
          </cell>
          <cell r="C27" t="str">
            <v xml:space="preserve"> NECTAR DE DURAZNO S/A TPA 250 CM3 X 24 (THREE PACK) Σ</v>
          </cell>
          <cell r="D27">
            <v>32</v>
          </cell>
          <cell r="F27" t="str">
            <v>PT3000003</v>
          </cell>
          <cell r="G27" t="str">
            <v xml:space="preserve"> COLADO DE PERA 113 G X 24</v>
          </cell>
          <cell r="H27">
            <v>3811</v>
          </cell>
          <cell r="J27" t="str">
            <v>PT1300003</v>
          </cell>
          <cell r="L27">
            <v>13430</v>
          </cell>
          <cell r="N27" t="str">
            <v>PT1501001</v>
          </cell>
          <cell r="O27" t="str">
            <v xml:space="preserve"> NECTAR DE DURAZNO S/A TPA 250 CM3 X 24 (THREE PACK) Σ</v>
          </cell>
          <cell r="P27">
            <v>768</v>
          </cell>
          <cell r="R27" t="str">
            <v>PT4000003</v>
          </cell>
          <cell r="S27" t="str">
            <v xml:space="preserve"> LECHE CONDENSADA AZUCARADA TPA 340 G X 24 Σ</v>
          </cell>
          <cell r="T27">
            <v>296.6626</v>
          </cell>
          <cell r="X27"/>
        </row>
        <row r="28">
          <cell r="B28" t="str">
            <v>PT1501002</v>
          </cell>
          <cell r="C28" t="str">
            <v xml:space="preserve"> NECTAR DE MANZANA S/A TPA 250 CM3 X 24 (THREE PACK) Σ</v>
          </cell>
          <cell r="D28">
            <v>383</v>
          </cell>
          <cell r="F28" t="str">
            <v>PT4000012</v>
          </cell>
          <cell r="G28" t="str">
            <v xml:space="preserve"> LECHE CONDENSADA AZUCARADA SEMIDESCREMADA LATA 397 G X 24</v>
          </cell>
          <cell r="H28">
            <v>1014</v>
          </cell>
          <cell r="J28" t="str">
            <v>PT1502003</v>
          </cell>
          <cell r="L28">
            <v>19</v>
          </cell>
          <cell r="N28" t="str">
            <v>PT1501002</v>
          </cell>
          <cell r="O28" t="str">
            <v xml:space="preserve"> NECTAR DE MANZANA S/A TPA 250 CM3 X 24 (THREE PACK) Σ</v>
          </cell>
          <cell r="P28">
            <v>429</v>
          </cell>
          <cell r="R28" t="str">
            <v>PT4200008</v>
          </cell>
          <cell r="S28" t="str">
            <v xml:space="preserve"> BEBIDA DE ALMENDRAS NATULAC TBA 946 CM3 X 12 Σ</v>
          </cell>
          <cell r="T28">
            <v>225.33359999999999</v>
          </cell>
          <cell r="X28"/>
        </row>
        <row r="29">
          <cell r="B29" t="str">
            <v>PT1501003</v>
          </cell>
          <cell r="C29" t="str">
            <v xml:space="preserve"> NECTAR DE PERA S/A TPA 250 CM3 X 24 (THREE PACK) Σ</v>
          </cell>
          <cell r="D29">
            <v>779</v>
          </cell>
          <cell r="F29" t="str">
            <v>PT4200004</v>
          </cell>
          <cell r="G29" t="str">
            <v xml:space="preserve"> LECHE DESCREMADA NATULAC TBA 946 CM3 X 12</v>
          </cell>
          <cell r="H29">
            <v>12329</v>
          </cell>
          <cell r="J29" t="str">
            <v>PT4300002</v>
          </cell>
          <cell r="L29">
            <v>90</v>
          </cell>
          <cell r="N29" t="str">
            <v>PT1501003</v>
          </cell>
          <cell r="O29" t="str">
            <v xml:space="preserve"> NECTAR DE PERA S/A TPA 250 CM3 X 24 (THREE PACK) Σ</v>
          </cell>
          <cell r="P29">
            <v>83</v>
          </cell>
          <cell r="R29" t="str">
            <v>PT4210008</v>
          </cell>
          <cell r="S29" t="str">
            <v xml:space="preserve"> BEBIDA DE ALMENDRAS NATULAC TBA 473 CM3 X 12 Σ</v>
          </cell>
          <cell r="T29">
            <v>0</v>
          </cell>
          <cell r="X29"/>
        </row>
        <row r="30">
          <cell r="B30" t="str">
            <v>PT1502001</v>
          </cell>
          <cell r="C30" t="str">
            <v xml:space="preserve"> JUGO DE MANZANA 100% TPA 250 CM3 X 24 (THREE PACK) Σ</v>
          </cell>
          <cell r="D30">
            <v>552</v>
          </cell>
          <cell r="F30" t="str">
            <v>PT1501001</v>
          </cell>
          <cell r="G30" t="str">
            <v xml:space="preserve"> NECTAR DE DURAZNO S/A TPA 250 CM3 X 24 (THREE PACK)</v>
          </cell>
          <cell r="H30">
            <v>1096</v>
          </cell>
          <cell r="J30" t="str">
            <v>PT4200008</v>
          </cell>
          <cell r="L30">
            <v>1195</v>
          </cell>
          <cell r="N30" t="str">
            <v>PT1502001</v>
          </cell>
          <cell r="O30" t="str">
            <v xml:space="preserve"> JUGO DE MANZANA 100% TPA 250 CM3 X 24 (THREE PACK) Σ</v>
          </cell>
          <cell r="P30">
            <v>486</v>
          </cell>
          <cell r="T30"/>
          <cell r="X30"/>
        </row>
        <row r="31">
          <cell r="B31" t="str">
            <v>PT1502003</v>
          </cell>
          <cell r="C31" t="str">
            <v xml:space="preserve"> AGUA DE COCO TPA 250 CM3 X 24 (THREE PACK) Σ</v>
          </cell>
          <cell r="D31">
            <v>27</v>
          </cell>
          <cell r="F31" t="str">
            <v>PT1301001</v>
          </cell>
          <cell r="G31" t="str">
            <v xml:space="preserve"> NECTAR DE DURAZNO S/A TBA 1000 CM3 X 12</v>
          </cell>
          <cell r="H31">
            <v>1827</v>
          </cell>
          <cell r="J31" t="str">
            <v>PT4200012</v>
          </cell>
          <cell r="L31">
            <v>271</v>
          </cell>
          <cell r="N31" t="str">
            <v>PT1502003</v>
          </cell>
          <cell r="O31" t="str">
            <v xml:space="preserve"> AGUA DE COCO TPA 250 CM3 X 24 (THREE PACK) Σ</v>
          </cell>
          <cell r="P31">
            <v>7</v>
          </cell>
          <cell r="T31"/>
          <cell r="X31"/>
        </row>
        <row r="32">
          <cell r="B32" t="str">
            <v>PT2000001</v>
          </cell>
          <cell r="C32" t="str">
            <v xml:space="preserve"> NECTAR DE DURAZNO TPA 330 CM3 X 12 Σ</v>
          </cell>
          <cell r="D32">
            <v>0</v>
          </cell>
          <cell r="F32" t="str">
            <v>PT1300002</v>
          </cell>
          <cell r="G32" t="str">
            <v xml:space="preserve"> NECTAR DE MANZANA TBA 1000 CM3 X 12</v>
          </cell>
          <cell r="H32">
            <v>12709</v>
          </cell>
          <cell r="J32" t="str">
            <v>PT3001003</v>
          </cell>
          <cell r="L32">
            <v>156</v>
          </cell>
          <cell r="N32" t="str">
            <v>PT2000001</v>
          </cell>
          <cell r="O32" t="str">
            <v xml:space="preserve"> NECTAR DE DURAZNO TPA 330 CM3 X 12 Σ</v>
          </cell>
          <cell r="P32">
            <v>0</v>
          </cell>
          <cell r="T32"/>
          <cell r="X32"/>
        </row>
        <row r="33">
          <cell r="B33" t="str">
            <v>PT2000002</v>
          </cell>
          <cell r="C33" t="str">
            <v xml:space="preserve"> NECTAR DE MANZANA TPA 330 CM3 X 12 Σ</v>
          </cell>
          <cell r="D33">
            <v>0</v>
          </cell>
          <cell r="F33" t="str">
            <v>PT4200011</v>
          </cell>
          <cell r="G33" t="str">
            <v xml:space="preserve"> CREMA DE LECHE NATULAC TBA 946 CM3 X 12</v>
          </cell>
          <cell r="H33">
            <v>1236</v>
          </cell>
          <cell r="J33" t="str">
            <v>PT3001002</v>
          </cell>
          <cell r="L33">
            <v>38</v>
          </cell>
          <cell r="N33" t="str">
            <v>PT2000002</v>
          </cell>
          <cell r="O33" t="str">
            <v xml:space="preserve"> NECTAR DE MANZANA TPA 330 CM3 X 12 Σ</v>
          </cell>
          <cell r="P33">
            <v>0</v>
          </cell>
          <cell r="T33"/>
          <cell r="X33"/>
        </row>
        <row r="34">
          <cell r="B34" t="str">
            <v>PT2000003</v>
          </cell>
          <cell r="C34" t="str">
            <v xml:space="preserve"> NECTAR DE PERA TPA 330 CM3 X 12 Σ</v>
          </cell>
          <cell r="D34">
            <v>171</v>
          </cell>
          <cell r="F34" t="str">
            <v>PT1500001</v>
          </cell>
          <cell r="G34" t="str">
            <v xml:space="preserve"> NECTAR DE DURAZNO TPA 250 CM3 X 24 (THREE PACK)</v>
          </cell>
          <cell r="H34">
            <v>5676</v>
          </cell>
          <cell r="J34" t="str">
            <v>PT4210002</v>
          </cell>
          <cell r="L34">
            <v>1867</v>
          </cell>
          <cell r="N34" t="str">
            <v>PT2000003</v>
          </cell>
          <cell r="O34" t="str">
            <v xml:space="preserve"> NECTAR DE PERA TPA 330 CM3 X 12 Σ</v>
          </cell>
          <cell r="P34">
            <v>106</v>
          </cell>
          <cell r="T34"/>
          <cell r="X34"/>
        </row>
        <row r="35">
          <cell r="B35" t="str">
            <v>PT2000006</v>
          </cell>
          <cell r="C35" t="str">
            <v xml:space="preserve"> NECTAR DE MANGO TPA 330 CM3 X 12 Σ</v>
          </cell>
          <cell r="D35">
            <v>53</v>
          </cell>
          <cell r="F35" t="str">
            <v>PT4210001</v>
          </cell>
          <cell r="G35" t="str">
            <v xml:space="preserve"> LECHE ENTERA NATULAC TBA 473 CM3 X 12</v>
          </cell>
          <cell r="H35">
            <v>6761</v>
          </cell>
          <cell r="J35" t="str">
            <v>PT1501001</v>
          </cell>
          <cell r="L35">
            <v>361</v>
          </cell>
          <cell r="N35" t="str">
            <v>PT2000004</v>
          </cell>
          <cell r="O35" t="str">
            <v xml:space="preserve"> NARANJADA TPA 330 CM3 X 12 Σ</v>
          </cell>
          <cell r="P35">
            <v>1</v>
          </cell>
          <cell r="T35"/>
        </row>
        <row r="36">
          <cell r="B36" t="str">
            <v>PT2000009</v>
          </cell>
          <cell r="C36" t="str">
            <v xml:space="preserve"> TE NEGRO DE DURAZNO TPA 330 CM3 X 12 Σ</v>
          </cell>
          <cell r="D36">
            <v>0</v>
          </cell>
          <cell r="F36" t="str">
            <v>PT6100002</v>
          </cell>
          <cell r="G36" t="str">
            <v xml:space="preserve"> BEBIDA DE MANZANA JUCOSA TPA 200 CM3 X 24</v>
          </cell>
          <cell r="H36">
            <v>7873</v>
          </cell>
          <cell r="J36" t="str">
            <v>PT1502001</v>
          </cell>
          <cell r="L36">
            <v>66</v>
          </cell>
          <cell r="N36" t="str">
            <v>PT2000006</v>
          </cell>
          <cell r="O36" t="str">
            <v xml:space="preserve"> NECTAR DE MANGO TPA 330 CM3 X 12 Σ</v>
          </cell>
          <cell r="P36">
            <v>53</v>
          </cell>
          <cell r="T36"/>
        </row>
        <row r="37">
          <cell r="B37" t="str">
            <v>PT2010001</v>
          </cell>
          <cell r="C37" t="str">
            <v xml:space="preserve"> NECTAR DE DURAZNO TPA 330 CM3 X 18 Σ</v>
          </cell>
          <cell r="D37">
            <v>7279</v>
          </cell>
          <cell r="F37" t="str">
            <v>PT6100003</v>
          </cell>
          <cell r="G37" t="str">
            <v xml:space="preserve"> BEBIDA DE PERA JUCOSA TPA 200 CM3 X 24</v>
          </cell>
          <cell r="H37">
            <v>7831</v>
          </cell>
          <cell r="J37" t="str">
            <v>PT2010002</v>
          </cell>
          <cell r="L37">
            <v>6433</v>
          </cell>
          <cell r="N37" t="str">
            <v>PT2000009</v>
          </cell>
          <cell r="O37" t="str">
            <v xml:space="preserve"> TE NEGRO DE DURAZNO TPA 330 CM3 X 12 Σ</v>
          </cell>
          <cell r="P37">
            <v>0</v>
          </cell>
          <cell r="T37"/>
        </row>
        <row r="38">
          <cell r="B38" t="str">
            <v>PT2010002</v>
          </cell>
          <cell r="C38" t="str">
            <v xml:space="preserve"> NECTAR DE MANZANA TPA 330 CM3 X 18 Σ</v>
          </cell>
          <cell r="D38">
            <v>9463</v>
          </cell>
          <cell r="F38" t="str">
            <v>PT4200008</v>
          </cell>
          <cell r="G38" t="str">
            <v xml:space="preserve"> BEBIDA DE ALMENDRAS NATULAC TBA 946 CM3 X 12</v>
          </cell>
          <cell r="H38">
            <v>1956</v>
          </cell>
          <cell r="J38" t="str">
            <v>PT2010003</v>
          </cell>
          <cell r="L38">
            <v>4989</v>
          </cell>
          <cell r="N38" t="str">
            <v>PT2010001</v>
          </cell>
          <cell r="O38" t="str">
            <v xml:space="preserve"> NECTAR DE DURAZNO TPA 330 CM3 X 18 Σ</v>
          </cell>
          <cell r="P38">
            <v>4192</v>
          </cell>
          <cell r="T38"/>
        </row>
        <row r="39">
          <cell r="B39" t="str">
            <v>PT2010003</v>
          </cell>
          <cell r="C39" t="str">
            <v xml:space="preserve"> NECTAR DE PERA TPA 330 CM3 X 18 Σ</v>
          </cell>
          <cell r="D39">
            <v>8981</v>
          </cell>
          <cell r="F39" t="str">
            <v>PT4000013</v>
          </cell>
          <cell r="G39" t="str">
            <v xml:space="preserve"> LECHE CONDENSADA AZUCARADA SEMIDESCREMADA TPA 340 G X 24</v>
          </cell>
          <cell r="H39">
            <v>1012</v>
          </cell>
          <cell r="J39" t="str">
            <v>PT2010006</v>
          </cell>
          <cell r="L39">
            <v>115</v>
          </cell>
          <cell r="N39" t="str">
            <v>PT2010002</v>
          </cell>
          <cell r="O39" t="str">
            <v xml:space="preserve"> NECTAR DE MANZANA TPA 330 CM3 X 18 Σ</v>
          </cell>
          <cell r="P39">
            <v>10716</v>
          </cell>
          <cell r="T39"/>
        </row>
        <row r="40">
          <cell r="B40" t="str">
            <v>PT2010004</v>
          </cell>
          <cell r="C40" t="str">
            <v xml:space="preserve"> NARANJADA TPA 330 CM3 X 18 Σ</v>
          </cell>
          <cell r="D40">
            <v>3332</v>
          </cell>
          <cell r="F40" t="str">
            <v>PT4400001</v>
          </cell>
          <cell r="G40" t="str">
            <v xml:space="preserve"> CREAMER MAITA LATA 390 G X 24</v>
          </cell>
          <cell r="H40">
            <v>1368</v>
          </cell>
          <cell r="J40" t="str">
            <v>PT4500001</v>
          </cell>
          <cell r="L40">
            <v>775</v>
          </cell>
          <cell r="N40" t="str">
            <v>PT2010003</v>
          </cell>
          <cell r="O40" t="str">
            <v xml:space="preserve"> NECTAR DE PERA TPA 330 CM3 X 18 Σ</v>
          </cell>
          <cell r="P40">
            <v>7476</v>
          </cell>
          <cell r="T40"/>
        </row>
        <row r="41">
          <cell r="B41" t="str">
            <v>PT2010006</v>
          </cell>
          <cell r="C41" t="str">
            <v xml:space="preserve"> NECTAR DE MANGO TPA 330 CM3 X 18 Σ</v>
          </cell>
          <cell r="D41">
            <v>200</v>
          </cell>
          <cell r="F41" t="str">
            <v>PT6000001</v>
          </cell>
          <cell r="G41" t="str">
            <v xml:space="preserve"> BEBIDA DE DURAZNO JUCOSA TBA 1000 CM3 X 12</v>
          </cell>
          <cell r="H41">
            <v>3339</v>
          </cell>
          <cell r="J41" t="str">
            <v>PT4400001</v>
          </cell>
          <cell r="L41">
            <v>476</v>
          </cell>
          <cell r="N41" t="str">
            <v>PT2010004</v>
          </cell>
          <cell r="O41" t="str">
            <v xml:space="preserve"> NARANJADA TPA 330 CM3 X 18 Σ</v>
          </cell>
          <cell r="P41">
            <v>1562</v>
          </cell>
          <cell r="T41"/>
        </row>
        <row r="42">
          <cell r="B42" t="str">
            <v>PT3001002</v>
          </cell>
          <cell r="C42" t="str">
            <v xml:space="preserve"> COLADO MANZANA S/A 113 G X 24 Σ</v>
          </cell>
          <cell r="D42">
            <v>42</v>
          </cell>
          <cell r="F42" t="str">
            <v>PT6100001</v>
          </cell>
          <cell r="G42" t="str">
            <v xml:space="preserve"> BEBIDA DE DURAZNO JUCOSA TPA 200 CM3 X 24</v>
          </cell>
          <cell r="H42">
            <v>6206</v>
          </cell>
          <cell r="J42" t="str">
            <v>PT4000001</v>
          </cell>
          <cell r="L42">
            <v>5331</v>
          </cell>
          <cell r="N42" t="str">
            <v>PT2010006</v>
          </cell>
          <cell r="O42" t="str">
            <v xml:space="preserve"> NECTAR DE MANGO TPA 330 CM3 X 18 Σ</v>
          </cell>
          <cell r="P42">
            <v>85</v>
          </cell>
          <cell r="T42"/>
        </row>
        <row r="43">
          <cell r="B43" t="str">
            <v>PT3001003</v>
          </cell>
          <cell r="C43" t="str">
            <v xml:space="preserve"> COLADO PERA S/A 113 G X 24 Σ</v>
          </cell>
          <cell r="D43">
            <v>546</v>
          </cell>
          <cell r="F43" t="str">
            <v>PT3000001</v>
          </cell>
          <cell r="G43" t="str">
            <v xml:space="preserve"> COLADO DE DURAZNO 113 G X 24</v>
          </cell>
          <cell r="H43">
            <v>2766</v>
          </cell>
          <cell r="J43" t="str">
            <v>PT2000004</v>
          </cell>
          <cell r="L43">
            <v>2</v>
          </cell>
          <cell r="N43" t="str">
            <v>PT3000001</v>
          </cell>
          <cell r="O43" t="str">
            <v xml:space="preserve"> COLADO DE DURAZNO 113 G X 24 Σ</v>
          </cell>
          <cell r="P43">
            <v>2751</v>
          </cell>
          <cell r="T43"/>
        </row>
        <row r="44">
          <cell r="B44" t="str">
            <v>PT3100001</v>
          </cell>
          <cell r="C44" t="str">
            <v xml:space="preserve"> COLADO DE DURAZNO 186 G X 24 Σ</v>
          </cell>
          <cell r="D44">
            <v>485</v>
          </cell>
          <cell r="F44" t="str">
            <v>PT1300006</v>
          </cell>
          <cell r="G44" t="str">
            <v xml:space="preserve"> NECTAR DE MANGO TBA 1000 CM3 X 12</v>
          </cell>
          <cell r="H44">
            <v>2089</v>
          </cell>
          <cell r="J44" t="str">
            <v>PT4500002</v>
          </cell>
          <cell r="L44">
            <v>3924</v>
          </cell>
          <cell r="N44" t="str">
            <v>PT3000002</v>
          </cell>
          <cell r="O44" t="str">
            <v xml:space="preserve"> COLADO DE MANZANA 113 G X 24 Σ</v>
          </cell>
          <cell r="P44">
            <v>3394</v>
          </cell>
          <cell r="T44"/>
        </row>
        <row r="45">
          <cell r="B45" t="str">
            <v>PT3100002</v>
          </cell>
          <cell r="C45" t="str">
            <v xml:space="preserve"> COLADO DE MANZANA 186 G X 24 Σ</v>
          </cell>
          <cell r="D45">
            <v>211</v>
          </cell>
          <cell r="F45" t="str">
            <v>PT1300005</v>
          </cell>
          <cell r="G45" t="str">
            <v xml:space="preserve"> COCTEL DE FRUTAS TBA 1000 CM3 X 12</v>
          </cell>
          <cell r="H45">
            <v>2557</v>
          </cell>
          <cell r="J45" t="str">
            <v>PT4000002</v>
          </cell>
          <cell r="L45">
            <v>294</v>
          </cell>
          <cell r="N45" t="str">
            <v>PT3000003</v>
          </cell>
          <cell r="O45" t="str">
            <v xml:space="preserve"> COLADO DE PERA 113 G X 24 Σ</v>
          </cell>
          <cell r="P45">
            <v>330</v>
          </cell>
          <cell r="T45"/>
        </row>
        <row r="46">
          <cell r="B46" t="str">
            <v>PT3100003</v>
          </cell>
          <cell r="C46" t="str">
            <v xml:space="preserve"> COLADO DE PERA 186 G X 24 Σ</v>
          </cell>
          <cell r="D46">
            <v>211</v>
          </cell>
          <cell r="F46"/>
          <cell r="H46"/>
          <cell r="J46" t="str">
            <v>PT1300006</v>
          </cell>
          <cell r="L46">
            <v>1034</v>
          </cell>
          <cell r="N46" t="str">
            <v>PT3001002</v>
          </cell>
          <cell r="O46" t="str">
            <v xml:space="preserve"> COLADO MANZANA S/A 113 G X 24 Σ</v>
          </cell>
          <cell r="P46">
            <v>9</v>
          </cell>
          <cell r="T46"/>
        </row>
        <row r="47">
          <cell r="B47" t="str">
            <v>PT3100005</v>
          </cell>
          <cell r="C47" t="str">
            <v xml:space="preserve"> COLADO DE FRUTAS TROPICALES 186 G X 24 Σ</v>
          </cell>
          <cell r="D47">
            <v>161</v>
          </cell>
          <cell r="F47"/>
          <cell r="H47"/>
          <cell r="J47" t="str">
            <v>PT3100001</v>
          </cell>
          <cell r="L47">
            <v>1290</v>
          </cell>
          <cell r="N47" t="str">
            <v>PT3001003</v>
          </cell>
          <cell r="O47" t="str">
            <v xml:space="preserve"> COLADO PERA S/A 113 G X 24 Σ</v>
          </cell>
          <cell r="P47">
            <v>405</v>
          </cell>
          <cell r="T47"/>
        </row>
        <row r="48">
          <cell r="B48" t="str">
            <v>PT4000001</v>
          </cell>
          <cell r="C48" t="str">
            <v xml:space="preserve"> LECHE CONDENSADA AZUCARADA LATA 397 G X 24 Σ</v>
          </cell>
          <cell r="D48">
            <v>2214</v>
          </cell>
          <cell r="F48"/>
          <cell r="H48"/>
          <cell r="J48" t="str">
            <v>PT3100002</v>
          </cell>
          <cell r="L48">
            <v>4480</v>
          </cell>
          <cell r="N48" t="str">
            <v>PT3100001</v>
          </cell>
          <cell r="O48" t="str">
            <v xml:space="preserve"> COLADO DE DURAZNO 186 G X 24 Σ</v>
          </cell>
          <cell r="P48">
            <v>880</v>
          </cell>
          <cell r="T48"/>
        </row>
        <row r="49">
          <cell r="B49" t="str">
            <v>PT4000002</v>
          </cell>
          <cell r="C49" t="str">
            <v xml:space="preserve"> LECHE CONDENSADA AZUCARADA TUBO 50 G X 24 X 6 Σ</v>
          </cell>
          <cell r="D49">
            <v>213</v>
          </cell>
          <cell r="F49"/>
          <cell r="H49"/>
          <cell r="J49" t="str">
            <v>PT3100003</v>
          </cell>
          <cell r="L49">
            <v>3809</v>
          </cell>
          <cell r="N49" t="str">
            <v>PT3100002</v>
          </cell>
          <cell r="O49" t="str">
            <v xml:space="preserve"> COLADO DE MANZANA 186 G X 24 Σ</v>
          </cell>
          <cell r="P49">
            <v>1765</v>
          </cell>
          <cell r="T49"/>
        </row>
        <row r="50">
          <cell r="B50" t="str">
            <v>PT4000003</v>
          </cell>
          <cell r="C50" t="str">
            <v xml:space="preserve"> LECHE CONDENSADA AZUCARADA TPA 340 G X 24 Σ</v>
          </cell>
          <cell r="D50">
            <v>2705</v>
          </cell>
          <cell r="F50"/>
          <cell r="H50"/>
          <cell r="J50" t="str">
            <v>PT4000003</v>
          </cell>
          <cell r="L50">
            <v>6641</v>
          </cell>
          <cell r="N50" t="str">
            <v>PT3100003</v>
          </cell>
          <cell r="O50" t="str">
            <v xml:space="preserve"> COLADO DE PERA 186 G X 24 Σ</v>
          </cell>
          <cell r="P50">
            <v>1338</v>
          </cell>
          <cell r="T50"/>
        </row>
        <row r="51">
          <cell r="B51" t="str">
            <v>PT4200003</v>
          </cell>
          <cell r="C51" t="str">
            <v xml:space="preserve"> LECHE ENTERA NATULAC TBA 946 CM3 X 12 Σ</v>
          </cell>
          <cell r="D51">
            <v>27794.250199999999</v>
          </cell>
          <cell r="F51"/>
          <cell r="H51"/>
          <cell r="J51" t="str">
            <v>PT1300010</v>
          </cell>
          <cell r="L51">
            <v>89</v>
          </cell>
          <cell r="N51" t="str">
            <v>PT3100005</v>
          </cell>
          <cell r="O51" t="str">
            <v xml:space="preserve"> COLADO DE FRUTAS TROPICALES 186 G X 24 Σ</v>
          </cell>
          <cell r="P51">
            <v>34</v>
          </cell>
          <cell r="T51"/>
        </row>
        <row r="52">
          <cell r="B52" t="str">
            <v>PT4200004</v>
          </cell>
          <cell r="C52" t="str">
            <v xml:space="preserve"> LECHE DESCREMADA NATULAC TBA 946 CM3 X 12 Σ</v>
          </cell>
          <cell r="D52">
            <v>5258.3333000000002</v>
          </cell>
          <cell r="F52"/>
          <cell r="H52"/>
          <cell r="J52" t="str">
            <v>PT1300004</v>
          </cell>
          <cell r="L52">
            <v>409</v>
          </cell>
          <cell r="N52" t="str">
            <v>PT4000001</v>
          </cell>
          <cell r="O52" t="str">
            <v xml:space="preserve"> LECHE CONDENSADA AZUCARADA LATA 397 G X 24 Σ</v>
          </cell>
          <cell r="P52">
            <v>4323</v>
          </cell>
          <cell r="T52"/>
        </row>
        <row r="53">
          <cell r="B53" t="str">
            <v>PT4200005</v>
          </cell>
          <cell r="C53" t="str">
            <v xml:space="preserve"> LECHE DESCREMADA DESLACTOSADA NATULAC TBA 946 CM3 X 12 Σ</v>
          </cell>
          <cell r="D53">
            <v>5517.1666999999998</v>
          </cell>
          <cell r="F53"/>
          <cell r="H53"/>
          <cell r="J53" t="str">
            <v>PT4210005</v>
          </cell>
          <cell r="L53">
            <v>1040</v>
          </cell>
          <cell r="N53" t="str">
            <v>PT4000002</v>
          </cell>
          <cell r="O53" t="str">
            <v xml:space="preserve"> LECHE CONDENSADA AZUCARADA TUBO 50 G X 24 X 6 Σ</v>
          </cell>
          <cell r="P53">
            <v>321</v>
          </cell>
          <cell r="T53"/>
        </row>
        <row r="54">
          <cell r="B54" t="str">
            <v>PT4200006</v>
          </cell>
          <cell r="C54" t="str">
            <v xml:space="preserve"> LECHE ENTERA BARISTA NATULAC TBA 946 CM3 X 12 Σ</v>
          </cell>
          <cell r="D54">
            <v>5060</v>
          </cell>
          <cell r="F54"/>
          <cell r="H54"/>
          <cell r="J54" t="str">
            <v>PT5000003</v>
          </cell>
          <cell r="L54">
            <v>533</v>
          </cell>
          <cell r="N54" t="str">
            <v>PT4000003</v>
          </cell>
          <cell r="O54" t="str">
            <v xml:space="preserve"> LECHE CONDENSADA AZUCARADA TPA 340 G X 24 Σ</v>
          </cell>
          <cell r="P54">
            <v>4378</v>
          </cell>
          <cell r="T54"/>
        </row>
        <row r="55">
          <cell r="B55" t="str">
            <v>PT4200007</v>
          </cell>
          <cell r="C55" t="str">
            <v xml:space="preserve"> CHICHA NATULAC TBA 946 CM3 X 12 Σ</v>
          </cell>
          <cell r="D55">
            <v>3018</v>
          </cell>
          <cell r="F55"/>
          <cell r="H55"/>
          <cell r="J55" t="str">
            <v>PT4400002</v>
          </cell>
          <cell r="L55">
            <v>6064</v>
          </cell>
          <cell r="N55" t="str">
            <v>PT4000012</v>
          </cell>
          <cell r="O55" t="str">
            <v xml:space="preserve"> LECHE CONDENSADA AZUCARADA SEMIDESCREMADA LATA 397 G X 24 Σ</v>
          </cell>
          <cell r="P55">
            <v>1018</v>
          </cell>
          <cell r="T55"/>
        </row>
        <row r="56">
          <cell r="B56" t="str">
            <v>PT4200008</v>
          </cell>
          <cell r="C56" t="str">
            <v xml:space="preserve"> BEBIDA DE ALMENDRAS NATULAC TBA 946 CM3 X 12 Σ</v>
          </cell>
          <cell r="D56">
            <v>1544</v>
          </cell>
          <cell r="F56"/>
          <cell r="H56"/>
          <cell r="J56" t="str">
            <v>PT1301002</v>
          </cell>
          <cell r="L56">
            <v>599</v>
          </cell>
          <cell r="N56" t="str">
            <v>PT4200003</v>
          </cell>
          <cell r="O56" t="str">
            <v xml:space="preserve"> LECHE ENTERA NATULAC TBA 946 CM3 X 12 Σ</v>
          </cell>
          <cell r="P56">
            <v>27857.2503</v>
          </cell>
          <cell r="T56"/>
        </row>
        <row r="57">
          <cell r="B57" t="str">
            <v>PT4200010</v>
          </cell>
          <cell r="C57" t="str">
            <v xml:space="preserve"> BEBIDA LACTEA MAITA SEMIDESCREMADA TBA 946 CM3 X 12 Σ</v>
          </cell>
          <cell r="D57">
            <v>325</v>
          </cell>
          <cell r="F57"/>
          <cell r="H57"/>
          <cell r="J57" t="str">
            <v>PT4210001</v>
          </cell>
          <cell r="L57">
            <v>3875</v>
          </cell>
          <cell r="N57" t="str">
            <v>PT4200004</v>
          </cell>
          <cell r="O57" t="str">
            <v xml:space="preserve"> LECHE DESCREMADA NATULAC TBA 946 CM3 X 12 Σ</v>
          </cell>
          <cell r="P57">
            <v>10899.25</v>
          </cell>
          <cell r="T57"/>
        </row>
        <row r="58">
          <cell r="B58" t="str">
            <v>PT4200011</v>
          </cell>
          <cell r="C58" t="str">
            <v xml:space="preserve"> CREMA DE LECHE NATULAC TBA 946 CM3 X 12 Σ</v>
          </cell>
          <cell r="D58">
            <v>839</v>
          </cell>
          <cell r="F58"/>
          <cell r="H58"/>
          <cell r="J58" t="str">
            <v>PT4200007</v>
          </cell>
          <cell r="L58">
            <v>794</v>
          </cell>
          <cell r="N58" t="str">
            <v>PT4200005</v>
          </cell>
          <cell r="O58" t="str">
            <v xml:space="preserve"> LECHE DESCREMADA DESLACTOSADA NATULAC TBA 946 CM3 X 12 Σ</v>
          </cell>
          <cell r="P58">
            <v>3427.3332999999998</v>
          </cell>
          <cell r="T58"/>
        </row>
        <row r="59">
          <cell r="B59" t="str">
            <v>PT4200012</v>
          </cell>
          <cell r="C59" t="str">
            <v xml:space="preserve"> BEBIDA CHOCOLATADA TBA 946 CM3 X 12 Σ</v>
          </cell>
          <cell r="D59">
            <v>904</v>
          </cell>
          <cell r="F59"/>
          <cell r="H59"/>
          <cell r="J59" t="str">
            <v>PT1100003</v>
          </cell>
          <cell r="L59">
            <v>246</v>
          </cell>
          <cell r="N59" t="str">
            <v>PT4200006</v>
          </cell>
          <cell r="O59" t="str">
            <v xml:space="preserve"> LECHE ENTERA BARISTA NATULAC TBA 946 CM3 X 12 Σ</v>
          </cell>
          <cell r="P59">
            <v>1840</v>
          </cell>
          <cell r="T59"/>
        </row>
        <row r="60">
          <cell r="B60" t="str">
            <v>PT4210001</v>
          </cell>
          <cell r="C60" t="str">
            <v xml:space="preserve"> LECHE ENTERA NATULAC TBA 473 CM3 X 12 Σ</v>
          </cell>
          <cell r="D60">
            <v>1494</v>
          </cell>
          <cell r="F60"/>
          <cell r="H60"/>
          <cell r="J60" t="str">
            <v>PT4200011</v>
          </cell>
          <cell r="L60">
            <v>959</v>
          </cell>
          <cell r="N60" t="str">
            <v>PT4200007</v>
          </cell>
          <cell r="O60" t="str">
            <v xml:space="preserve"> CHICHA NATULAC TBA 946 CM3 X 12 Σ</v>
          </cell>
          <cell r="P60">
            <v>2221</v>
          </cell>
          <cell r="T60"/>
        </row>
        <row r="61">
          <cell r="B61" t="str">
            <v>PT4210002</v>
          </cell>
          <cell r="C61" t="str">
            <v xml:space="preserve"> CHICHA NATULAC TBA 473 CM3 X 12 Σ</v>
          </cell>
          <cell r="D61">
            <v>314</v>
          </cell>
          <cell r="F61"/>
          <cell r="H61"/>
          <cell r="J61" t="str">
            <v>PT6000002</v>
          </cell>
          <cell r="L61">
            <v>5982</v>
          </cell>
          <cell r="N61" t="str">
            <v>PT4200008</v>
          </cell>
          <cell r="O61" t="str">
            <v xml:space="preserve"> BEBIDA DE ALMENDRAS NATULAC TBA 946 CM3 X 12 Σ</v>
          </cell>
          <cell r="P61">
            <v>2074</v>
          </cell>
          <cell r="T61"/>
        </row>
        <row r="62">
          <cell r="B62" t="str">
            <v>PT4210005</v>
          </cell>
          <cell r="C62" t="str">
            <v xml:space="preserve"> CREMA DE LECHE NATULAC TBA 473 CM3 X 12 Σ</v>
          </cell>
          <cell r="D62">
            <v>55</v>
          </cell>
          <cell r="F62"/>
          <cell r="H62"/>
          <cell r="J62" t="str">
            <v>PT6000001</v>
          </cell>
          <cell r="L62">
            <v>2502</v>
          </cell>
          <cell r="N62" t="str">
            <v>PT4200010</v>
          </cell>
          <cell r="O62" t="str">
            <v xml:space="preserve"> BEBIDA LACTEA MAITA SEMIDESCREMADA TBA 946 CM3 X 12 Σ</v>
          </cell>
          <cell r="P62">
            <v>309</v>
          </cell>
          <cell r="T62"/>
        </row>
        <row r="63">
          <cell r="B63" t="str">
            <v>PT4210006</v>
          </cell>
          <cell r="C63" t="str">
            <v xml:space="preserve"> BEBIDA LACTEA MAITA SEMIDESCREMADA TBA 473 CM3 X 12 Σ</v>
          </cell>
          <cell r="D63">
            <v>263</v>
          </cell>
          <cell r="F63"/>
          <cell r="H63"/>
          <cell r="J63" t="str">
            <v>PT6000003</v>
          </cell>
          <cell r="L63">
            <v>4775</v>
          </cell>
          <cell r="N63" t="str">
            <v>PT4200011</v>
          </cell>
          <cell r="O63" t="str">
            <v xml:space="preserve"> CREMA DE LECHE NATULAC TBA 946 CM3 X 12 Σ</v>
          </cell>
          <cell r="P63">
            <v>1194</v>
          </cell>
          <cell r="T63"/>
        </row>
        <row r="64">
          <cell r="B64" t="str">
            <v>PT4210008</v>
          </cell>
          <cell r="C64" t="str">
            <v xml:space="preserve"> BEBIDA DE ALMENDRAS NATULAC TBA 473 CM3 X 12 Σ</v>
          </cell>
          <cell r="D64">
            <v>1310</v>
          </cell>
          <cell r="F64"/>
          <cell r="H64"/>
          <cell r="J64" t="str">
            <v>PT2000003</v>
          </cell>
          <cell r="L64">
            <v>66</v>
          </cell>
          <cell r="N64" t="str">
            <v>PT4200012</v>
          </cell>
          <cell r="O64" t="str">
            <v xml:space="preserve"> BEBIDA CHOCOLATADA TBA 946 CM3 X 12 Σ</v>
          </cell>
          <cell r="P64">
            <v>651</v>
          </cell>
          <cell r="T64"/>
        </row>
        <row r="65">
          <cell r="B65" t="str">
            <v>PT4210012</v>
          </cell>
          <cell r="C65" t="str">
            <v xml:space="preserve"> BEBIDA CHOCOLATADA TBA 473 CM3 X 12 Σ</v>
          </cell>
          <cell r="D65">
            <v>1001</v>
          </cell>
          <cell r="F65"/>
          <cell r="H65"/>
          <cell r="J65" t="str">
            <v>PT6100004</v>
          </cell>
          <cell r="L65">
            <v>259</v>
          </cell>
          <cell r="N65" t="str">
            <v>PT4210001</v>
          </cell>
          <cell r="O65" t="str">
            <v xml:space="preserve"> LECHE ENTERA NATULAC TBA 473 CM3 X 12 Σ</v>
          </cell>
          <cell r="P65">
            <v>4405</v>
          </cell>
          <cell r="T65"/>
        </row>
        <row r="66">
          <cell r="B66" t="str">
            <v>PT4300002</v>
          </cell>
          <cell r="C66" t="str">
            <v xml:space="preserve"> DULCE DE LECHE NATULAC TUBO 40 G X 24 X 6 Σ</v>
          </cell>
          <cell r="D66">
            <v>215</v>
          </cell>
          <cell r="F66"/>
          <cell r="H66"/>
          <cell r="J66" t="str">
            <v>PT3100005</v>
          </cell>
          <cell r="L66">
            <v>126</v>
          </cell>
          <cell r="N66" t="str">
            <v>PT4210002</v>
          </cell>
          <cell r="O66" t="str">
            <v xml:space="preserve"> CHICHA NATULAC TBA 473 CM3 X 12 Σ</v>
          </cell>
          <cell r="P66">
            <v>2859</v>
          </cell>
          <cell r="T66"/>
        </row>
        <row r="67">
          <cell r="B67" t="str">
            <v>PT4400001</v>
          </cell>
          <cell r="C67" t="str">
            <v xml:space="preserve"> CREAMER MAITA LATA 390 G X 24 Σ</v>
          </cell>
          <cell r="D67">
            <v>1724</v>
          </cell>
          <cell r="F67"/>
          <cell r="H67"/>
          <cell r="J67" t="str">
            <v>PT1301006</v>
          </cell>
          <cell r="L67">
            <v>27</v>
          </cell>
          <cell r="N67" t="str">
            <v>PT4210005</v>
          </cell>
          <cell r="O67" t="str">
            <v xml:space="preserve"> CREMA DE LECHE NATULAC TBA 473 CM3 X 12 Σ</v>
          </cell>
          <cell r="P67">
            <v>1922</v>
          </cell>
          <cell r="T67"/>
        </row>
        <row r="68">
          <cell r="B68" t="str">
            <v>PT4400002</v>
          </cell>
          <cell r="C68" t="str">
            <v xml:space="preserve"> CREAMER MAITA TPA 340 G X 24 Σ</v>
          </cell>
          <cell r="D68">
            <v>909</v>
          </cell>
          <cell r="F68"/>
          <cell r="H68"/>
          <cell r="J68" t="str">
            <v>PT1100006</v>
          </cell>
          <cell r="L68">
            <v>2</v>
          </cell>
          <cell r="N68" t="str">
            <v>PT4210006</v>
          </cell>
          <cell r="O68" t="str">
            <v xml:space="preserve"> BEBIDA LACTEA MAITA SEMIDESCREMADA TBA 473 CM3 X 12 Σ</v>
          </cell>
          <cell r="P68">
            <v>257</v>
          </cell>
          <cell r="T68"/>
        </row>
        <row r="69">
          <cell r="B69" t="str">
            <v>PT4403001</v>
          </cell>
          <cell r="C69" t="str">
            <v xml:space="preserve"> CREAMER GRANJA FLOR 390 G X 24 Σ</v>
          </cell>
          <cell r="D69">
            <v>313</v>
          </cell>
          <cell r="F69"/>
          <cell r="H69"/>
          <cell r="J69" t="str">
            <v>PT3000002</v>
          </cell>
          <cell r="L69">
            <v>4115</v>
          </cell>
          <cell r="N69" t="str">
            <v>PT4210008</v>
          </cell>
          <cell r="O69" t="str">
            <v xml:space="preserve"> BEBIDA DE ALMENDRAS NATULAC TBA 473 CM3 X 12 Σ</v>
          </cell>
          <cell r="P69">
            <v>1075</v>
          </cell>
          <cell r="T69"/>
        </row>
        <row r="70">
          <cell r="B70" t="str">
            <v>PT4500001</v>
          </cell>
          <cell r="C70" t="str">
            <v xml:space="preserve"> LECHE CONDENSADA SEMIDESCREMADA MAITA LATA 390 G X 24 Σ</v>
          </cell>
          <cell r="D70">
            <v>1433</v>
          </cell>
          <cell r="F70"/>
          <cell r="H70"/>
          <cell r="J70" t="str">
            <v>PT4200010</v>
          </cell>
          <cell r="L70">
            <v>16</v>
          </cell>
          <cell r="N70" t="str">
            <v>PT4210012</v>
          </cell>
          <cell r="O70" t="str">
            <v xml:space="preserve"> BEBIDA CHOCOLATADA TBA 473 CM3 X 12 Σ</v>
          </cell>
          <cell r="P70">
            <v>80</v>
          </cell>
          <cell r="T70"/>
        </row>
        <row r="71">
          <cell r="B71" t="str">
            <v>PT4500002</v>
          </cell>
          <cell r="C71" t="str">
            <v xml:space="preserve"> LECHE CONDENSADA SEMIDESCREMADA MAITA TPA 340 G X 24 Σ</v>
          </cell>
          <cell r="D71">
            <v>147</v>
          </cell>
          <cell r="F71"/>
          <cell r="H71"/>
          <cell r="J71" t="str">
            <v>PT4210006</v>
          </cell>
          <cell r="L71">
            <v>6</v>
          </cell>
          <cell r="N71" t="str">
            <v>PT4300002</v>
          </cell>
          <cell r="O71" t="str">
            <v xml:space="preserve"> DULCE DE LECHE NATULAC TUBO 40 G X 24 X 6 Σ</v>
          </cell>
          <cell r="P71">
            <v>125</v>
          </cell>
          <cell r="T71"/>
        </row>
        <row r="72">
          <cell r="B72" t="str">
            <v>PT6000001</v>
          </cell>
          <cell r="C72" t="str">
            <v xml:space="preserve"> BEBIDA DE DURAZNO JUCOSA TBA 1000 CM3 X 12 Σ</v>
          </cell>
          <cell r="D72">
            <v>2297</v>
          </cell>
          <cell r="F72"/>
          <cell r="H72"/>
          <cell r="J72" t="str">
            <v>PT5000008</v>
          </cell>
          <cell r="L72">
            <v>44</v>
          </cell>
          <cell r="N72" t="str">
            <v>PT4400001</v>
          </cell>
          <cell r="O72" t="str">
            <v xml:space="preserve"> CREAMER MAITA LATA 390 G X 24 Σ</v>
          </cell>
          <cell r="P72">
            <v>2617</v>
          </cell>
          <cell r="T72"/>
        </row>
        <row r="73">
          <cell r="B73" t="str">
            <v>PT6000002</v>
          </cell>
          <cell r="C73" t="str">
            <v xml:space="preserve"> BEBIDA DE MANZANA JUCOSA TBA 1000 CM3 X 12 Σ</v>
          </cell>
          <cell r="D73">
            <v>1712</v>
          </cell>
          <cell r="F73"/>
          <cell r="H73"/>
          <cell r="J73" t="str">
            <v>PT3000003</v>
          </cell>
          <cell r="L73">
            <v>3331</v>
          </cell>
          <cell r="N73" t="str">
            <v>PT4400002</v>
          </cell>
          <cell r="O73" t="str">
            <v xml:space="preserve"> CREAMER MAITA TPA 340 G X 24 Σ</v>
          </cell>
          <cell r="P73">
            <v>2080</v>
          </cell>
          <cell r="T73"/>
        </row>
        <row r="74">
          <cell r="B74" t="str">
            <v>PT6000003</v>
          </cell>
          <cell r="C74" t="str">
            <v xml:space="preserve"> BEBIDA DE PERA JUCOSA TBA 1000 CM3 X 12 Σ</v>
          </cell>
          <cell r="D74">
            <v>1030</v>
          </cell>
          <cell r="F74"/>
          <cell r="H74"/>
          <cell r="J74" t="str">
            <v>PT6100002</v>
          </cell>
          <cell r="L74">
            <v>5705</v>
          </cell>
          <cell r="N74" t="str">
            <v>PT4403001</v>
          </cell>
          <cell r="O74" t="str">
            <v xml:space="preserve"> CREAMER GRANJA FLOR 390 G X 24 Σ</v>
          </cell>
          <cell r="P74">
            <v>313</v>
          </cell>
          <cell r="T74"/>
        </row>
        <row r="75">
          <cell r="B75" t="str">
            <v>PT6100001</v>
          </cell>
          <cell r="C75" t="str">
            <v xml:space="preserve"> BEBIDA DE DURAZNO JUCOSA TPA 200 CM3 X 24 Σ</v>
          </cell>
          <cell r="D75">
            <v>1</v>
          </cell>
          <cell r="F75"/>
          <cell r="H75"/>
          <cell r="J75" t="str">
            <v>PT6100003</v>
          </cell>
          <cell r="L75">
            <v>7106</v>
          </cell>
          <cell r="N75" t="str">
            <v>PT4500001</v>
          </cell>
          <cell r="O75" t="str">
            <v xml:space="preserve"> LECHE CONDENSADA SEMIDESCREMADA MAITA LATA 390 G X 24 Σ</v>
          </cell>
          <cell r="P75">
            <v>673</v>
          </cell>
          <cell r="T75"/>
        </row>
        <row r="76">
          <cell r="B76" t="str">
            <v>PT6100002</v>
          </cell>
          <cell r="C76" t="str">
            <v xml:space="preserve"> BEBIDA DE MANZANA JUCOSA TPA 200 CM3 X 24 Σ</v>
          </cell>
          <cell r="D76">
            <v>0</v>
          </cell>
          <cell r="F76"/>
          <cell r="H76"/>
          <cell r="J76" t="str">
            <v>PT6100001</v>
          </cell>
          <cell r="L76">
            <v>2324</v>
          </cell>
          <cell r="N76" t="str">
            <v>PT4500002</v>
          </cell>
          <cell r="O76" t="str">
            <v xml:space="preserve"> LECHE CONDENSADA SEMIDESCREMADA MAITA TPA 340 G X 24 Σ</v>
          </cell>
          <cell r="P76">
            <v>2344</v>
          </cell>
          <cell r="T76"/>
        </row>
        <row r="77">
          <cell r="B77" t="str">
            <v>PT6100003</v>
          </cell>
          <cell r="C77" t="str">
            <v xml:space="preserve"> BEBIDA DE PERA JUCOSA TPA 200 CM3 X 24 Σ</v>
          </cell>
          <cell r="D77">
            <v>1</v>
          </cell>
          <cell r="F77"/>
          <cell r="H77"/>
          <cell r="J77" t="str">
            <v>PT3000001</v>
          </cell>
          <cell r="L77">
            <v>15</v>
          </cell>
          <cell r="N77" t="str">
            <v>PT6000001</v>
          </cell>
          <cell r="O77" t="str">
            <v xml:space="preserve"> BEBIDA DE DURAZNO JUCOSA TBA 1000 CM3 X 12 Σ</v>
          </cell>
          <cell r="P77">
            <v>3133</v>
          </cell>
          <cell r="T77"/>
        </row>
        <row r="78">
          <cell r="B78" t="str">
            <v>PT6100004</v>
          </cell>
          <cell r="C78" t="str">
            <v xml:space="preserve"> BEBIDA SABOR NARANJA JUCOSA TPA 200 CM3 X 24 Σ</v>
          </cell>
          <cell r="D78">
            <v>269</v>
          </cell>
          <cell r="F78"/>
          <cell r="H78"/>
          <cell r="J78" t="str">
            <v>PT5000004</v>
          </cell>
          <cell r="L78">
            <v>19</v>
          </cell>
          <cell r="N78" t="str">
            <v>PT6000002</v>
          </cell>
          <cell r="O78" t="str">
            <v xml:space="preserve"> BEBIDA DE MANZANA JUCOSA TBA 1000 CM3 X 12 Σ</v>
          </cell>
          <cell r="P78">
            <v>4519</v>
          </cell>
          <cell r="T78"/>
        </row>
        <row r="79">
          <cell r="B79" t="str">
            <v>PT2000004</v>
          </cell>
          <cell r="C79" t="str">
            <v xml:space="preserve"> NARANJADA TPA 330 CM3 X 12 Σ</v>
          </cell>
          <cell r="D79">
            <v>1</v>
          </cell>
          <cell r="F79"/>
          <cell r="H79"/>
          <cell r="J79" t="str">
            <v>PT5000002</v>
          </cell>
          <cell r="L79">
            <v>23</v>
          </cell>
          <cell r="N79" t="str">
            <v>PT6000003</v>
          </cell>
          <cell r="O79" t="str">
            <v xml:space="preserve"> BEBIDA DE PERA JUCOSA TBA 1000 CM3 X 12 Σ</v>
          </cell>
          <cell r="P79">
            <v>3596</v>
          </cell>
          <cell r="T79"/>
        </row>
        <row r="80">
          <cell r="B80" t="str">
            <v>PT3000005</v>
          </cell>
          <cell r="C80" t="str">
            <v xml:space="preserve"> COLADO DE FRUTAS TROPICALES 113 G X 24 Σ</v>
          </cell>
          <cell r="D80">
            <v>1</v>
          </cell>
          <cell r="F80"/>
          <cell r="H80"/>
          <cell r="L80"/>
          <cell r="N80" t="str">
            <v>PT6100001</v>
          </cell>
          <cell r="O80" t="str">
            <v xml:space="preserve"> BEBIDA DE DURAZNO JUCOSA TPA 200 CM3 X 24 Σ</v>
          </cell>
          <cell r="P80">
            <v>4143</v>
          </cell>
          <cell r="T80"/>
        </row>
        <row r="81">
          <cell r="B81" t="str">
            <v>PT6000004</v>
          </cell>
          <cell r="C81" t="str">
            <v xml:space="preserve"> BEBIDA SABOR NARANJA JUCOSA TBA 1000 CM3 X 12 Σ</v>
          </cell>
          <cell r="D81">
            <v>0</v>
          </cell>
          <cell r="L81"/>
          <cell r="N81" t="str">
            <v>PT6100002</v>
          </cell>
          <cell r="O81" t="str">
            <v xml:space="preserve"> BEBIDA DE MANZANA JUCOSA TPA 200 CM3 X 24 Σ</v>
          </cell>
          <cell r="P81">
            <v>2670</v>
          </cell>
          <cell r="T81"/>
        </row>
        <row r="82">
          <cell r="B82" t="str">
            <v>PT1000003</v>
          </cell>
          <cell r="C82" t="str">
            <v xml:space="preserve"> NECTAR DE PERA ALUMINIO 340 CM3 X 24 Σ</v>
          </cell>
          <cell r="D82">
            <v>0</v>
          </cell>
          <cell r="L82"/>
          <cell r="N82" t="str">
            <v>PT6100003</v>
          </cell>
          <cell r="O82" t="str">
            <v xml:space="preserve"> BEBIDA DE PERA JUCOSA TPA 200 CM3 X 24 Σ</v>
          </cell>
          <cell r="P82">
            <v>744</v>
          </cell>
          <cell r="T82"/>
        </row>
        <row r="83">
          <cell r="B83" t="str">
            <v>PT1700001</v>
          </cell>
          <cell r="C83" t="str">
            <v xml:space="preserve"> NECTAR DE DURAZNO TCA 150 CM3 X 6 X 6 (SIX PACK) Σ</v>
          </cell>
          <cell r="D83">
            <v>0</v>
          </cell>
          <cell r="L83"/>
          <cell r="N83" t="str">
            <v>PT6100004</v>
          </cell>
          <cell r="O83" t="str">
            <v xml:space="preserve"> BEBIDA SABOR NARANJA JUCOSA TPA 200 CM3 X 24 Σ</v>
          </cell>
          <cell r="P83">
            <v>10</v>
          </cell>
          <cell r="T83"/>
        </row>
        <row r="84">
          <cell r="B84" t="str">
            <v>PT3000002</v>
          </cell>
          <cell r="C84" t="str">
            <v xml:space="preserve"> COLADO DE MANZANA 113 G X 24 Σ</v>
          </cell>
          <cell r="D84">
            <v>0</v>
          </cell>
          <cell r="L84"/>
          <cell r="N84" t="str">
            <v>PT3000005</v>
          </cell>
          <cell r="O84" t="str">
            <v xml:space="preserve"> COLADO DE FRUTAS TROPICALES 113 G X 24 Σ</v>
          </cell>
          <cell r="P84">
            <v>1</v>
          </cell>
          <cell r="T84"/>
        </row>
        <row r="85">
          <cell r="B85" t="str">
            <v>PT1000005</v>
          </cell>
          <cell r="C85" t="str">
            <v xml:space="preserve"> COCTEL DE FRUTAS ALUMINIO 340 CM3 X 24 Σ</v>
          </cell>
          <cell r="D85">
            <v>0</v>
          </cell>
          <cell r="L85"/>
          <cell r="N85" t="str">
            <v>PT6000004</v>
          </cell>
          <cell r="O85" t="str">
            <v xml:space="preserve"> BEBIDA SABOR NARANJA JUCOSA TBA 1000 CM3 X 12 Σ</v>
          </cell>
          <cell r="P85">
            <v>0</v>
          </cell>
          <cell r="T85"/>
        </row>
        <row r="86">
          <cell r="B86" t="str">
            <v>PT1600001</v>
          </cell>
          <cell r="C86" t="str">
            <v xml:space="preserve"> NECTAR DE DURAZNO TCA 150 CM3 X 24 Σ</v>
          </cell>
          <cell r="D86">
            <v>0</v>
          </cell>
          <cell r="L86"/>
          <cell r="N86" t="str">
            <v>PT1700001</v>
          </cell>
          <cell r="O86" t="str">
            <v xml:space="preserve"> NECTAR DE DURAZNO TCA 150 CM3 X 6 X 6 (SIX PACK) Σ</v>
          </cell>
          <cell r="P86">
            <v>0</v>
          </cell>
          <cell r="T86"/>
        </row>
        <row r="87">
          <cell r="B87" t="str">
            <v>PT1600003</v>
          </cell>
          <cell r="C87" t="str">
            <v xml:space="preserve"> NECTAR DE PERA TCA 150 CM3 X 24 Σ</v>
          </cell>
          <cell r="D87">
            <v>0</v>
          </cell>
          <cell r="L87"/>
          <cell r="N87" t="str">
            <v>PT1000008</v>
          </cell>
          <cell r="O87" t="str">
            <v xml:space="preserve"> NECTAR DE TAMARINDO ALUMINIO 340 CM3 X 24 Σ</v>
          </cell>
          <cell r="P87">
            <v>1</v>
          </cell>
          <cell r="T87"/>
        </row>
        <row r="88">
          <cell r="B88" t="str">
            <v>PT1700002</v>
          </cell>
          <cell r="C88" t="str">
            <v xml:space="preserve"> NECTAR DE MANZANA TCA 150 CM3 X 6 X 6 (SIX PACK) Σ</v>
          </cell>
          <cell r="D88">
            <v>0</v>
          </cell>
          <cell r="L88"/>
          <cell r="N88" t="str">
            <v>PT5000002</v>
          </cell>
          <cell r="O88" t="str">
            <v xml:space="preserve"> COCO PILOS 40 G X 144 Σ</v>
          </cell>
          <cell r="P88">
            <v>20</v>
          </cell>
          <cell r="T88"/>
        </row>
        <row r="89">
          <cell r="B89" t="str">
            <v>PT1700003</v>
          </cell>
          <cell r="C89" t="str">
            <v xml:space="preserve"> NECTAR DE PERA TCA 150 CM3 X 6 X 6 (SIX PACK) Σ</v>
          </cell>
          <cell r="D89">
            <v>0</v>
          </cell>
          <cell r="L89"/>
          <cell r="N89" t="str">
            <v>PT5000003</v>
          </cell>
          <cell r="O89" t="str">
            <v xml:space="preserve"> CHOCO PILOS 220 G X 24 (FARDOS) Σ</v>
          </cell>
          <cell r="P89">
            <v>63</v>
          </cell>
          <cell r="T89"/>
        </row>
        <row r="90">
          <cell r="B90" t="str">
            <v>PT1800001</v>
          </cell>
          <cell r="C90" t="str">
            <v xml:space="preserve"> NECTAR DE DURAZNO PET 1,5 L X 6 Σ</v>
          </cell>
          <cell r="D90">
            <v>0</v>
          </cell>
          <cell r="L90"/>
          <cell r="N90" t="str">
            <v>PT5000004</v>
          </cell>
          <cell r="O90" t="str">
            <v xml:space="preserve"> COCO PILOS 220 G X 24 (FARDOS) Σ</v>
          </cell>
          <cell r="P90">
            <v>5</v>
          </cell>
          <cell r="T90"/>
        </row>
        <row r="91">
          <cell r="B91" t="str">
            <v>PT1800009</v>
          </cell>
          <cell r="C91" t="str">
            <v xml:space="preserve"> TE NEGRO DE DURAZNO PET 1,5 L X 6 Σ</v>
          </cell>
          <cell r="D91">
            <v>0</v>
          </cell>
          <cell r="L91"/>
          <cell r="N91" t="str">
            <v>PT5000008</v>
          </cell>
          <cell r="O91" t="str">
            <v xml:space="preserve"> COCO PILOS ESTUCHE 220 G X 24 Σ</v>
          </cell>
          <cell r="P91">
            <v>73</v>
          </cell>
          <cell r="T91"/>
        </row>
        <row r="92">
          <cell r="B92" t="str">
            <v>PT1800010</v>
          </cell>
          <cell r="C92" t="str">
            <v xml:space="preserve"> TE NEGRO DE LIMON PET 1,5 L X 6 Σ</v>
          </cell>
          <cell r="D92">
            <v>0</v>
          </cell>
          <cell r="L92"/>
          <cell r="N92" t="str">
            <v>PT4200009</v>
          </cell>
          <cell r="O92" t="str">
            <v xml:space="preserve"> BEBIDA DE AVENA NATULAC VEGETAL TBA 946 CM3 X 12 Σ</v>
          </cell>
          <cell r="P92">
            <v>0</v>
          </cell>
          <cell r="T92"/>
        </row>
        <row r="93">
          <cell r="B93" t="str">
            <v>PT1800011</v>
          </cell>
          <cell r="C93" t="str">
            <v xml:space="preserve"> JUGO DE PIÑA PET 1,5 L X 6 Σ</v>
          </cell>
          <cell r="D93">
            <v>0</v>
          </cell>
          <cell r="L93"/>
          <cell r="N93" t="str">
            <v>PT4200013</v>
          </cell>
          <cell r="O93" t="str">
            <v xml:space="preserve"> BEBIDA A BASE DE AVENA (LACTEA) NATULAC TBA 946 CM3 X 12 Σ</v>
          </cell>
          <cell r="P93">
            <v>0</v>
          </cell>
          <cell r="T93"/>
        </row>
        <row r="94">
          <cell r="B94" t="str">
            <v>PT1900010</v>
          </cell>
          <cell r="C94" t="str">
            <v xml:space="preserve"> TE NEGRO DE LIMON PET 500 CM3 X 12 Σ</v>
          </cell>
          <cell r="D94">
            <v>0</v>
          </cell>
          <cell r="L94"/>
          <cell r="N94" t="str">
            <v>PT1103001</v>
          </cell>
          <cell r="O94" t="str">
            <v xml:space="preserve"> NECTAR DE MANGO TWINS VIDRIO 250 CM3 X 24 Σ</v>
          </cell>
          <cell r="P94">
            <v>0</v>
          </cell>
          <cell r="T94"/>
        </row>
        <row r="95">
          <cell r="B95" t="str">
            <v>PT2002004</v>
          </cell>
          <cell r="C95" t="str">
            <v xml:space="preserve"> JUGO DE PIÑA 100 % TPA 330 CM3 X 12 Σ</v>
          </cell>
          <cell r="D95">
            <v>0</v>
          </cell>
          <cell r="L95"/>
          <cell r="N95" t="str">
            <v>PT1510002</v>
          </cell>
          <cell r="O95" t="str">
            <v xml:space="preserve"> NECTAR DE MANZANA TPA 250 cm3 x 24 Σ</v>
          </cell>
          <cell r="P95">
            <v>0</v>
          </cell>
          <cell r="T95"/>
        </row>
        <row r="96">
          <cell r="B96" t="str">
            <v>PT3000001</v>
          </cell>
          <cell r="C96" t="str">
            <v xml:space="preserve"> COLADO DE DURAZNO 113 G X 24 Σ</v>
          </cell>
          <cell r="D96">
            <v>0</v>
          </cell>
          <cell r="L96"/>
          <cell r="N96" t="str">
            <v>PT4000006</v>
          </cell>
          <cell r="O96" t="str">
            <v xml:space="preserve"> LECHE CONDENSADA KG Σ</v>
          </cell>
          <cell r="P96">
            <v>0</v>
          </cell>
          <cell r="T96"/>
        </row>
        <row r="97">
          <cell r="B97" t="str">
            <v>PT4200001</v>
          </cell>
          <cell r="C97" t="str">
            <v xml:space="preserve"> LECHE ENTERA NATULAC TBA 1000 CM3 X 12 Σ</v>
          </cell>
          <cell r="D97">
            <v>0</v>
          </cell>
          <cell r="L97"/>
          <cell r="N97" t="str">
            <v>PT4000009</v>
          </cell>
          <cell r="O97" t="str">
            <v xml:space="preserve"> LECHE CONDENSADA AZUCARADA SEMIDESCREMADA TUBO 45 G X 24 X 6 SIX PACK Σ</v>
          </cell>
          <cell r="P97">
            <v>1</v>
          </cell>
          <cell r="T97"/>
        </row>
        <row r="98">
          <cell r="B98" t="str">
            <v>PT1000008</v>
          </cell>
          <cell r="C98" t="str">
            <v xml:space="preserve"> NECTAR DE TAMARINDO ALUMINIO 340 CM3 X 24 Σ</v>
          </cell>
          <cell r="D98">
            <v>1</v>
          </cell>
          <cell r="L98"/>
          <cell r="N98" t="str">
            <v>PT4000010</v>
          </cell>
          <cell r="O98" t="str">
            <v xml:space="preserve"> LECHE CONDENSADA AZUCARADA SEMIDESCREMADA TUBO 45 G X 48 X 3 Σ</v>
          </cell>
          <cell r="P98">
            <v>1</v>
          </cell>
          <cell r="T98"/>
        </row>
        <row r="99">
          <cell r="B99" t="str">
            <v>PT5000002</v>
          </cell>
          <cell r="C99" t="str">
            <v xml:space="preserve"> COCO PILOS 40 G X 144 Σ</v>
          </cell>
          <cell r="D99">
            <v>46</v>
          </cell>
          <cell r="L99"/>
          <cell r="N99" t="str">
            <v>PT4000011</v>
          </cell>
          <cell r="O99" t="str">
            <v xml:space="preserve"> LECHE CONDENSADA AZUCARADA SEMIDESCREMADA TUBO 45 G X 24 X 6 Σ</v>
          </cell>
          <cell r="P99">
            <v>2</v>
          </cell>
          <cell r="T99"/>
        </row>
        <row r="100">
          <cell r="B100" t="str">
            <v>PT5000003</v>
          </cell>
          <cell r="C100" t="str">
            <v xml:space="preserve"> CHOCO PILOS 220 G X 24 (FARDOS) Σ</v>
          </cell>
          <cell r="D100">
            <v>585</v>
          </cell>
          <cell r="L100"/>
          <cell r="N100" t="str">
            <v>PT4300011</v>
          </cell>
          <cell r="O100" t="str">
            <v xml:space="preserve"> DULCE DE LECHE NATULAC TUBO 40 G X 48 X 3 THREE PACK Σ</v>
          </cell>
          <cell r="P100">
            <v>140</v>
          </cell>
          <cell r="T100"/>
        </row>
        <row r="101">
          <cell r="B101" t="str">
            <v>PT5000004</v>
          </cell>
          <cell r="C101" t="str">
            <v xml:space="preserve"> COCO PILOS 220 G X 24 (FARDOS) Σ</v>
          </cell>
          <cell r="D101">
            <v>23</v>
          </cell>
          <cell r="L101"/>
          <cell r="N101" t="str">
            <v>PT1800011</v>
          </cell>
          <cell r="O101" t="str">
            <v xml:space="preserve"> JUGO DE PIÑA PET 1,5 L X 6 Σ</v>
          </cell>
          <cell r="P101">
            <v>0</v>
          </cell>
          <cell r="T101"/>
        </row>
        <row r="102">
          <cell r="B102" t="str">
            <v>PT5000008</v>
          </cell>
          <cell r="C102" t="str">
            <v xml:space="preserve"> COCO PILOS ESTUCHE 220 G X 24 Σ</v>
          </cell>
          <cell r="D102">
            <v>94</v>
          </cell>
          <cell r="L102"/>
          <cell r="N102" t="str">
            <v>PT2000010</v>
          </cell>
          <cell r="O102" t="str">
            <v xml:space="preserve"> TE NEGRO DE LIMON TPA 330 CM3 X 12 Σ</v>
          </cell>
          <cell r="P102">
            <v>0</v>
          </cell>
          <cell r="T102"/>
        </row>
        <row r="103">
          <cell r="B103" t="str">
            <v>PT4200009</v>
          </cell>
          <cell r="C103" t="str">
            <v xml:space="preserve"> BEBIDA DE AVENA NATULAC VEGETAL TBA 946 CM3 X 12 Σ</v>
          </cell>
          <cell r="D103">
            <v>0</v>
          </cell>
          <cell r="L103"/>
          <cell r="N103" t="str">
            <v>PT2002002</v>
          </cell>
          <cell r="O103" t="str">
            <v xml:space="preserve"> JUGO DE NARANJA 100 % TPA 330 CM3 X 12 Σ</v>
          </cell>
          <cell r="P103">
            <v>0</v>
          </cell>
          <cell r="T103"/>
        </row>
        <row r="104">
          <cell r="B104" t="str">
            <v>PT4200013</v>
          </cell>
          <cell r="C104" t="str">
            <v xml:space="preserve"> BEBIDA A BASE DE AVENA (LACTEA) NATULAC TBA 946 CM3 X 12 Σ</v>
          </cell>
          <cell r="D104">
            <v>0</v>
          </cell>
          <cell r="L104"/>
          <cell r="N104" t="str">
            <v>PT2002004</v>
          </cell>
          <cell r="O104" t="str">
            <v xml:space="preserve"> JUGO DE PIÑA 100 % TPA 330 CM3 X 12 Σ</v>
          </cell>
          <cell r="P104">
            <v>0</v>
          </cell>
          <cell r="T104"/>
        </row>
        <row r="105">
          <cell r="B105" t="str">
            <v>PT1103001</v>
          </cell>
          <cell r="C105" t="str">
            <v xml:space="preserve"> NECTAR DE MANGO TWINS VIDRIO 250 CM3 X 24 Σ</v>
          </cell>
          <cell r="D105">
            <v>0</v>
          </cell>
          <cell r="L105"/>
          <cell r="N105" t="str">
            <v>PT1600001</v>
          </cell>
          <cell r="O105" t="str">
            <v xml:space="preserve"> NECTAR DE DURAZNO TCA 150 CM3 X 24 Σ</v>
          </cell>
          <cell r="P105">
            <v>0</v>
          </cell>
          <cell r="T105"/>
        </row>
        <row r="106">
          <cell r="B106" t="str">
            <v>PT1103002</v>
          </cell>
          <cell r="C106" t="str">
            <v xml:space="preserve"> NECTAR DE DURAZNO TWINS VIDRIO 250 CM3 X 24 Σ</v>
          </cell>
          <cell r="D106">
            <v>0</v>
          </cell>
          <cell r="L106"/>
          <cell r="N106" t="str">
            <v>PT1600002</v>
          </cell>
          <cell r="O106" t="str">
            <v xml:space="preserve"> NECTAR DE MANZANA TCA 150 CM3 X 24 Σ</v>
          </cell>
          <cell r="P106">
            <v>0</v>
          </cell>
          <cell r="T106"/>
        </row>
        <row r="107">
          <cell r="B107" t="str">
            <v>PT3000003</v>
          </cell>
          <cell r="C107" t="str">
            <v xml:space="preserve"> COLADO DE PERA 113 G X 24 Σ</v>
          </cell>
          <cell r="D107">
            <v>0</v>
          </cell>
          <cell r="L107"/>
          <cell r="N107" t="str">
            <v>PT1600003</v>
          </cell>
          <cell r="O107" t="str">
            <v xml:space="preserve"> NECTAR DE PERA TCA 150 CM3 X 24 Σ</v>
          </cell>
          <cell r="P107">
            <v>0</v>
          </cell>
          <cell r="T107"/>
        </row>
        <row r="108">
          <cell r="B108" t="str">
            <v>PT1510002</v>
          </cell>
          <cell r="C108" t="str">
            <v xml:space="preserve"> NECTAR DE MANZANA TPA 250 cm3 x 24 Σ</v>
          </cell>
          <cell r="D108">
            <v>0</v>
          </cell>
          <cell r="L108"/>
          <cell r="N108" t="str">
            <v>PT4000013</v>
          </cell>
          <cell r="O108" t="str">
            <v xml:space="preserve"> LECHE CONDENSADA AZUCARADA SEMIDESCREMADA TPA 340 G X 24 Σ</v>
          </cell>
          <cell r="P108">
            <v>1012</v>
          </cell>
          <cell r="T108"/>
        </row>
        <row r="109">
          <cell r="B109" t="str">
            <v>PT4000006</v>
          </cell>
          <cell r="C109" t="str">
            <v xml:space="preserve"> LECHE CONDENSADA KG Σ</v>
          </cell>
          <cell r="D109">
            <v>0</v>
          </cell>
          <cell r="L109"/>
          <cell r="N109" t="str">
            <v>PT4100002</v>
          </cell>
          <cell r="O109" t="str">
            <v xml:space="preserve"> LECHE EN POLVO 900 G X 12 Σ</v>
          </cell>
          <cell r="P109">
            <v>0</v>
          </cell>
          <cell r="T109"/>
        </row>
        <row r="110">
          <cell r="B110" t="str">
            <v>PT4000009</v>
          </cell>
          <cell r="C110" t="str">
            <v xml:space="preserve"> LECHE CONDENSADA AZUCARADA SEMIDESCREMADA TUBO 45 G X 24 X 6 SIX PACK Σ</v>
          </cell>
          <cell r="D110">
            <v>1</v>
          </cell>
          <cell r="L110"/>
          <cell r="N110" t="str">
            <v>PT1103002</v>
          </cell>
          <cell r="O110" t="str">
            <v xml:space="preserve"> NECTAR DE DURAZNO TWINS VIDRIO 250 CM3 X 24 Σ</v>
          </cell>
          <cell r="P110">
            <v>0</v>
          </cell>
          <cell r="T110"/>
        </row>
        <row r="111">
          <cell r="B111" t="str">
            <v>PT4000010</v>
          </cell>
          <cell r="C111" t="str">
            <v xml:space="preserve"> LECHE CONDENSADA AZUCARADA SEMIDESCREMADA TUBO 45 G X 48 X 3 Σ</v>
          </cell>
          <cell r="D111">
            <v>1</v>
          </cell>
          <cell r="L111"/>
          <cell r="N111" t="str">
            <v>PT1400003</v>
          </cell>
          <cell r="O111" t="str">
            <v xml:space="preserve"> NECTAR DE PERA TBA 500 CM3 X 12 Σ</v>
          </cell>
          <cell r="P111">
            <v>0</v>
          </cell>
          <cell r="T111"/>
        </row>
        <row r="112">
          <cell r="B112" t="str">
            <v>PT4000011</v>
          </cell>
          <cell r="C112" t="str">
            <v xml:space="preserve"> LECHE CONDENSADA AZUCARADA SEMIDESCREMADA TUBO 45 G X 24 X 6 Σ</v>
          </cell>
          <cell r="D112">
            <v>2</v>
          </cell>
          <cell r="L112"/>
          <cell r="N112" t="str">
            <v>PT1700003</v>
          </cell>
          <cell r="O112" t="str">
            <v xml:space="preserve"> NECTAR DE PERA TCA 150 CM3 X 6 X 6 (SIX PACK) Σ</v>
          </cell>
          <cell r="P112">
            <v>0</v>
          </cell>
          <cell r="T112"/>
        </row>
        <row r="113">
          <cell r="B113" t="str">
            <v>PT4000012</v>
          </cell>
          <cell r="C113" t="str">
            <v xml:space="preserve"> LECHE CONDENSADA AZUCARADA SEMIDESCREMADA LATA 397 G X 24 Σ</v>
          </cell>
          <cell r="D113">
            <v>5</v>
          </cell>
          <cell r="L113"/>
          <cell r="N113" t="str">
            <v>PT1000007</v>
          </cell>
          <cell r="O113" t="str">
            <v xml:space="preserve"> NECTAR DE GUAYABA ALUMINIO 340 CM3 X 24 Σ</v>
          </cell>
          <cell r="P113">
            <v>0</v>
          </cell>
          <cell r="T113"/>
        </row>
        <row r="114">
          <cell r="B114" t="str">
            <v>PT2000010</v>
          </cell>
          <cell r="C114" t="str">
            <v xml:space="preserve"> TE NEGRO DE LIMON TPA 330 CM3 X 12 Σ</v>
          </cell>
          <cell r="D114">
            <v>0</v>
          </cell>
          <cell r="L114"/>
          <cell r="N114" t="str">
            <v>PT1400004</v>
          </cell>
          <cell r="O114" t="str">
            <v xml:space="preserve"> NARANJADA TBA 500 CM3 X 12 Σ</v>
          </cell>
          <cell r="P114">
            <v>0</v>
          </cell>
          <cell r="T114"/>
        </row>
        <row r="115">
          <cell r="B115" t="str">
            <v>PT2002002</v>
          </cell>
          <cell r="C115" t="str">
            <v xml:space="preserve"> JUGO DE NARANJA 100 % TPA 330 CM3 X 12 Σ</v>
          </cell>
          <cell r="D115">
            <v>0</v>
          </cell>
          <cell r="L115"/>
          <cell r="N115" t="str">
            <v>PT1800004</v>
          </cell>
          <cell r="O115" t="str">
            <v xml:space="preserve"> NARANJADA 60% PET 1,5 L X 6 Σ</v>
          </cell>
          <cell r="P115">
            <v>0</v>
          </cell>
          <cell r="T115"/>
        </row>
        <row r="116">
          <cell r="B116" t="str">
            <v>PT1600002</v>
          </cell>
          <cell r="C116" t="str">
            <v xml:space="preserve"> NECTAR DE MANZANA TCA 150 CM3 X 24 Σ</v>
          </cell>
          <cell r="D116">
            <v>0</v>
          </cell>
          <cell r="L116"/>
          <cell r="N116" t="str">
            <v>PT1900009</v>
          </cell>
          <cell r="O116" t="str">
            <v xml:space="preserve"> TE NEGRO DE DURAZNO PET 500 CM3 X 12 Σ</v>
          </cell>
          <cell r="P116">
            <v>0</v>
          </cell>
          <cell r="T116"/>
        </row>
        <row r="117">
          <cell r="B117" t="str">
            <v>PT4100002</v>
          </cell>
          <cell r="C117" t="str">
            <v xml:space="preserve"> LECHE EN POLVO 900 G X 12 Σ</v>
          </cell>
          <cell r="D117">
            <v>0</v>
          </cell>
          <cell r="L117"/>
          <cell r="N117" t="str">
            <v>PT1900010</v>
          </cell>
          <cell r="O117" t="str">
            <v xml:space="preserve"> TE NEGRO DE LIMON PET 500 CM3 X 12 Σ</v>
          </cell>
          <cell r="P117">
            <v>0</v>
          </cell>
          <cell r="T117"/>
        </row>
        <row r="118">
          <cell r="B118" t="str">
            <v>PT4300011</v>
          </cell>
          <cell r="C118" t="str">
            <v xml:space="preserve"> DULCE DE LECHE NATULAC TUBO 40 G X 48 X 3 THREE PACK Σ</v>
          </cell>
          <cell r="D118">
            <v>143</v>
          </cell>
          <cell r="L118"/>
          <cell r="N118" t="str">
            <v>PT3400001</v>
          </cell>
          <cell r="O118" t="str">
            <v xml:space="preserve"> COLADO DURAZNO TCA 160 G X 24 (THREE PACK) Σ</v>
          </cell>
          <cell r="P118">
            <v>0</v>
          </cell>
        </row>
        <row r="119">
          <cell r="B119" t="str">
            <v>PT1400003</v>
          </cell>
          <cell r="C119" t="str">
            <v xml:space="preserve"> NECTAR DE PERA TBA 500 CM3 X 12 Σ</v>
          </cell>
          <cell r="D119">
            <v>0</v>
          </cell>
          <cell r="L119"/>
          <cell r="N119" t="str">
            <v>PT3400002</v>
          </cell>
          <cell r="O119" t="str">
            <v xml:space="preserve"> COLADO MANZANA TCA 160 G X 24 (THREE PACK) Σ</v>
          </cell>
          <cell r="P119">
            <v>0</v>
          </cell>
        </row>
        <row r="120">
          <cell r="B120" t="str">
            <v>PT1000007</v>
          </cell>
          <cell r="C120" t="str">
            <v xml:space="preserve"> NECTAR DE GUAYABA ALUMINIO 340 CM3 X 24 Σ</v>
          </cell>
          <cell r="D120">
            <v>0</v>
          </cell>
          <cell r="L120"/>
          <cell r="N120" t="str">
            <v>PT3400003</v>
          </cell>
          <cell r="P120">
            <v>0</v>
          </cell>
        </row>
        <row r="121">
          <cell r="B121" t="str">
            <v>PT1400004</v>
          </cell>
          <cell r="C121" t="str">
            <v xml:space="preserve"> NARANJADA TBA 500 CM3 X 12 Σ</v>
          </cell>
          <cell r="D121">
            <v>0</v>
          </cell>
          <cell r="L121"/>
          <cell r="N121" t="str">
            <v>PT5000006</v>
          </cell>
          <cell r="P121">
            <v>2</v>
          </cell>
        </row>
        <row r="122">
          <cell r="B122" t="str">
            <v>PT1800004</v>
          </cell>
          <cell r="C122" t="str">
            <v xml:space="preserve"> NARANJADA 60% PET 1,5 L X 6 Σ</v>
          </cell>
          <cell r="D122">
            <v>0</v>
          </cell>
          <cell r="L122"/>
          <cell r="N122" t="str">
            <v>PT5000007</v>
          </cell>
          <cell r="P122">
            <v>0</v>
          </cell>
        </row>
        <row r="123">
          <cell r="B123" t="str">
            <v>PT1900009</v>
          </cell>
          <cell r="C123" t="str">
            <v xml:space="preserve"> TE NEGRO DE DURAZNO PET 500 CM3 X 12 Σ</v>
          </cell>
          <cell r="D123">
            <v>0</v>
          </cell>
          <cell r="L123"/>
          <cell r="N123" t="str">
            <v>PT5100001</v>
          </cell>
          <cell r="P123">
            <v>0</v>
          </cell>
        </row>
        <row r="124">
          <cell r="B124" t="str">
            <v>PT3400001</v>
          </cell>
          <cell r="C124" t="str">
            <v xml:space="preserve"> COLADO DURAZNO TCA 160 G X 24 (THREE PACK) Σ</v>
          </cell>
          <cell r="D124">
            <v>0</v>
          </cell>
          <cell r="L124"/>
          <cell r="N124" t="str">
            <v>PT5100002</v>
          </cell>
          <cell r="P124">
            <v>0</v>
          </cell>
        </row>
        <row r="125">
          <cell r="B125" t="str">
            <v>PT3400002</v>
          </cell>
          <cell r="C125" t="str">
            <v xml:space="preserve"> COLADO MANZANA TCA 160 G X 24 (THREE PACK) Σ</v>
          </cell>
          <cell r="D125">
            <v>0</v>
          </cell>
          <cell r="L125"/>
          <cell r="P125"/>
        </row>
        <row r="126">
          <cell r="B126" t="str">
            <v>PT3400003</v>
          </cell>
          <cell r="C126" t="str">
            <v xml:space="preserve"> COLADO PERA TCA 160 G X 24 (THREE PACK) Σ</v>
          </cell>
          <cell r="D126">
            <v>0</v>
          </cell>
          <cell r="L126"/>
          <cell r="P126"/>
        </row>
        <row r="127">
          <cell r="B127" t="str">
            <v>PT5000006</v>
          </cell>
          <cell r="C127" t="str">
            <v xml:space="preserve"> COCO PILOS 40 G X 6 X 24 (SIX PACK) Σ</v>
          </cell>
          <cell r="D127">
            <v>2</v>
          </cell>
          <cell r="L127"/>
          <cell r="P127"/>
        </row>
        <row r="128">
          <cell r="B128" t="str">
            <v>PT5000007</v>
          </cell>
          <cell r="C128" t="str">
            <v xml:space="preserve"> CHOCO PILOS ESTUCHE 220 G X 24 Σ</v>
          </cell>
          <cell r="D128">
            <v>0</v>
          </cell>
          <cell r="L128"/>
          <cell r="P128"/>
        </row>
        <row r="129">
          <cell r="B129" t="str">
            <v>PT5100001</v>
          </cell>
          <cell r="C129" t="str">
            <v xml:space="preserve"> SANTA BOLITA 120 G X 24 (FARDOS) Σ</v>
          </cell>
          <cell r="D129">
            <v>0</v>
          </cell>
          <cell r="L129"/>
          <cell r="P129"/>
        </row>
        <row r="130">
          <cell r="B130" t="str">
            <v>PT5100002</v>
          </cell>
          <cell r="C130" t="str">
            <v xml:space="preserve"> SANTO PALITO 90 G X 24 (FARDOS) Σ</v>
          </cell>
          <cell r="D130">
            <v>0</v>
          </cell>
          <cell r="L130"/>
          <cell r="P130"/>
        </row>
        <row r="131">
          <cell r="D131"/>
          <cell r="L131"/>
          <cell r="P131"/>
        </row>
        <row r="132">
          <cell r="D132"/>
          <cell r="L132"/>
          <cell r="P132"/>
        </row>
        <row r="133">
          <cell r="D133"/>
          <cell r="L133"/>
          <cell r="P133"/>
        </row>
        <row r="134">
          <cell r="D134"/>
          <cell r="L134"/>
          <cell r="P134"/>
        </row>
        <row r="135">
          <cell r="D135"/>
          <cell r="L135"/>
          <cell r="P135"/>
        </row>
        <row r="136">
          <cell r="L136"/>
          <cell r="P136"/>
        </row>
        <row r="137">
          <cell r="L137"/>
          <cell r="P137"/>
        </row>
        <row r="138">
          <cell r="L138"/>
          <cell r="P138"/>
        </row>
        <row r="139">
          <cell r="L139"/>
          <cell r="P139"/>
        </row>
        <row r="140">
          <cell r="L140"/>
          <cell r="P140"/>
        </row>
        <row r="141">
          <cell r="L141"/>
          <cell r="P141"/>
        </row>
        <row r="142">
          <cell r="L142"/>
        </row>
        <row r="143">
          <cell r="L143"/>
        </row>
        <row r="144">
          <cell r="L144"/>
        </row>
        <row r="145">
          <cell r="L145"/>
        </row>
        <row r="146">
          <cell r="L146"/>
        </row>
        <row r="147">
          <cell r="L147"/>
        </row>
        <row r="148">
          <cell r="L148"/>
        </row>
        <row r="149">
          <cell r="L149"/>
        </row>
        <row r="150">
          <cell r="L150"/>
        </row>
        <row r="151">
          <cell r="L151"/>
        </row>
        <row r="152">
          <cell r="L152"/>
        </row>
        <row r="153">
          <cell r="L153"/>
        </row>
        <row r="154">
          <cell r="L154"/>
        </row>
        <row r="155">
          <cell r="L155"/>
        </row>
        <row r="156">
          <cell r="L156"/>
        </row>
        <row r="157">
          <cell r="L157"/>
        </row>
        <row r="158">
          <cell r="L158"/>
        </row>
        <row r="159">
          <cell r="L159"/>
        </row>
        <row r="160">
          <cell r="L160"/>
        </row>
        <row r="161">
          <cell r="L161"/>
        </row>
        <row r="162">
          <cell r="L162"/>
        </row>
        <row r="163">
          <cell r="L163"/>
        </row>
        <row r="164">
          <cell r="L164"/>
        </row>
        <row r="165">
          <cell r="L165"/>
        </row>
        <row r="166">
          <cell r="L166"/>
        </row>
        <row r="167">
          <cell r="L167"/>
        </row>
        <row r="168">
          <cell r="L168"/>
        </row>
        <row r="169">
          <cell r="L169"/>
        </row>
        <row r="170">
          <cell r="L170"/>
        </row>
        <row r="171">
          <cell r="L171"/>
        </row>
        <row r="172">
          <cell r="L172"/>
        </row>
        <row r="173">
          <cell r="L173"/>
        </row>
        <row r="174">
          <cell r="L174"/>
        </row>
        <row r="175">
          <cell r="L175"/>
        </row>
        <row r="176">
          <cell r="L176"/>
        </row>
        <row r="177">
          <cell r="L177"/>
        </row>
        <row r="178">
          <cell r="L178"/>
        </row>
        <row r="179">
          <cell r="L179"/>
        </row>
        <row r="180">
          <cell r="L180"/>
        </row>
        <row r="181">
          <cell r="L181"/>
        </row>
        <row r="182">
          <cell r="L182"/>
        </row>
        <row r="183">
          <cell r="L183"/>
        </row>
        <row r="184">
          <cell r="L184"/>
        </row>
        <row r="185">
          <cell r="L185"/>
        </row>
        <row r="186">
          <cell r="L186"/>
        </row>
        <row r="187">
          <cell r="L187"/>
        </row>
        <row r="188">
          <cell r="L188"/>
        </row>
        <row r="189">
          <cell r="L189"/>
        </row>
        <row r="190">
          <cell r="L190"/>
        </row>
        <row r="191">
          <cell r="L191"/>
        </row>
        <row r="192">
          <cell r="L192"/>
        </row>
        <row r="193">
          <cell r="L193"/>
        </row>
        <row r="194">
          <cell r="L194"/>
        </row>
        <row r="195">
          <cell r="L195"/>
        </row>
        <row r="196">
          <cell r="L196"/>
        </row>
        <row r="197">
          <cell r="L197"/>
        </row>
        <row r="198">
          <cell r="L198"/>
        </row>
        <row r="199">
          <cell r="L199"/>
        </row>
        <row r="200">
          <cell r="L200"/>
        </row>
        <row r="201">
          <cell r="L201"/>
        </row>
        <row r="202">
          <cell r="L202"/>
        </row>
        <row r="203">
          <cell r="L203"/>
        </row>
        <row r="204">
          <cell r="L204"/>
        </row>
        <row r="205">
          <cell r="L205"/>
        </row>
        <row r="206">
          <cell r="L206"/>
        </row>
        <row r="207">
          <cell r="L207"/>
        </row>
        <row r="208">
          <cell r="L208"/>
        </row>
        <row r="209">
          <cell r="L209"/>
        </row>
        <row r="210">
          <cell r="L210"/>
        </row>
        <row r="211">
          <cell r="L211"/>
        </row>
        <row r="212">
          <cell r="L212"/>
        </row>
        <row r="213">
          <cell r="L213"/>
        </row>
        <row r="214">
          <cell r="L214"/>
        </row>
        <row r="215">
          <cell r="L215"/>
        </row>
        <row r="216">
          <cell r="L216"/>
        </row>
        <row r="217">
          <cell r="L217"/>
        </row>
        <row r="218">
          <cell r="L218"/>
        </row>
        <row r="219">
          <cell r="L219"/>
        </row>
        <row r="220">
          <cell r="L220"/>
        </row>
        <row r="221">
          <cell r="L221"/>
        </row>
        <row r="222">
          <cell r="L222"/>
        </row>
        <row r="223">
          <cell r="L223"/>
        </row>
        <row r="224">
          <cell r="L224"/>
        </row>
        <row r="225">
          <cell r="L225"/>
        </row>
        <row r="226">
          <cell r="L226"/>
        </row>
        <row r="227">
          <cell r="L227"/>
        </row>
        <row r="228">
          <cell r="L228"/>
        </row>
        <row r="229">
          <cell r="L229"/>
        </row>
        <row r="230">
          <cell r="L230"/>
        </row>
        <row r="231">
          <cell r="L231"/>
        </row>
        <row r="232">
          <cell r="L232"/>
        </row>
        <row r="233">
          <cell r="L233"/>
        </row>
        <row r="234">
          <cell r="L234"/>
        </row>
        <row r="235">
          <cell r="L235"/>
        </row>
        <row r="236">
          <cell r="L236"/>
        </row>
        <row r="237">
          <cell r="L237"/>
        </row>
        <row r="238">
          <cell r="L238"/>
        </row>
        <row r="239">
          <cell r="L239"/>
        </row>
        <row r="240">
          <cell r="L240"/>
        </row>
        <row r="241">
          <cell r="L241"/>
        </row>
        <row r="242">
          <cell r="L242"/>
        </row>
        <row r="243">
          <cell r="L243"/>
        </row>
        <row r="244">
          <cell r="L244"/>
        </row>
        <row r="245">
          <cell r="L245"/>
        </row>
        <row r="246">
          <cell r="L246"/>
        </row>
        <row r="247">
          <cell r="L247"/>
        </row>
        <row r="248">
          <cell r="L248"/>
        </row>
        <row r="249">
          <cell r="L249"/>
        </row>
        <row r="250">
          <cell r="L250"/>
        </row>
        <row r="251">
          <cell r="L251"/>
        </row>
        <row r="252">
          <cell r="L252"/>
        </row>
        <row r="253">
          <cell r="L253"/>
        </row>
        <row r="254">
          <cell r="L254"/>
        </row>
        <row r="255">
          <cell r="L255"/>
        </row>
        <row r="256">
          <cell r="L256"/>
        </row>
        <row r="257">
          <cell r="L257"/>
        </row>
        <row r="258">
          <cell r="L258"/>
        </row>
        <row r="259">
          <cell r="L259"/>
        </row>
        <row r="260">
          <cell r="L260"/>
        </row>
        <row r="261">
          <cell r="L261"/>
        </row>
        <row r="262">
          <cell r="L262"/>
        </row>
        <row r="263">
          <cell r="L263"/>
        </row>
        <row r="264">
          <cell r="L264"/>
        </row>
        <row r="265">
          <cell r="L265"/>
        </row>
        <row r="266">
          <cell r="L266"/>
        </row>
        <row r="267">
          <cell r="L267"/>
        </row>
        <row r="268">
          <cell r="L268"/>
        </row>
        <row r="269">
          <cell r="L269"/>
        </row>
        <row r="270">
          <cell r="L270"/>
        </row>
        <row r="271">
          <cell r="L271"/>
        </row>
        <row r="272">
          <cell r="L272"/>
        </row>
        <row r="273">
          <cell r="L273"/>
        </row>
        <row r="274">
          <cell r="L274"/>
        </row>
        <row r="275">
          <cell r="L275"/>
        </row>
        <row r="276">
          <cell r="L276"/>
        </row>
        <row r="277">
          <cell r="L277"/>
        </row>
        <row r="278">
          <cell r="L278"/>
        </row>
        <row r="279">
          <cell r="L279"/>
        </row>
        <row r="280">
          <cell r="L280"/>
        </row>
        <row r="281">
          <cell r="L281"/>
        </row>
        <row r="282">
          <cell r="L282"/>
        </row>
        <row r="283">
          <cell r="L283"/>
        </row>
        <row r="284">
          <cell r="L284"/>
        </row>
        <row r="285">
          <cell r="L285"/>
        </row>
        <row r="286">
          <cell r="L286"/>
        </row>
        <row r="287">
          <cell r="L287"/>
        </row>
        <row r="288">
          <cell r="L288"/>
        </row>
        <row r="289">
          <cell r="L289"/>
        </row>
        <row r="290">
          <cell r="L290"/>
        </row>
        <row r="291">
          <cell r="L291"/>
        </row>
        <row r="292">
          <cell r="L292"/>
        </row>
        <row r="293">
          <cell r="L293"/>
        </row>
        <row r="294">
          <cell r="L294"/>
        </row>
        <row r="295">
          <cell r="L295"/>
        </row>
        <row r="296">
          <cell r="L296"/>
        </row>
        <row r="297">
          <cell r="L297"/>
        </row>
        <row r="298">
          <cell r="L298"/>
        </row>
        <row r="299">
          <cell r="L299"/>
        </row>
        <row r="300">
          <cell r="L300"/>
        </row>
        <row r="301">
          <cell r="L301"/>
        </row>
        <row r="302">
          <cell r="L302"/>
        </row>
        <row r="303">
          <cell r="L303"/>
        </row>
        <row r="304">
          <cell r="L304"/>
        </row>
        <row r="305">
          <cell r="L305"/>
        </row>
        <row r="306">
          <cell r="L306"/>
        </row>
        <row r="307">
          <cell r="L307"/>
        </row>
        <row r="308">
          <cell r="L308"/>
        </row>
        <row r="309">
          <cell r="L309"/>
        </row>
        <row r="310">
          <cell r="L310"/>
        </row>
        <row r="311">
          <cell r="L311"/>
        </row>
        <row r="312">
          <cell r="L312"/>
        </row>
        <row r="313">
          <cell r="L313"/>
        </row>
        <row r="314">
          <cell r="L314"/>
        </row>
        <row r="315">
          <cell r="L315"/>
        </row>
        <row r="316">
          <cell r="L316"/>
        </row>
        <row r="317">
          <cell r="L317"/>
        </row>
        <row r="318">
          <cell r="L318"/>
        </row>
        <row r="319">
          <cell r="L319"/>
        </row>
        <row r="320">
          <cell r="L320"/>
        </row>
        <row r="321">
          <cell r="L321"/>
        </row>
        <row r="322">
          <cell r="L322"/>
        </row>
        <row r="323">
          <cell r="L323"/>
        </row>
        <row r="324">
          <cell r="L324"/>
        </row>
        <row r="325">
          <cell r="L325"/>
        </row>
        <row r="326">
          <cell r="L326"/>
        </row>
        <row r="327">
          <cell r="L327"/>
        </row>
        <row r="328">
          <cell r="L328"/>
        </row>
        <row r="329">
          <cell r="L329"/>
        </row>
        <row r="330">
          <cell r="L330"/>
        </row>
        <row r="331">
          <cell r="L331"/>
        </row>
        <row r="332">
          <cell r="L332"/>
        </row>
        <row r="333">
          <cell r="L333"/>
        </row>
        <row r="334">
          <cell r="L334"/>
        </row>
        <row r="335">
          <cell r="L335"/>
        </row>
        <row r="336">
          <cell r="L336"/>
        </row>
        <row r="337">
          <cell r="L337"/>
        </row>
        <row r="338">
          <cell r="L338"/>
        </row>
        <row r="339">
          <cell r="L339"/>
        </row>
        <row r="340">
          <cell r="L340"/>
        </row>
        <row r="341">
          <cell r="L341"/>
        </row>
        <row r="342">
          <cell r="L342"/>
        </row>
        <row r="343">
          <cell r="L343"/>
        </row>
        <row r="344">
          <cell r="L344"/>
        </row>
        <row r="345">
          <cell r="L345"/>
        </row>
        <row r="346">
          <cell r="L346"/>
        </row>
        <row r="347">
          <cell r="L347"/>
        </row>
        <row r="348">
          <cell r="L348"/>
        </row>
        <row r="349">
          <cell r="L349"/>
        </row>
        <row r="350">
          <cell r="L350"/>
        </row>
        <row r="351">
          <cell r="L351"/>
        </row>
        <row r="352">
          <cell r="L352"/>
        </row>
        <row r="353">
          <cell r="L353"/>
        </row>
        <row r="354">
          <cell r="L354"/>
        </row>
        <row r="355">
          <cell r="L355"/>
        </row>
        <row r="356">
          <cell r="L356"/>
        </row>
        <row r="357">
          <cell r="L357"/>
        </row>
        <row r="358">
          <cell r="L358"/>
        </row>
        <row r="359">
          <cell r="L359"/>
        </row>
        <row r="360">
          <cell r="L360"/>
        </row>
        <row r="361">
          <cell r="L361"/>
        </row>
        <row r="362">
          <cell r="L362"/>
        </row>
        <row r="363">
          <cell r="L363"/>
        </row>
        <row r="364">
          <cell r="L364"/>
        </row>
        <row r="365">
          <cell r="L365"/>
        </row>
        <row r="366">
          <cell r="L366"/>
        </row>
        <row r="367">
          <cell r="L367"/>
        </row>
        <row r="368">
          <cell r="L368"/>
        </row>
        <row r="369">
          <cell r="L369"/>
        </row>
        <row r="370">
          <cell r="L370"/>
        </row>
        <row r="371">
          <cell r="L371"/>
        </row>
        <row r="372">
          <cell r="L372"/>
        </row>
        <row r="373">
          <cell r="L373"/>
        </row>
        <row r="374">
          <cell r="L374"/>
        </row>
        <row r="375">
          <cell r="L375"/>
        </row>
        <row r="376">
          <cell r="L376"/>
        </row>
        <row r="377">
          <cell r="L377"/>
        </row>
        <row r="378">
          <cell r="L378"/>
        </row>
        <row r="379">
          <cell r="L379"/>
        </row>
        <row r="380">
          <cell r="L380"/>
        </row>
        <row r="381">
          <cell r="L381"/>
        </row>
        <row r="382">
          <cell r="L382"/>
        </row>
        <row r="383">
          <cell r="L383"/>
        </row>
        <row r="384">
          <cell r="L384"/>
        </row>
        <row r="385">
          <cell r="L385"/>
        </row>
        <row r="386">
          <cell r="L386"/>
        </row>
        <row r="387">
          <cell r="L387"/>
        </row>
        <row r="388">
          <cell r="L388"/>
        </row>
        <row r="389">
          <cell r="L389"/>
        </row>
        <row r="390">
          <cell r="L390"/>
        </row>
        <row r="391">
          <cell r="L391"/>
        </row>
        <row r="392">
          <cell r="L392"/>
        </row>
        <row r="393">
          <cell r="L393"/>
        </row>
        <row r="394">
          <cell r="L394"/>
        </row>
        <row r="395">
          <cell r="L395"/>
        </row>
        <row r="396">
          <cell r="L396"/>
        </row>
        <row r="397">
          <cell r="L397"/>
        </row>
        <row r="398">
          <cell r="L398"/>
        </row>
        <row r="399">
          <cell r="L399"/>
        </row>
        <row r="400">
          <cell r="L400"/>
        </row>
        <row r="401">
          <cell r="L401"/>
        </row>
        <row r="402">
          <cell r="L402"/>
        </row>
        <row r="403">
          <cell r="L403"/>
        </row>
        <row r="404">
          <cell r="L404"/>
        </row>
        <row r="405">
          <cell r="L405"/>
        </row>
        <row r="406">
          <cell r="L406"/>
        </row>
        <row r="407">
          <cell r="L407"/>
        </row>
        <row r="408">
          <cell r="L408"/>
        </row>
        <row r="409">
          <cell r="L409"/>
        </row>
        <row r="410">
          <cell r="L410"/>
        </row>
        <row r="411">
          <cell r="L411"/>
        </row>
        <row r="412">
          <cell r="L412"/>
        </row>
        <row r="413">
          <cell r="L413"/>
        </row>
        <row r="414">
          <cell r="L414"/>
        </row>
        <row r="415">
          <cell r="L415"/>
        </row>
        <row r="416">
          <cell r="L416"/>
        </row>
        <row r="417">
          <cell r="L417"/>
        </row>
        <row r="418">
          <cell r="L418"/>
        </row>
        <row r="419">
          <cell r="L419"/>
        </row>
        <row r="420">
          <cell r="L420"/>
        </row>
        <row r="421">
          <cell r="L421"/>
        </row>
        <row r="422">
          <cell r="L422"/>
        </row>
        <row r="423">
          <cell r="L423"/>
        </row>
        <row r="424">
          <cell r="L424"/>
        </row>
        <row r="425">
          <cell r="L425"/>
        </row>
        <row r="426">
          <cell r="L426"/>
        </row>
        <row r="427">
          <cell r="L427"/>
        </row>
        <row r="428">
          <cell r="L428"/>
        </row>
        <row r="429">
          <cell r="L429"/>
        </row>
        <row r="430">
          <cell r="L430"/>
        </row>
        <row r="431">
          <cell r="L431"/>
        </row>
        <row r="432">
          <cell r="L432"/>
        </row>
        <row r="433">
          <cell r="L433"/>
        </row>
        <row r="434">
          <cell r="L434"/>
        </row>
        <row r="435">
          <cell r="L435"/>
        </row>
        <row r="436">
          <cell r="L436"/>
        </row>
        <row r="437">
          <cell r="L437"/>
        </row>
        <row r="438">
          <cell r="L438"/>
        </row>
        <row r="439">
          <cell r="L439"/>
        </row>
        <row r="440">
          <cell r="L440"/>
        </row>
        <row r="441">
          <cell r="L441"/>
        </row>
        <row r="442">
          <cell r="L442"/>
        </row>
        <row r="443">
          <cell r="L443"/>
        </row>
        <row r="444">
          <cell r="L444"/>
        </row>
        <row r="445">
          <cell r="L445"/>
        </row>
        <row r="446">
          <cell r="L446"/>
        </row>
        <row r="447">
          <cell r="L447"/>
        </row>
        <row r="448">
          <cell r="L448"/>
        </row>
        <row r="449">
          <cell r="L449"/>
        </row>
        <row r="450">
          <cell r="L450"/>
        </row>
        <row r="451">
          <cell r="L451"/>
        </row>
        <row r="452">
          <cell r="L452"/>
        </row>
        <row r="453">
          <cell r="L453"/>
        </row>
        <row r="454">
          <cell r="L454"/>
        </row>
        <row r="455">
          <cell r="L455"/>
        </row>
        <row r="456">
          <cell r="L456"/>
        </row>
        <row r="457">
          <cell r="L457"/>
        </row>
        <row r="458">
          <cell r="L458"/>
        </row>
        <row r="459">
          <cell r="L459"/>
        </row>
        <row r="460">
          <cell r="L460"/>
        </row>
        <row r="461">
          <cell r="L461"/>
        </row>
        <row r="462">
          <cell r="L462"/>
        </row>
        <row r="463">
          <cell r="L463"/>
        </row>
        <row r="464">
          <cell r="L464"/>
        </row>
        <row r="465">
          <cell r="L465"/>
        </row>
        <row r="466">
          <cell r="L466"/>
        </row>
        <row r="467">
          <cell r="L467"/>
        </row>
        <row r="468">
          <cell r="L468"/>
        </row>
        <row r="469">
          <cell r="L469"/>
        </row>
        <row r="470">
          <cell r="L470"/>
        </row>
        <row r="471">
          <cell r="L471"/>
        </row>
        <row r="472">
          <cell r="L472"/>
        </row>
        <row r="473">
          <cell r="L473"/>
        </row>
        <row r="474">
          <cell r="L474"/>
        </row>
        <row r="475">
          <cell r="L475"/>
        </row>
        <row r="476">
          <cell r="L476"/>
        </row>
        <row r="477">
          <cell r="L477"/>
        </row>
        <row r="478">
          <cell r="L478"/>
        </row>
        <row r="479">
          <cell r="L479"/>
        </row>
        <row r="480">
          <cell r="L480"/>
        </row>
        <row r="481">
          <cell r="L481"/>
        </row>
        <row r="482">
          <cell r="L482"/>
        </row>
        <row r="483">
          <cell r="L483"/>
        </row>
        <row r="484">
          <cell r="L484"/>
        </row>
        <row r="485">
          <cell r="L485"/>
        </row>
        <row r="486">
          <cell r="L486"/>
        </row>
        <row r="487">
          <cell r="L487"/>
        </row>
        <row r="488">
          <cell r="L488"/>
        </row>
        <row r="489">
          <cell r="L489"/>
        </row>
        <row r="490">
          <cell r="L490"/>
        </row>
        <row r="491">
          <cell r="L491"/>
        </row>
        <row r="492">
          <cell r="L492"/>
        </row>
        <row r="493">
          <cell r="L493"/>
        </row>
        <row r="494">
          <cell r="L494"/>
        </row>
        <row r="495">
          <cell r="L495"/>
        </row>
        <row r="496">
          <cell r="L496"/>
        </row>
        <row r="497">
          <cell r="L497"/>
        </row>
        <row r="498">
          <cell r="L498"/>
        </row>
        <row r="499">
          <cell r="L499"/>
        </row>
        <row r="500">
          <cell r="L500"/>
        </row>
        <row r="501">
          <cell r="L501"/>
        </row>
        <row r="502">
          <cell r="L502"/>
        </row>
        <row r="503">
          <cell r="L503"/>
        </row>
        <row r="504">
          <cell r="L504"/>
        </row>
        <row r="505">
          <cell r="L505"/>
        </row>
        <row r="506">
          <cell r="L506"/>
        </row>
        <row r="507">
          <cell r="L507"/>
        </row>
        <row r="508">
          <cell r="L508"/>
        </row>
        <row r="509">
          <cell r="L509"/>
        </row>
        <row r="510">
          <cell r="L510"/>
        </row>
        <row r="511">
          <cell r="L511"/>
        </row>
        <row r="512">
          <cell r="L512"/>
        </row>
        <row r="513">
          <cell r="L513"/>
        </row>
        <row r="514">
          <cell r="L514"/>
        </row>
        <row r="515">
          <cell r="L515"/>
        </row>
        <row r="516">
          <cell r="L516"/>
        </row>
        <row r="517">
          <cell r="L517"/>
        </row>
        <row r="518">
          <cell r="L518"/>
        </row>
        <row r="519">
          <cell r="L519"/>
        </row>
        <row r="520">
          <cell r="L520"/>
        </row>
        <row r="521">
          <cell r="L521"/>
        </row>
        <row r="522">
          <cell r="L522"/>
        </row>
        <row r="523">
          <cell r="L523"/>
        </row>
        <row r="524">
          <cell r="L524"/>
        </row>
        <row r="525">
          <cell r="L525"/>
        </row>
        <row r="526">
          <cell r="L526"/>
        </row>
        <row r="527">
          <cell r="L527"/>
        </row>
        <row r="528">
          <cell r="L528"/>
        </row>
        <row r="529">
          <cell r="L529"/>
        </row>
        <row r="530">
          <cell r="L530"/>
        </row>
        <row r="531">
          <cell r="L531"/>
        </row>
        <row r="532">
          <cell r="L532"/>
        </row>
        <row r="533">
          <cell r="L533"/>
        </row>
        <row r="534">
          <cell r="L534"/>
        </row>
        <row r="535">
          <cell r="L535"/>
        </row>
        <row r="536">
          <cell r="L536"/>
        </row>
        <row r="537">
          <cell r="L537"/>
        </row>
        <row r="538">
          <cell r="L538"/>
        </row>
        <row r="539">
          <cell r="L539"/>
        </row>
        <row r="540">
          <cell r="L540"/>
        </row>
        <row r="541">
          <cell r="L541"/>
        </row>
        <row r="542">
          <cell r="L542"/>
        </row>
        <row r="543">
          <cell r="L543"/>
        </row>
        <row r="544">
          <cell r="L544"/>
        </row>
        <row r="545">
          <cell r="L545"/>
        </row>
        <row r="546">
          <cell r="L546"/>
        </row>
        <row r="547">
          <cell r="L547"/>
        </row>
        <row r="548">
          <cell r="L548"/>
        </row>
        <row r="549">
          <cell r="L549"/>
        </row>
        <row r="550">
          <cell r="L550"/>
        </row>
        <row r="551">
          <cell r="L551"/>
        </row>
        <row r="552">
          <cell r="L552"/>
        </row>
        <row r="553">
          <cell r="L553"/>
        </row>
        <row r="554">
          <cell r="L554"/>
        </row>
        <row r="555">
          <cell r="L555"/>
        </row>
        <row r="556">
          <cell r="L556"/>
        </row>
        <row r="557">
          <cell r="L557"/>
        </row>
        <row r="558">
          <cell r="L558"/>
        </row>
        <row r="559">
          <cell r="L559"/>
        </row>
        <row r="560">
          <cell r="L560"/>
        </row>
        <row r="561">
          <cell r="L561"/>
        </row>
        <row r="562">
          <cell r="L562"/>
        </row>
        <row r="563">
          <cell r="L563"/>
        </row>
        <row r="564">
          <cell r="L564"/>
        </row>
        <row r="565">
          <cell r="L565"/>
        </row>
        <row r="566">
          <cell r="L566"/>
        </row>
        <row r="567">
          <cell r="L567"/>
        </row>
        <row r="568">
          <cell r="L568"/>
        </row>
        <row r="569">
          <cell r="L569"/>
        </row>
        <row r="570">
          <cell r="L570"/>
        </row>
        <row r="571">
          <cell r="L571"/>
        </row>
        <row r="572">
          <cell r="L572"/>
        </row>
        <row r="573">
          <cell r="L573"/>
        </row>
        <row r="574">
          <cell r="L574"/>
        </row>
        <row r="575">
          <cell r="L575"/>
        </row>
        <row r="576">
          <cell r="L576"/>
        </row>
        <row r="577">
          <cell r="L577"/>
        </row>
        <row r="578">
          <cell r="L578"/>
        </row>
        <row r="579">
          <cell r="L579"/>
        </row>
        <row r="580">
          <cell r="L580"/>
        </row>
        <row r="581">
          <cell r="L581"/>
        </row>
        <row r="582">
          <cell r="L582"/>
        </row>
        <row r="583">
          <cell r="L583"/>
        </row>
        <row r="584">
          <cell r="L584"/>
        </row>
        <row r="585">
          <cell r="L585"/>
        </row>
        <row r="586">
          <cell r="L586"/>
        </row>
        <row r="587">
          <cell r="L587"/>
        </row>
        <row r="588">
          <cell r="L588"/>
        </row>
        <row r="589">
          <cell r="L589"/>
        </row>
        <row r="590">
          <cell r="L590"/>
        </row>
        <row r="591">
          <cell r="L591"/>
        </row>
        <row r="592">
          <cell r="L592"/>
        </row>
        <row r="593">
          <cell r="L593"/>
        </row>
        <row r="594">
          <cell r="L594"/>
        </row>
        <row r="595">
          <cell r="L595"/>
        </row>
        <row r="596">
          <cell r="L596"/>
        </row>
        <row r="597">
          <cell r="L597"/>
        </row>
        <row r="598">
          <cell r="L598"/>
        </row>
        <row r="599">
          <cell r="L599"/>
        </row>
        <row r="600">
          <cell r="L600"/>
        </row>
        <row r="601">
          <cell r="L601"/>
        </row>
        <row r="602">
          <cell r="L602"/>
        </row>
        <row r="603">
          <cell r="L603"/>
        </row>
        <row r="604">
          <cell r="L604"/>
        </row>
        <row r="605">
          <cell r="L605"/>
        </row>
        <row r="606">
          <cell r="L606"/>
        </row>
        <row r="607">
          <cell r="L607"/>
        </row>
        <row r="608">
          <cell r="L608"/>
        </row>
        <row r="609">
          <cell r="L609"/>
        </row>
        <row r="610">
          <cell r="L610"/>
        </row>
        <row r="611">
          <cell r="L611"/>
        </row>
        <row r="612">
          <cell r="L612"/>
        </row>
        <row r="613">
          <cell r="L613"/>
        </row>
        <row r="614">
          <cell r="L614"/>
        </row>
        <row r="615">
          <cell r="L615"/>
        </row>
        <row r="616">
          <cell r="L616"/>
        </row>
        <row r="617">
          <cell r="L617"/>
        </row>
        <row r="618">
          <cell r="L618"/>
        </row>
        <row r="619">
          <cell r="L619"/>
        </row>
        <row r="620">
          <cell r="L620"/>
        </row>
        <row r="621">
          <cell r="L621"/>
        </row>
        <row r="622">
          <cell r="L622"/>
        </row>
        <row r="623">
          <cell r="L623"/>
        </row>
        <row r="624">
          <cell r="L624"/>
        </row>
        <row r="625">
          <cell r="L625"/>
        </row>
        <row r="626">
          <cell r="L626"/>
        </row>
        <row r="627">
          <cell r="L627"/>
        </row>
        <row r="628">
          <cell r="L628"/>
        </row>
        <row r="629">
          <cell r="L629"/>
        </row>
        <row r="630">
          <cell r="L630"/>
        </row>
        <row r="631">
          <cell r="L631"/>
        </row>
        <row r="632">
          <cell r="L632"/>
        </row>
        <row r="633">
          <cell r="L633"/>
        </row>
        <row r="634">
          <cell r="L634"/>
        </row>
        <row r="635">
          <cell r="L635"/>
        </row>
        <row r="636">
          <cell r="L636"/>
        </row>
        <row r="637">
          <cell r="L637"/>
        </row>
        <row r="638">
          <cell r="L638"/>
        </row>
        <row r="639">
          <cell r="L639"/>
        </row>
        <row r="640">
          <cell r="L640"/>
        </row>
        <row r="641">
          <cell r="L641"/>
        </row>
        <row r="642">
          <cell r="L642"/>
        </row>
        <row r="643">
          <cell r="L643"/>
        </row>
        <row r="644">
          <cell r="L644"/>
        </row>
        <row r="645">
          <cell r="L645"/>
        </row>
        <row r="646">
          <cell r="L646"/>
        </row>
        <row r="647">
          <cell r="L647"/>
        </row>
        <row r="648">
          <cell r="L648"/>
        </row>
        <row r="649">
          <cell r="L649"/>
        </row>
        <row r="650">
          <cell r="L650"/>
        </row>
        <row r="651">
          <cell r="L651"/>
        </row>
        <row r="652">
          <cell r="L652"/>
        </row>
        <row r="653">
          <cell r="L653"/>
        </row>
        <row r="654">
          <cell r="L654"/>
        </row>
        <row r="655">
          <cell r="L655"/>
        </row>
        <row r="656">
          <cell r="L656"/>
        </row>
        <row r="657">
          <cell r="L657"/>
        </row>
        <row r="658">
          <cell r="L658"/>
        </row>
        <row r="659">
          <cell r="L659"/>
        </row>
        <row r="660">
          <cell r="L660"/>
        </row>
        <row r="661">
          <cell r="L661"/>
        </row>
        <row r="662">
          <cell r="L662"/>
        </row>
        <row r="663">
          <cell r="L663"/>
        </row>
        <row r="664">
          <cell r="L664"/>
        </row>
        <row r="665">
          <cell r="L665"/>
        </row>
        <row r="666">
          <cell r="L666"/>
        </row>
        <row r="667">
          <cell r="L667"/>
        </row>
        <row r="668">
          <cell r="L668"/>
        </row>
        <row r="669">
          <cell r="L669"/>
        </row>
        <row r="670">
          <cell r="L670"/>
        </row>
        <row r="671">
          <cell r="L671"/>
        </row>
        <row r="672">
          <cell r="L672"/>
        </row>
        <row r="673">
          <cell r="L673"/>
        </row>
        <row r="674">
          <cell r="L674"/>
        </row>
        <row r="675">
          <cell r="L675"/>
        </row>
        <row r="676">
          <cell r="L676"/>
        </row>
        <row r="677">
          <cell r="L677"/>
        </row>
        <row r="678">
          <cell r="L678"/>
        </row>
        <row r="679">
          <cell r="L679"/>
        </row>
        <row r="680">
          <cell r="L680"/>
        </row>
        <row r="681">
          <cell r="L681"/>
        </row>
        <row r="682">
          <cell r="L682"/>
        </row>
        <row r="683">
          <cell r="L683"/>
        </row>
        <row r="684">
          <cell r="L684"/>
        </row>
        <row r="685">
          <cell r="L685"/>
        </row>
        <row r="686">
          <cell r="L686"/>
        </row>
        <row r="687">
          <cell r="L687"/>
        </row>
        <row r="688">
          <cell r="L688"/>
        </row>
        <row r="689">
          <cell r="L689"/>
        </row>
        <row r="690">
          <cell r="L690"/>
        </row>
        <row r="691">
          <cell r="L691"/>
        </row>
        <row r="692">
          <cell r="L692"/>
        </row>
        <row r="693">
          <cell r="L693"/>
        </row>
        <row r="694">
          <cell r="L694"/>
        </row>
        <row r="695">
          <cell r="L695"/>
        </row>
        <row r="696">
          <cell r="L696"/>
        </row>
        <row r="697">
          <cell r="L697"/>
        </row>
        <row r="698">
          <cell r="L698"/>
        </row>
        <row r="699">
          <cell r="L699"/>
        </row>
        <row r="700">
          <cell r="L700"/>
        </row>
        <row r="701">
          <cell r="L701"/>
        </row>
        <row r="702">
          <cell r="L702"/>
        </row>
        <row r="703">
          <cell r="L703"/>
        </row>
        <row r="704">
          <cell r="L704"/>
        </row>
        <row r="705">
          <cell r="L705"/>
        </row>
        <row r="706">
          <cell r="L706"/>
        </row>
        <row r="707">
          <cell r="L707"/>
        </row>
        <row r="708">
          <cell r="L708"/>
        </row>
        <row r="709">
          <cell r="L709"/>
        </row>
        <row r="710">
          <cell r="L710"/>
        </row>
        <row r="711">
          <cell r="L711"/>
        </row>
        <row r="712">
          <cell r="L712"/>
        </row>
        <row r="713">
          <cell r="L713"/>
        </row>
        <row r="714">
          <cell r="L714"/>
        </row>
        <row r="715">
          <cell r="L715"/>
        </row>
        <row r="716">
          <cell r="L716"/>
        </row>
        <row r="717">
          <cell r="L717"/>
        </row>
        <row r="718">
          <cell r="L718"/>
        </row>
        <row r="719">
          <cell r="L719"/>
        </row>
        <row r="720">
          <cell r="L720"/>
        </row>
        <row r="721">
          <cell r="L721"/>
        </row>
        <row r="722">
          <cell r="L722"/>
        </row>
        <row r="723">
          <cell r="L723"/>
        </row>
        <row r="724">
          <cell r="L724"/>
        </row>
        <row r="725">
          <cell r="L725"/>
        </row>
        <row r="726">
          <cell r="L726"/>
        </row>
        <row r="727">
          <cell r="L727"/>
        </row>
        <row r="728">
          <cell r="L728"/>
        </row>
        <row r="729">
          <cell r="L729"/>
        </row>
        <row r="730">
          <cell r="L730"/>
        </row>
        <row r="731">
          <cell r="L731"/>
        </row>
        <row r="732">
          <cell r="L732"/>
        </row>
        <row r="733">
          <cell r="L733"/>
        </row>
        <row r="734">
          <cell r="L734"/>
        </row>
        <row r="735">
          <cell r="L735"/>
        </row>
        <row r="736">
          <cell r="L736"/>
        </row>
        <row r="737">
          <cell r="L737"/>
        </row>
        <row r="738">
          <cell r="L738"/>
        </row>
        <row r="739">
          <cell r="L739"/>
        </row>
        <row r="740">
          <cell r="L740"/>
        </row>
        <row r="741">
          <cell r="L741"/>
        </row>
        <row r="742">
          <cell r="L742"/>
        </row>
        <row r="743">
          <cell r="L743"/>
        </row>
        <row r="744">
          <cell r="L744"/>
        </row>
        <row r="745">
          <cell r="L745"/>
        </row>
        <row r="746">
          <cell r="L746"/>
        </row>
        <row r="747">
          <cell r="L747"/>
        </row>
        <row r="748">
          <cell r="L748"/>
        </row>
        <row r="749">
          <cell r="L749"/>
        </row>
        <row r="750">
          <cell r="L750"/>
        </row>
        <row r="751">
          <cell r="L751"/>
        </row>
        <row r="752">
          <cell r="L752"/>
        </row>
        <row r="753">
          <cell r="L753"/>
        </row>
        <row r="754">
          <cell r="L754"/>
        </row>
        <row r="755">
          <cell r="L755"/>
        </row>
        <row r="756">
          <cell r="L756"/>
        </row>
        <row r="757">
          <cell r="L757"/>
        </row>
        <row r="758">
          <cell r="L758"/>
        </row>
        <row r="759">
          <cell r="L759"/>
        </row>
        <row r="760">
          <cell r="L760"/>
        </row>
        <row r="761">
          <cell r="L761"/>
        </row>
        <row r="762">
          <cell r="L762"/>
        </row>
        <row r="763">
          <cell r="L763"/>
        </row>
        <row r="764">
          <cell r="L764"/>
        </row>
        <row r="765">
          <cell r="L765"/>
        </row>
        <row r="766">
          <cell r="L766"/>
        </row>
        <row r="767">
          <cell r="L767"/>
        </row>
        <row r="768">
          <cell r="L768"/>
        </row>
        <row r="769">
          <cell r="L769"/>
        </row>
        <row r="770">
          <cell r="L770"/>
        </row>
        <row r="771">
          <cell r="L771"/>
        </row>
        <row r="772">
          <cell r="L772"/>
        </row>
        <row r="773">
          <cell r="L773"/>
        </row>
        <row r="774">
          <cell r="L774"/>
        </row>
        <row r="775">
          <cell r="L775"/>
        </row>
        <row r="776">
          <cell r="L776"/>
        </row>
        <row r="777">
          <cell r="L777"/>
        </row>
        <row r="778">
          <cell r="L778"/>
        </row>
        <row r="779">
          <cell r="L779"/>
        </row>
        <row r="780">
          <cell r="L780"/>
        </row>
        <row r="781">
          <cell r="L781"/>
        </row>
        <row r="782">
          <cell r="L782"/>
        </row>
        <row r="783">
          <cell r="L783"/>
        </row>
        <row r="784">
          <cell r="L784"/>
        </row>
        <row r="785">
          <cell r="L785"/>
        </row>
        <row r="786">
          <cell r="L786"/>
        </row>
        <row r="787">
          <cell r="L787"/>
        </row>
        <row r="788">
          <cell r="L788"/>
        </row>
        <row r="789">
          <cell r="L789"/>
        </row>
        <row r="790">
          <cell r="L790"/>
        </row>
        <row r="791">
          <cell r="L791"/>
        </row>
        <row r="792">
          <cell r="L792"/>
        </row>
        <row r="793">
          <cell r="L793"/>
        </row>
        <row r="794">
          <cell r="L794"/>
        </row>
        <row r="795">
          <cell r="L795"/>
        </row>
        <row r="796">
          <cell r="L796"/>
        </row>
        <row r="797">
          <cell r="L797"/>
        </row>
        <row r="798">
          <cell r="L798"/>
        </row>
        <row r="799">
          <cell r="L799"/>
        </row>
        <row r="800">
          <cell r="L800"/>
        </row>
        <row r="801">
          <cell r="L801"/>
        </row>
        <row r="802">
          <cell r="L802"/>
        </row>
        <row r="803">
          <cell r="L803"/>
        </row>
        <row r="804">
          <cell r="L804"/>
        </row>
        <row r="805">
          <cell r="L805"/>
        </row>
        <row r="806">
          <cell r="L806"/>
        </row>
        <row r="807">
          <cell r="L807"/>
        </row>
        <row r="808">
          <cell r="L808"/>
        </row>
        <row r="809">
          <cell r="L809"/>
        </row>
        <row r="810">
          <cell r="L810"/>
        </row>
        <row r="811">
          <cell r="L811"/>
        </row>
        <row r="812">
          <cell r="L812"/>
        </row>
        <row r="813">
          <cell r="L813"/>
        </row>
        <row r="814">
          <cell r="L814"/>
        </row>
        <row r="815">
          <cell r="L815"/>
        </row>
        <row r="816">
          <cell r="L816"/>
        </row>
        <row r="817">
          <cell r="L817"/>
        </row>
        <row r="818">
          <cell r="L818"/>
        </row>
        <row r="819">
          <cell r="L819"/>
        </row>
        <row r="820">
          <cell r="L820"/>
        </row>
        <row r="821">
          <cell r="L821"/>
        </row>
        <row r="822">
          <cell r="L822"/>
        </row>
        <row r="823">
          <cell r="L823"/>
        </row>
        <row r="824">
          <cell r="L824"/>
        </row>
        <row r="825">
          <cell r="L825"/>
        </row>
        <row r="826">
          <cell r="L826"/>
        </row>
        <row r="827">
          <cell r="L827"/>
        </row>
        <row r="828">
          <cell r="L828"/>
        </row>
        <row r="829">
          <cell r="L829"/>
        </row>
        <row r="830">
          <cell r="L830"/>
        </row>
        <row r="831">
          <cell r="L831"/>
        </row>
        <row r="832">
          <cell r="L832"/>
        </row>
        <row r="833">
          <cell r="L833"/>
        </row>
        <row r="834">
          <cell r="L834"/>
        </row>
        <row r="835">
          <cell r="L835"/>
        </row>
        <row r="836">
          <cell r="L836"/>
        </row>
        <row r="837">
          <cell r="L837"/>
        </row>
        <row r="838">
          <cell r="L838"/>
        </row>
        <row r="839">
          <cell r="L839"/>
        </row>
        <row r="840">
          <cell r="L840"/>
        </row>
        <row r="841">
          <cell r="L841"/>
        </row>
        <row r="842">
          <cell r="L842"/>
        </row>
        <row r="843">
          <cell r="L843"/>
        </row>
        <row r="844">
          <cell r="L844"/>
        </row>
        <row r="845">
          <cell r="L845"/>
        </row>
        <row r="846">
          <cell r="L846"/>
        </row>
        <row r="847">
          <cell r="L847"/>
        </row>
        <row r="848">
          <cell r="L848"/>
        </row>
        <row r="849">
          <cell r="L849"/>
        </row>
        <row r="850">
          <cell r="L850"/>
        </row>
        <row r="851">
          <cell r="L851"/>
        </row>
        <row r="852">
          <cell r="L852"/>
        </row>
        <row r="853">
          <cell r="L853"/>
        </row>
        <row r="854">
          <cell r="L854"/>
        </row>
        <row r="855">
          <cell r="L855"/>
        </row>
        <row r="856">
          <cell r="L856"/>
        </row>
        <row r="857">
          <cell r="L857"/>
        </row>
        <row r="858">
          <cell r="L858"/>
        </row>
        <row r="859">
          <cell r="L859"/>
        </row>
        <row r="860">
          <cell r="L860"/>
        </row>
        <row r="861">
          <cell r="L861"/>
        </row>
        <row r="862">
          <cell r="L862"/>
        </row>
        <row r="863">
          <cell r="L863"/>
        </row>
        <row r="864">
          <cell r="L864"/>
        </row>
        <row r="865">
          <cell r="L865"/>
        </row>
        <row r="866">
          <cell r="L866"/>
        </row>
        <row r="867">
          <cell r="L867"/>
        </row>
        <row r="868">
          <cell r="L868"/>
        </row>
        <row r="869">
          <cell r="L869"/>
        </row>
        <row r="870">
          <cell r="L870"/>
        </row>
        <row r="871">
          <cell r="L871"/>
        </row>
        <row r="872">
          <cell r="L872"/>
        </row>
        <row r="873">
          <cell r="L873"/>
        </row>
        <row r="874">
          <cell r="L874"/>
        </row>
        <row r="875">
          <cell r="L875"/>
        </row>
        <row r="876">
          <cell r="L876"/>
        </row>
        <row r="877">
          <cell r="L877"/>
        </row>
        <row r="878">
          <cell r="L878"/>
        </row>
        <row r="879">
          <cell r="L879"/>
        </row>
        <row r="880">
          <cell r="L880"/>
        </row>
        <row r="881">
          <cell r="L881"/>
        </row>
        <row r="882">
          <cell r="L882"/>
        </row>
        <row r="883">
          <cell r="L883"/>
        </row>
        <row r="884">
          <cell r="L884"/>
        </row>
        <row r="885">
          <cell r="L885"/>
        </row>
        <row r="886">
          <cell r="L886"/>
        </row>
        <row r="887">
          <cell r="L887"/>
        </row>
        <row r="888">
          <cell r="L888"/>
        </row>
        <row r="889">
          <cell r="L889"/>
        </row>
        <row r="890">
          <cell r="L890"/>
        </row>
        <row r="891">
          <cell r="L891"/>
        </row>
        <row r="892">
          <cell r="L892"/>
        </row>
        <row r="893">
          <cell r="L893"/>
        </row>
        <row r="894">
          <cell r="L894"/>
        </row>
        <row r="895">
          <cell r="L895"/>
        </row>
        <row r="896">
          <cell r="L896"/>
        </row>
        <row r="897">
          <cell r="L897"/>
        </row>
        <row r="898">
          <cell r="L898"/>
        </row>
        <row r="899">
          <cell r="L899"/>
        </row>
        <row r="900">
          <cell r="L900"/>
        </row>
        <row r="901">
          <cell r="L901"/>
        </row>
        <row r="902">
          <cell r="L902"/>
        </row>
        <row r="903">
          <cell r="L903"/>
        </row>
        <row r="904">
          <cell r="L904"/>
        </row>
        <row r="905">
          <cell r="L905"/>
        </row>
        <row r="906">
          <cell r="L906"/>
        </row>
        <row r="907">
          <cell r="L907"/>
        </row>
        <row r="908">
          <cell r="L908"/>
        </row>
        <row r="909">
          <cell r="L909"/>
        </row>
        <row r="910">
          <cell r="L910"/>
        </row>
        <row r="911">
          <cell r="L911"/>
        </row>
        <row r="912">
          <cell r="L912"/>
        </row>
        <row r="913">
          <cell r="L913"/>
        </row>
        <row r="914">
          <cell r="L914"/>
        </row>
        <row r="915">
          <cell r="L915"/>
        </row>
        <row r="916">
          <cell r="L916"/>
        </row>
        <row r="917">
          <cell r="L917"/>
        </row>
        <row r="918">
          <cell r="L918"/>
        </row>
        <row r="919">
          <cell r="L919"/>
        </row>
        <row r="920">
          <cell r="L920"/>
        </row>
        <row r="921">
          <cell r="L921"/>
        </row>
        <row r="922">
          <cell r="L922"/>
        </row>
        <row r="923">
          <cell r="L923"/>
        </row>
        <row r="924">
          <cell r="L924"/>
        </row>
        <row r="925">
          <cell r="L925"/>
        </row>
        <row r="926">
          <cell r="L926"/>
        </row>
        <row r="927">
          <cell r="L927"/>
        </row>
        <row r="928">
          <cell r="L928"/>
        </row>
        <row r="929">
          <cell r="L929"/>
        </row>
        <row r="930">
          <cell r="L930"/>
        </row>
        <row r="931">
          <cell r="L931"/>
        </row>
        <row r="932">
          <cell r="L932"/>
        </row>
        <row r="933">
          <cell r="L933"/>
        </row>
        <row r="934">
          <cell r="L934"/>
        </row>
        <row r="935">
          <cell r="L935"/>
        </row>
        <row r="936">
          <cell r="L936"/>
        </row>
        <row r="937">
          <cell r="L937"/>
        </row>
        <row r="938">
          <cell r="L938"/>
        </row>
        <row r="939">
          <cell r="L939"/>
        </row>
        <row r="940">
          <cell r="L940"/>
        </row>
        <row r="941">
          <cell r="L941"/>
        </row>
        <row r="942">
          <cell r="L942"/>
        </row>
        <row r="943">
          <cell r="L943"/>
        </row>
        <row r="944">
          <cell r="L944"/>
        </row>
        <row r="945">
          <cell r="L945"/>
        </row>
        <row r="946">
          <cell r="L946"/>
        </row>
        <row r="947">
          <cell r="L947"/>
        </row>
        <row r="948">
          <cell r="L948"/>
        </row>
        <row r="949">
          <cell r="L949"/>
        </row>
        <row r="950">
          <cell r="L950"/>
        </row>
        <row r="951">
          <cell r="L951"/>
        </row>
        <row r="952">
          <cell r="L952"/>
        </row>
        <row r="953">
          <cell r="L953"/>
        </row>
        <row r="954">
          <cell r="L954"/>
        </row>
        <row r="955">
          <cell r="L955"/>
        </row>
        <row r="956">
          <cell r="L956"/>
        </row>
        <row r="957">
          <cell r="L957"/>
        </row>
        <row r="958">
          <cell r="L958"/>
        </row>
        <row r="959">
          <cell r="L959"/>
        </row>
        <row r="960">
          <cell r="L960"/>
        </row>
        <row r="961">
          <cell r="L961"/>
        </row>
        <row r="962">
          <cell r="L962"/>
        </row>
        <row r="963">
          <cell r="L963"/>
        </row>
        <row r="964">
          <cell r="L964"/>
        </row>
        <row r="965">
          <cell r="L965"/>
        </row>
        <row r="966">
          <cell r="L966"/>
        </row>
        <row r="967">
          <cell r="L967"/>
        </row>
        <row r="968">
          <cell r="L968"/>
        </row>
        <row r="969">
          <cell r="L969"/>
        </row>
        <row r="970">
          <cell r="L970"/>
        </row>
        <row r="971">
          <cell r="L971"/>
        </row>
        <row r="972">
          <cell r="L972"/>
        </row>
        <row r="973">
          <cell r="L973"/>
        </row>
        <row r="974">
          <cell r="L974"/>
        </row>
        <row r="975">
          <cell r="L975"/>
        </row>
        <row r="976">
          <cell r="L976"/>
        </row>
        <row r="977">
          <cell r="L977"/>
        </row>
        <row r="978">
          <cell r="L978"/>
        </row>
        <row r="979">
          <cell r="L979"/>
        </row>
        <row r="980">
          <cell r="L980"/>
        </row>
        <row r="981">
          <cell r="L981"/>
        </row>
        <row r="982">
          <cell r="L982"/>
        </row>
        <row r="983">
          <cell r="L983"/>
        </row>
        <row r="984">
          <cell r="L984"/>
        </row>
        <row r="985">
          <cell r="L985"/>
        </row>
        <row r="986">
          <cell r="L986"/>
        </row>
        <row r="987">
          <cell r="L987"/>
        </row>
        <row r="988">
          <cell r="L988"/>
        </row>
        <row r="989">
          <cell r="L989"/>
        </row>
        <row r="990">
          <cell r="L990"/>
        </row>
        <row r="991">
          <cell r="L991"/>
        </row>
        <row r="992">
          <cell r="L992"/>
        </row>
        <row r="993">
          <cell r="L993"/>
        </row>
        <row r="994">
          <cell r="L994"/>
        </row>
        <row r="995">
          <cell r="L995"/>
        </row>
        <row r="996">
          <cell r="L996"/>
        </row>
        <row r="997">
          <cell r="L997"/>
        </row>
        <row r="998">
          <cell r="L998"/>
        </row>
        <row r="999">
          <cell r="L999"/>
        </row>
        <row r="1000">
          <cell r="L1000"/>
        </row>
        <row r="1001">
          <cell r="L1001"/>
        </row>
        <row r="1002">
          <cell r="L1002"/>
        </row>
        <row r="1003">
          <cell r="L1003"/>
        </row>
        <row r="1004">
          <cell r="L1004"/>
        </row>
        <row r="1005">
          <cell r="L1005"/>
        </row>
        <row r="1006">
          <cell r="L1006"/>
        </row>
        <row r="1007">
          <cell r="L1007"/>
        </row>
        <row r="1008">
          <cell r="L1008"/>
        </row>
        <row r="1009">
          <cell r="L1009"/>
        </row>
        <row r="1010">
          <cell r="L1010"/>
        </row>
        <row r="1011">
          <cell r="L1011"/>
        </row>
        <row r="1012">
          <cell r="L1012"/>
        </row>
        <row r="1013">
          <cell r="L1013"/>
        </row>
        <row r="1014">
          <cell r="L1014"/>
        </row>
        <row r="1015">
          <cell r="L1015"/>
        </row>
        <row r="1016">
          <cell r="L1016"/>
        </row>
        <row r="1017">
          <cell r="L1017"/>
        </row>
        <row r="1018">
          <cell r="L1018"/>
        </row>
        <row r="1019">
          <cell r="L1019"/>
        </row>
        <row r="1020">
          <cell r="L1020"/>
        </row>
        <row r="1021">
          <cell r="L1021"/>
        </row>
        <row r="1022">
          <cell r="L1022"/>
        </row>
        <row r="1023">
          <cell r="L1023"/>
        </row>
        <row r="1024">
          <cell r="L1024"/>
        </row>
        <row r="1025">
          <cell r="L1025"/>
        </row>
        <row r="1026">
          <cell r="L1026"/>
        </row>
        <row r="1027">
          <cell r="L1027"/>
        </row>
        <row r="1028">
          <cell r="L1028"/>
        </row>
        <row r="1029">
          <cell r="L1029"/>
        </row>
        <row r="1030">
          <cell r="L1030"/>
        </row>
        <row r="1031">
          <cell r="L1031"/>
        </row>
        <row r="1032">
          <cell r="L1032"/>
        </row>
        <row r="1033">
          <cell r="L1033"/>
        </row>
        <row r="1034">
          <cell r="L1034"/>
        </row>
        <row r="1035">
          <cell r="L1035"/>
        </row>
        <row r="1036">
          <cell r="L1036"/>
        </row>
        <row r="1037">
          <cell r="L1037"/>
        </row>
        <row r="1038">
          <cell r="L1038"/>
        </row>
        <row r="1039">
          <cell r="L1039"/>
        </row>
        <row r="1040">
          <cell r="L1040"/>
        </row>
        <row r="1041">
          <cell r="L1041"/>
        </row>
        <row r="1042">
          <cell r="L1042"/>
        </row>
        <row r="1043">
          <cell r="L1043"/>
        </row>
        <row r="1044">
          <cell r="L1044"/>
        </row>
        <row r="1045">
          <cell r="L1045"/>
        </row>
        <row r="1046">
          <cell r="L1046"/>
        </row>
        <row r="1047">
          <cell r="L1047"/>
        </row>
        <row r="1048">
          <cell r="L1048"/>
        </row>
        <row r="1049">
          <cell r="L1049"/>
        </row>
        <row r="1050">
          <cell r="L1050"/>
        </row>
        <row r="1051">
          <cell r="L1051"/>
        </row>
        <row r="1052">
          <cell r="L1052"/>
        </row>
        <row r="1053">
          <cell r="L1053"/>
        </row>
        <row r="1054">
          <cell r="L1054"/>
        </row>
        <row r="1055">
          <cell r="L1055"/>
        </row>
        <row r="1056">
          <cell r="L1056"/>
        </row>
        <row r="1057">
          <cell r="L1057"/>
        </row>
        <row r="1058">
          <cell r="L1058"/>
        </row>
        <row r="1059">
          <cell r="L1059"/>
        </row>
        <row r="1060">
          <cell r="L1060"/>
        </row>
        <row r="1061">
          <cell r="L1061"/>
        </row>
        <row r="1062">
          <cell r="L1062"/>
        </row>
        <row r="1063">
          <cell r="L1063"/>
        </row>
        <row r="1064">
          <cell r="L1064"/>
        </row>
        <row r="1065">
          <cell r="L1065"/>
        </row>
        <row r="1066">
          <cell r="L1066"/>
        </row>
        <row r="1067">
          <cell r="L1067"/>
        </row>
        <row r="1068">
          <cell r="L1068"/>
        </row>
        <row r="1069">
          <cell r="L1069"/>
        </row>
        <row r="1070">
          <cell r="L1070"/>
        </row>
        <row r="1071">
          <cell r="L1071"/>
        </row>
        <row r="1072">
          <cell r="L1072"/>
        </row>
        <row r="1073">
          <cell r="L1073"/>
        </row>
        <row r="1074">
          <cell r="L1074"/>
        </row>
        <row r="1075">
          <cell r="L1075"/>
        </row>
        <row r="1076">
          <cell r="L1076"/>
        </row>
        <row r="1077">
          <cell r="L1077"/>
        </row>
        <row r="1078">
          <cell r="L1078"/>
        </row>
        <row r="1079">
          <cell r="L1079"/>
        </row>
        <row r="1080">
          <cell r="L1080"/>
        </row>
        <row r="1081">
          <cell r="L1081"/>
        </row>
        <row r="1082">
          <cell r="L1082"/>
        </row>
        <row r="1083">
          <cell r="L1083"/>
        </row>
        <row r="1084">
          <cell r="L1084"/>
        </row>
        <row r="1085">
          <cell r="L1085"/>
        </row>
        <row r="1086">
          <cell r="L1086"/>
        </row>
        <row r="1087">
          <cell r="L1087"/>
        </row>
        <row r="1088">
          <cell r="L1088"/>
        </row>
        <row r="1089">
          <cell r="L1089"/>
        </row>
        <row r="1090">
          <cell r="L1090"/>
        </row>
        <row r="1091">
          <cell r="L1091"/>
        </row>
        <row r="1092">
          <cell r="L1092"/>
        </row>
        <row r="1093">
          <cell r="L1093"/>
        </row>
        <row r="1094">
          <cell r="L1094"/>
        </row>
        <row r="1095">
          <cell r="L1095"/>
        </row>
        <row r="1096">
          <cell r="L1096"/>
        </row>
        <row r="1097">
          <cell r="L1097"/>
        </row>
        <row r="1098">
          <cell r="L1098"/>
        </row>
        <row r="1099">
          <cell r="L1099"/>
        </row>
        <row r="1100">
          <cell r="L1100"/>
        </row>
        <row r="1101">
          <cell r="L1101"/>
        </row>
        <row r="1102">
          <cell r="L1102"/>
        </row>
        <row r="1103">
          <cell r="L1103"/>
        </row>
        <row r="1104">
          <cell r="L1104"/>
        </row>
        <row r="1105">
          <cell r="L1105"/>
        </row>
        <row r="1106">
          <cell r="L1106"/>
        </row>
        <row r="1107">
          <cell r="L1107"/>
        </row>
        <row r="1108">
          <cell r="L1108"/>
        </row>
        <row r="1109">
          <cell r="L1109"/>
        </row>
        <row r="1110">
          <cell r="L1110"/>
        </row>
        <row r="1111">
          <cell r="L1111"/>
        </row>
        <row r="1112">
          <cell r="L1112"/>
        </row>
        <row r="1113">
          <cell r="L1113"/>
        </row>
        <row r="1114">
          <cell r="L1114"/>
        </row>
        <row r="1115">
          <cell r="L1115"/>
        </row>
        <row r="1116">
          <cell r="L1116"/>
        </row>
        <row r="1117">
          <cell r="L1117"/>
        </row>
        <row r="1118">
          <cell r="L1118"/>
        </row>
        <row r="1119">
          <cell r="L1119"/>
        </row>
        <row r="1120">
          <cell r="L1120"/>
        </row>
        <row r="1121">
          <cell r="L1121"/>
        </row>
        <row r="1122">
          <cell r="L1122"/>
        </row>
        <row r="1123">
          <cell r="L1123"/>
        </row>
        <row r="1124">
          <cell r="L1124"/>
        </row>
        <row r="1125">
          <cell r="L1125"/>
        </row>
        <row r="1126">
          <cell r="L1126"/>
        </row>
        <row r="1127">
          <cell r="L1127"/>
        </row>
        <row r="1128">
          <cell r="L1128"/>
        </row>
        <row r="1129">
          <cell r="L1129"/>
        </row>
        <row r="1130">
          <cell r="L1130"/>
        </row>
        <row r="1131">
          <cell r="L1131"/>
        </row>
        <row r="1132">
          <cell r="L1132"/>
        </row>
        <row r="1133">
          <cell r="L1133"/>
        </row>
        <row r="1134">
          <cell r="L1134"/>
        </row>
        <row r="1135">
          <cell r="L1135"/>
        </row>
        <row r="1136">
          <cell r="L1136"/>
        </row>
        <row r="1137">
          <cell r="L1137"/>
        </row>
        <row r="1138">
          <cell r="L1138"/>
        </row>
        <row r="1139">
          <cell r="L1139"/>
        </row>
        <row r="1140">
          <cell r="L1140"/>
        </row>
        <row r="1141">
          <cell r="L1141"/>
        </row>
        <row r="1142">
          <cell r="L1142"/>
        </row>
        <row r="1143">
          <cell r="L1143"/>
        </row>
        <row r="1144">
          <cell r="L1144"/>
        </row>
        <row r="1145">
          <cell r="L1145"/>
        </row>
        <row r="1146">
          <cell r="L1146"/>
        </row>
        <row r="1147">
          <cell r="L1147"/>
        </row>
        <row r="1148">
          <cell r="L1148"/>
        </row>
        <row r="1149">
          <cell r="L1149"/>
        </row>
        <row r="1150">
          <cell r="L1150"/>
        </row>
        <row r="1151">
          <cell r="L1151"/>
        </row>
        <row r="1152">
          <cell r="L1152"/>
        </row>
        <row r="1153">
          <cell r="L1153"/>
        </row>
        <row r="1154">
          <cell r="L1154"/>
        </row>
        <row r="1155">
          <cell r="L1155"/>
        </row>
        <row r="1156">
          <cell r="L1156"/>
        </row>
        <row r="1157">
          <cell r="L1157"/>
        </row>
        <row r="1158">
          <cell r="L1158"/>
        </row>
        <row r="1159">
          <cell r="L1159"/>
        </row>
        <row r="1160">
          <cell r="L1160"/>
        </row>
        <row r="1161">
          <cell r="L1161"/>
        </row>
        <row r="1162">
          <cell r="L1162"/>
        </row>
        <row r="1163">
          <cell r="L1163"/>
        </row>
        <row r="1164">
          <cell r="L1164"/>
        </row>
        <row r="1165">
          <cell r="L1165"/>
        </row>
        <row r="1166">
          <cell r="L1166"/>
        </row>
        <row r="1167">
          <cell r="L1167"/>
        </row>
        <row r="1168">
          <cell r="L1168"/>
        </row>
        <row r="1169">
          <cell r="L1169"/>
        </row>
        <row r="1170">
          <cell r="L1170"/>
        </row>
        <row r="1171">
          <cell r="L1171"/>
        </row>
        <row r="1172">
          <cell r="L1172"/>
        </row>
        <row r="1173">
          <cell r="L1173"/>
        </row>
        <row r="1174">
          <cell r="L1174"/>
        </row>
        <row r="1175">
          <cell r="L1175"/>
        </row>
        <row r="1176">
          <cell r="L1176"/>
        </row>
        <row r="1177">
          <cell r="L1177"/>
        </row>
        <row r="1178">
          <cell r="L1178"/>
        </row>
        <row r="1179">
          <cell r="L1179"/>
        </row>
        <row r="1180">
          <cell r="L1180"/>
        </row>
        <row r="1181">
          <cell r="L1181"/>
        </row>
        <row r="1182">
          <cell r="L1182"/>
        </row>
        <row r="1183">
          <cell r="L1183"/>
        </row>
        <row r="1184">
          <cell r="L1184"/>
        </row>
        <row r="1185">
          <cell r="L1185"/>
        </row>
        <row r="1186">
          <cell r="L1186"/>
        </row>
        <row r="1187">
          <cell r="L1187"/>
        </row>
        <row r="1188">
          <cell r="L1188"/>
        </row>
        <row r="1189">
          <cell r="L1189"/>
        </row>
        <row r="1190">
          <cell r="L1190"/>
        </row>
        <row r="1191">
          <cell r="L1191"/>
        </row>
        <row r="1192">
          <cell r="L1192"/>
        </row>
        <row r="1193">
          <cell r="L1193"/>
        </row>
        <row r="1194">
          <cell r="L1194"/>
        </row>
        <row r="1195">
          <cell r="L1195"/>
        </row>
        <row r="1196">
          <cell r="L1196"/>
        </row>
        <row r="1197">
          <cell r="L1197"/>
        </row>
        <row r="1198">
          <cell r="L1198"/>
        </row>
        <row r="1199">
          <cell r="L1199"/>
        </row>
        <row r="1200">
          <cell r="L1200"/>
        </row>
        <row r="1201">
          <cell r="L1201"/>
        </row>
        <row r="1202">
          <cell r="L1202"/>
        </row>
        <row r="1203">
          <cell r="L1203"/>
        </row>
        <row r="1204">
          <cell r="L1204"/>
        </row>
        <row r="1205">
          <cell r="L1205"/>
        </row>
        <row r="1206">
          <cell r="L1206"/>
        </row>
        <row r="1207">
          <cell r="L1207"/>
        </row>
        <row r="1208">
          <cell r="L1208"/>
        </row>
        <row r="1209">
          <cell r="L1209"/>
        </row>
        <row r="1210">
          <cell r="L1210"/>
        </row>
        <row r="1211">
          <cell r="L1211"/>
        </row>
        <row r="1212">
          <cell r="L1212"/>
        </row>
        <row r="1213">
          <cell r="L1213"/>
        </row>
        <row r="1214">
          <cell r="L1214"/>
        </row>
        <row r="1215">
          <cell r="L1215"/>
        </row>
        <row r="1216">
          <cell r="L1216"/>
        </row>
        <row r="1217">
          <cell r="L1217"/>
        </row>
        <row r="1218">
          <cell r="L1218"/>
        </row>
        <row r="1219">
          <cell r="L1219"/>
        </row>
        <row r="1220">
          <cell r="L1220"/>
        </row>
        <row r="1221">
          <cell r="L1221"/>
        </row>
        <row r="1222">
          <cell r="L1222"/>
        </row>
        <row r="1223">
          <cell r="L1223"/>
        </row>
        <row r="1224">
          <cell r="L1224"/>
        </row>
        <row r="1225">
          <cell r="L1225"/>
        </row>
        <row r="1226">
          <cell r="L1226"/>
        </row>
        <row r="1227">
          <cell r="L1227"/>
        </row>
        <row r="1228">
          <cell r="L1228"/>
        </row>
        <row r="1229">
          <cell r="L1229"/>
        </row>
        <row r="1230">
          <cell r="L1230"/>
        </row>
        <row r="1231">
          <cell r="L1231"/>
        </row>
        <row r="1232">
          <cell r="L1232"/>
        </row>
        <row r="1233">
          <cell r="L1233"/>
        </row>
        <row r="1234">
          <cell r="L1234"/>
        </row>
        <row r="1235">
          <cell r="L1235"/>
        </row>
        <row r="1236">
          <cell r="L1236"/>
        </row>
        <row r="1237">
          <cell r="L1237"/>
        </row>
        <row r="1238">
          <cell r="L1238"/>
        </row>
        <row r="1239">
          <cell r="L1239"/>
        </row>
        <row r="1240">
          <cell r="L1240"/>
        </row>
        <row r="1241">
          <cell r="L1241"/>
        </row>
        <row r="1242">
          <cell r="L1242"/>
        </row>
        <row r="1243">
          <cell r="L1243"/>
        </row>
        <row r="1244">
          <cell r="L1244"/>
        </row>
        <row r="1245">
          <cell r="L1245"/>
        </row>
        <row r="1246">
          <cell r="L1246"/>
        </row>
        <row r="1247">
          <cell r="L1247"/>
        </row>
        <row r="1248">
          <cell r="L1248"/>
        </row>
        <row r="1249">
          <cell r="L1249"/>
        </row>
        <row r="1250">
          <cell r="L1250"/>
        </row>
        <row r="1251">
          <cell r="L1251"/>
        </row>
        <row r="1252">
          <cell r="L1252"/>
        </row>
        <row r="1253">
          <cell r="L1253"/>
        </row>
        <row r="1254">
          <cell r="L1254"/>
        </row>
        <row r="1255">
          <cell r="L1255"/>
        </row>
        <row r="1256">
          <cell r="L1256"/>
        </row>
        <row r="1257">
          <cell r="L1257"/>
        </row>
        <row r="1258">
          <cell r="L1258"/>
        </row>
        <row r="1259">
          <cell r="L1259"/>
        </row>
        <row r="1260">
          <cell r="L1260"/>
        </row>
        <row r="1261">
          <cell r="L1261"/>
        </row>
        <row r="1262">
          <cell r="L1262"/>
        </row>
        <row r="1263">
          <cell r="L1263"/>
        </row>
        <row r="1264">
          <cell r="L1264"/>
        </row>
        <row r="1265">
          <cell r="L1265"/>
        </row>
        <row r="1266">
          <cell r="L1266"/>
        </row>
        <row r="1267">
          <cell r="L1267"/>
        </row>
        <row r="1268">
          <cell r="L1268"/>
        </row>
        <row r="1269">
          <cell r="L1269"/>
        </row>
        <row r="1270">
          <cell r="L1270"/>
        </row>
        <row r="1271">
          <cell r="L1271"/>
        </row>
        <row r="1272">
          <cell r="L1272"/>
        </row>
        <row r="1273">
          <cell r="L1273"/>
        </row>
        <row r="1274">
          <cell r="L1274"/>
        </row>
        <row r="1275">
          <cell r="L1275"/>
        </row>
        <row r="1276">
          <cell r="L1276"/>
        </row>
        <row r="1277">
          <cell r="L1277"/>
        </row>
        <row r="1278">
          <cell r="L1278"/>
        </row>
        <row r="1279">
          <cell r="L1279"/>
        </row>
        <row r="1280">
          <cell r="L1280"/>
        </row>
        <row r="1281">
          <cell r="L1281"/>
        </row>
        <row r="1282">
          <cell r="L1282"/>
        </row>
        <row r="1283">
          <cell r="L1283"/>
        </row>
        <row r="1284">
          <cell r="L1284"/>
        </row>
        <row r="1285">
          <cell r="L1285"/>
        </row>
        <row r="1286">
          <cell r="L1286"/>
        </row>
        <row r="1287">
          <cell r="L1287"/>
        </row>
        <row r="1288">
          <cell r="L1288"/>
        </row>
        <row r="1289">
          <cell r="L1289"/>
        </row>
        <row r="1290">
          <cell r="L1290"/>
        </row>
        <row r="1291">
          <cell r="L1291"/>
        </row>
        <row r="1292">
          <cell r="L1292"/>
        </row>
        <row r="1293">
          <cell r="L1293"/>
        </row>
        <row r="1294">
          <cell r="L1294"/>
        </row>
        <row r="1295">
          <cell r="L1295"/>
        </row>
        <row r="1296">
          <cell r="L1296"/>
        </row>
        <row r="1297">
          <cell r="L1297"/>
        </row>
        <row r="1298">
          <cell r="L1298"/>
        </row>
        <row r="1299">
          <cell r="L1299"/>
        </row>
        <row r="1300">
          <cell r="L1300"/>
        </row>
        <row r="1301">
          <cell r="L1301"/>
        </row>
        <row r="1302">
          <cell r="L1302"/>
        </row>
        <row r="1303">
          <cell r="L1303"/>
        </row>
        <row r="1304">
          <cell r="L1304"/>
        </row>
        <row r="1305">
          <cell r="L1305"/>
        </row>
        <row r="1306">
          <cell r="L1306"/>
        </row>
        <row r="1307">
          <cell r="L1307"/>
        </row>
        <row r="1308">
          <cell r="L1308"/>
        </row>
        <row r="1309">
          <cell r="L1309"/>
        </row>
        <row r="1310">
          <cell r="L1310"/>
        </row>
        <row r="1311">
          <cell r="L1311"/>
        </row>
        <row r="1312">
          <cell r="L1312"/>
        </row>
        <row r="1313">
          <cell r="L1313"/>
        </row>
        <row r="1314">
          <cell r="L1314"/>
        </row>
        <row r="1315">
          <cell r="L1315"/>
        </row>
        <row r="1316">
          <cell r="L1316"/>
        </row>
        <row r="1317">
          <cell r="L1317"/>
        </row>
        <row r="1318">
          <cell r="L1318"/>
        </row>
        <row r="1319">
          <cell r="L1319"/>
        </row>
        <row r="1320">
          <cell r="L1320"/>
        </row>
        <row r="1321">
          <cell r="L1321"/>
        </row>
        <row r="1322">
          <cell r="L1322"/>
        </row>
        <row r="1323">
          <cell r="L1323"/>
        </row>
        <row r="1324">
          <cell r="L1324"/>
        </row>
        <row r="1325">
          <cell r="L1325"/>
        </row>
        <row r="1326">
          <cell r="L1326"/>
        </row>
        <row r="1327">
          <cell r="L1327"/>
        </row>
        <row r="1328">
          <cell r="L1328"/>
        </row>
        <row r="1329">
          <cell r="L1329"/>
        </row>
        <row r="1330">
          <cell r="L1330"/>
        </row>
        <row r="1331">
          <cell r="L1331"/>
        </row>
        <row r="1332">
          <cell r="L1332"/>
        </row>
        <row r="1333">
          <cell r="L1333"/>
        </row>
        <row r="1334">
          <cell r="L1334"/>
        </row>
        <row r="1335">
          <cell r="L1335"/>
        </row>
        <row r="1336">
          <cell r="L1336"/>
        </row>
        <row r="1337">
          <cell r="L1337"/>
        </row>
        <row r="1338">
          <cell r="L1338"/>
        </row>
        <row r="1339">
          <cell r="L1339"/>
        </row>
        <row r="1340">
          <cell r="L1340"/>
        </row>
        <row r="1341">
          <cell r="L1341"/>
        </row>
        <row r="1342">
          <cell r="L1342"/>
        </row>
        <row r="1343">
          <cell r="L1343"/>
        </row>
        <row r="1344">
          <cell r="L1344"/>
        </row>
        <row r="1345">
          <cell r="L1345"/>
        </row>
        <row r="1346">
          <cell r="L1346"/>
        </row>
        <row r="1347">
          <cell r="L1347"/>
        </row>
        <row r="1348">
          <cell r="L1348"/>
        </row>
        <row r="1349">
          <cell r="L1349"/>
        </row>
        <row r="1350">
          <cell r="L1350"/>
        </row>
        <row r="1351">
          <cell r="L1351"/>
        </row>
        <row r="1352">
          <cell r="L1352"/>
        </row>
        <row r="1353">
          <cell r="L1353"/>
        </row>
        <row r="1354">
          <cell r="L1354"/>
        </row>
        <row r="1355">
          <cell r="L1355"/>
        </row>
        <row r="1356">
          <cell r="L1356"/>
        </row>
        <row r="1357">
          <cell r="L1357"/>
        </row>
        <row r="1358">
          <cell r="L1358"/>
        </row>
        <row r="1359">
          <cell r="L1359"/>
        </row>
        <row r="1360">
          <cell r="L1360"/>
        </row>
        <row r="1361">
          <cell r="L1361"/>
        </row>
        <row r="1362">
          <cell r="L1362"/>
        </row>
        <row r="1363">
          <cell r="L1363"/>
        </row>
        <row r="1364">
          <cell r="L1364"/>
        </row>
        <row r="1365">
          <cell r="L1365"/>
        </row>
        <row r="1366">
          <cell r="L1366"/>
        </row>
        <row r="1367">
          <cell r="L1367"/>
        </row>
        <row r="1368">
          <cell r="L1368"/>
        </row>
        <row r="1369">
          <cell r="L1369"/>
        </row>
        <row r="1370">
          <cell r="L1370"/>
        </row>
        <row r="1371">
          <cell r="L1371"/>
        </row>
        <row r="1372">
          <cell r="L1372"/>
        </row>
        <row r="1373">
          <cell r="L1373"/>
        </row>
        <row r="1374">
          <cell r="L1374"/>
        </row>
        <row r="1375">
          <cell r="L1375"/>
        </row>
        <row r="1376">
          <cell r="L1376"/>
        </row>
        <row r="1377">
          <cell r="L1377"/>
        </row>
        <row r="1378">
          <cell r="L1378"/>
        </row>
        <row r="1379">
          <cell r="L1379"/>
        </row>
        <row r="1380">
          <cell r="L1380"/>
        </row>
        <row r="1381">
          <cell r="L1381"/>
        </row>
        <row r="1382">
          <cell r="L1382"/>
        </row>
        <row r="1383">
          <cell r="L1383"/>
        </row>
        <row r="1384">
          <cell r="L1384"/>
        </row>
        <row r="1385">
          <cell r="L1385"/>
        </row>
        <row r="1386">
          <cell r="L1386"/>
        </row>
        <row r="1387">
          <cell r="L1387"/>
        </row>
        <row r="1388">
          <cell r="L1388"/>
        </row>
        <row r="1389">
          <cell r="L1389"/>
        </row>
        <row r="1390">
          <cell r="L1390"/>
        </row>
        <row r="1391">
          <cell r="L1391"/>
        </row>
        <row r="1392">
          <cell r="L1392"/>
        </row>
        <row r="1393">
          <cell r="L1393"/>
        </row>
        <row r="1394">
          <cell r="L1394"/>
        </row>
        <row r="1395">
          <cell r="L1395"/>
        </row>
        <row r="1396">
          <cell r="L1396"/>
        </row>
        <row r="1397">
          <cell r="L1397"/>
        </row>
        <row r="1398">
          <cell r="L1398"/>
        </row>
        <row r="1399">
          <cell r="L1399"/>
        </row>
        <row r="1400">
          <cell r="L1400"/>
        </row>
        <row r="1401">
          <cell r="L1401"/>
        </row>
        <row r="1402">
          <cell r="L1402"/>
        </row>
        <row r="1403">
          <cell r="L1403"/>
        </row>
        <row r="1404">
          <cell r="L1404"/>
        </row>
        <row r="1405">
          <cell r="L1405"/>
        </row>
        <row r="1406">
          <cell r="L1406"/>
        </row>
        <row r="1407">
          <cell r="L1407"/>
        </row>
        <row r="1408">
          <cell r="L1408"/>
        </row>
        <row r="1409">
          <cell r="L1409"/>
        </row>
        <row r="1410">
          <cell r="L1410"/>
        </row>
        <row r="1411">
          <cell r="L1411"/>
        </row>
        <row r="1412">
          <cell r="L1412"/>
        </row>
        <row r="1413">
          <cell r="L1413"/>
        </row>
        <row r="1414">
          <cell r="L1414"/>
        </row>
        <row r="1415">
          <cell r="L1415"/>
        </row>
        <row r="1416">
          <cell r="L1416"/>
        </row>
        <row r="1417">
          <cell r="L1417"/>
        </row>
        <row r="1418">
          <cell r="L1418"/>
        </row>
        <row r="1419">
          <cell r="L1419"/>
        </row>
        <row r="1420">
          <cell r="L1420"/>
        </row>
        <row r="1421">
          <cell r="L1421"/>
        </row>
        <row r="1422">
          <cell r="L1422"/>
        </row>
        <row r="1423">
          <cell r="L1423"/>
        </row>
        <row r="1424">
          <cell r="L1424"/>
        </row>
        <row r="1425">
          <cell r="L1425"/>
        </row>
        <row r="1426">
          <cell r="L1426"/>
        </row>
        <row r="1427">
          <cell r="L1427"/>
        </row>
        <row r="1428">
          <cell r="L1428"/>
        </row>
        <row r="1429">
          <cell r="L1429"/>
        </row>
        <row r="1430">
          <cell r="L1430"/>
        </row>
        <row r="1431">
          <cell r="L1431"/>
        </row>
        <row r="1432">
          <cell r="L1432"/>
        </row>
        <row r="1433">
          <cell r="L1433"/>
        </row>
        <row r="1434">
          <cell r="L1434"/>
        </row>
        <row r="1435">
          <cell r="L1435"/>
        </row>
        <row r="1436">
          <cell r="L1436"/>
        </row>
        <row r="1437">
          <cell r="L1437"/>
        </row>
        <row r="1438">
          <cell r="L1438"/>
        </row>
        <row r="1439">
          <cell r="L1439"/>
        </row>
        <row r="1440">
          <cell r="L1440"/>
        </row>
        <row r="1441">
          <cell r="L1441"/>
        </row>
        <row r="1442">
          <cell r="L1442"/>
        </row>
        <row r="1443">
          <cell r="L1443"/>
        </row>
        <row r="1444">
          <cell r="L1444"/>
        </row>
        <row r="1445">
          <cell r="L1445"/>
        </row>
        <row r="1446">
          <cell r="L1446"/>
        </row>
        <row r="1447">
          <cell r="L1447"/>
        </row>
        <row r="1448">
          <cell r="L1448"/>
        </row>
        <row r="1449">
          <cell r="L1449"/>
        </row>
        <row r="1450">
          <cell r="L1450"/>
        </row>
        <row r="1451">
          <cell r="L1451"/>
        </row>
        <row r="1452">
          <cell r="L1452"/>
        </row>
        <row r="1453">
          <cell r="L1453"/>
        </row>
        <row r="1454">
          <cell r="L1454"/>
        </row>
        <row r="1455">
          <cell r="L1455"/>
        </row>
        <row r="1456">
          <cell r="L1456"/>
        </row>
        <row r="1457">
          <cell r="L1457"/>
        </row>
        <row r="1458">
          <cell r="L1458"/>
        </row>
        <row r="1459">
          <cell r="L1459"/>
        </row>
        <row r="1460">
          <cell r="L1460"/>
        </row>
        <row r="1461">
          <cell r="L1461"/>
        </row>
        <row r="1462">
          <cell r="L1462"/>
        </row>
        <row r="1463">
          <cell r="L1463"/>
        </row>
        <row r="1464">
          <cell r="L1464"/>
        </row>
        <row r="1465">
          <cell r="L1465"/>
        </row>
        <row r="1466">
          <cell r="L1466"/>
        </row>
        <row r="1467">
          <cell r="L1467"/>
        </row>
        <row r="1468">
          <cell r="L1468"/>
        </row>
        <row r="1469">
          <cell r="L1469"/>
        </row>
        <row r="1470">
          <cell r="L1470"/>
        </row>
        <row r="1471">
          <cell r="L1471"/>
        </row>
        <row r="1472">
          <cell r="L1472"/>
        </row>
        <row r="1473">
          <cell r="L1473"/>
        </row>
        <row r="1474">
          <cell r="L1474"/>
        </row>
        <row r="1475">
          <cell r="L1475"/>
        </row>
        <row r="1476">
          <cell r="L1476"/>
        </row>
        <row r="1477">
          <cell r="L1477"/>
        </row>
        <row r="1478">
          <cell r="L1478"/>
        </row>
        <row r="1479">
          <cell r="L1479"/>
        </row>
        <row r="1480">
          <cell r="L1480"/>
        </row>
        <row r="1481">
          <cell r="L1481"/>
        </row>
        <row r="1482">
          <cell r="L1482"/>
        </row>
        <row r="1483">
          <cell r="L1483"/>
        </row>
        <row r="1484">
          <cell r="L1484"/>
        </row>
        <row r="1485">
          <cell r="L1485"/>
        </row>
        <row r="1486">
          <cell r="L1486"/>
        </row>
        <row r="1487">
          <cell r="L1487"/>
        </row>
        <row r="1488">
          <cell r="L1488"/>
        </row>
        <row r="1489">
          <cell r="L1489"/>
        </row>
        <row r="1490">
          <cell r="L1490"/>
        </row>
        <row r="1491">
          <cell r="L1491"/>
        </row>
        <row r="1492">
          <cell r="L1492"/>
        </row>
        <row r="1493">
          <cell r="L1493"/>
        </row>
        <row r="1494">
          <cell r="L1494"/>
        </row>
        <row r="1495">
          <cell r="L1495"/>
        </row>
        <row r="1496">
          <cell r="L1496"/>
        </row>
        <row r="1497">
          <cell r="L1497"/>
        </row>
        <row r="1498">
          <cell r="L1498"/>
        </row>
        <row r="1499">
          <cell r="L1499"/>
        </row>
        <row r="1500">
          <cell r="L1500"/>
        </row>
        <row r="1501">
          <cell r="L1501"/>
        </row>
        <row r="1502">
          <cell r="L1502"/>
        </row>
        <row r="1503">
          <cell r="L1503"/>
        </row>
        <row r="1504">
          <cell r="L1504"/>
        </row>
        <row r="1505">
          <cell r="L1505"/>
        </row>
        <row r="1506">
          <cell r="L1506"/>
        </row>
        <row r="1507">
          <cell r="L1507"/>
        </row>
        <row r="1508">
          <cell r="L1508"/>
        </row>
        <row r="1509">
          <cell r="L1509"/>
        </row>
        <row r="1510">
          <cell r="L1510"/>
        </row>
        <row r="1511">
          <cell r="L1511"/>
        </row>
        <row r="1512">
          <cell r="L1512"/>
        </row>
        <row r="1513">
          <cell r="L1513"/>
        </row>
        <row r="1514">
          <cell r="L1514"/>
        </row>
        <row r="1515">
          <cell r="L1515"/>
        </row>
        <row r="1516">
          <cell r="L1516"/>
        </row>
        <row r="1517">
          <cell r="L1517"/>
        </row>
        <row r="1518">
          <cell r="L1518"/>
        </row>
        <row r="1519">
          <cell r="L1519"/>
        </row>
        <row r="1520">
          <cell r="L1520"/>
        </row>
        <row r="1521">
          <cell r="L1521"/>
        </row>
        <row r="1522">
          <cell r="L1522"/>
        </row>
        <row r="1523">
          <cell r="L1523"/>
        </row>
        <row r="1524">
          <cell r="L1524"/>
        </row>
        <row r="1525">
          <cell r="L1525"/>
        </row>
        <row r="1526">
          <cell r="L1526"/>
        </row>
        <row r="1527">
          <cell r="L1527"/>
        </row>
        <row r="1528">
          <cell r="L1528"/>
        </row>
        <row r="1529">
          <cell r="L1529"/>
        </row>
        <row r="1530">
          <cell r="L1530"/>
        </row>
        <row r="1531">
          <cell r="L1531"/>
        </row>
        <row r="1532">
          <cell r="L1532"/>
        </row>
        <row r="1533">
          <cell r="L1533"/>
        </row>
        <row r="1534">
          <cell r="L1534"/>
        </row>
        <row r="1535">
          <cell r="L1535"/>
        </row>
        <row r="1536">
          <cell r="L1536"/>
        </row>
        <row r="1537">
          <cell r="L1537"/>
        </row>
        <row r="1538">
          <cell r="L1538"/>
        </row>
        <row r="1539">
          <cell r="L1539"/>
        </row>
        <row r="1540">
          <cell r="L1540"/>
        </row>
        <row r="1541">
          <cell r="L1541"/>
        </row>
        <row r="1542">
          <cell r="L1542"/>
        </row>
        <row r="1543">
          <cell r="L1543"/>
        </row>
        <row r="1544">
          <cell r="L1544"/>
        </row>
        <row r="1545">
          <cell r="L1545"/>
        </row>
        <row r="1546">
          <cell r="L1546"/>
        </row>
        <row r="1547">
          <cell r="L1547"/>
        </row>
        <row r="1548">
          <cell r="L1548"/>
        </row>
        <row r="1549">
          <cell r="L1549"/>
        </row>
        <row r="1550">
          <cell r="L1550"/>
        </row>
        <row r="1551">
          <cell r="L1551"/>
        </row>
        <row r="1552">
          <cell r="L1552"/>
        </row>
        <row r="1553">
          <cell r="L1553"/>
        </row>
        <row r="1554">
          <cell r="L1554"/>
        </row>
        <row r="1555">
          <cell r="L1555"/>
        </row>
        <row r="1556">
          <cell r="L1556"/>
        </row>
        <row r="1557">
          <cell r="L1557"/>
        </row>
        <row r="1558">
          <cell r="L1558"/>
        </row>
        <row r="1559">
          <cell r="L1559"/>
        </row>
        <row r="1560">
          <cell r="L1560"/>
        </row>
        <row r="1561">
          <cell r="L1561"/>
        </row>
        <row r="1562">
          <cell r="L1562"/>
        </row>
        <row r="1563">
          <cell r="L1563"/>
        </row>
        <row r="1564">
          <cell r="L1564"/>
        </row>
        <row r="1565">
          <cell r="L1565"/>
        </row>
        <row r="1566">
          <cell r="L1566"/>
        </row>
        <row r="1567">
          <cell r="L1567"/>
        </row>
        <row r="1568">
          <cell r="L1568"/>
        </row>
        <row r="1569">
          <cell r="L1569"/>
        </row>
        <row r="1570">
          <cell r="L1570"/>
        </row>
        <row r="1571">
          <cell r="L1571"/>
        </row>
        <row r="1572">
          <cell r="L1572"/>
        </row>
        <row r="1573">
          <cell r="L1573"/>
        </row>
        <row r="1574">
          <cell r="L1574"/>
        </row>
        <row r="1575">
          <cell r="L1575"/>
        </row>
        <row r="1576">
          <cell r="L1576"/>
        </row>
        <row r="1577">
          <cell r="L1577"/>
        </row>
        <row r="1578">
          <cell r="L1578"/>
        </row>
        <row r="1579">
          <cell r="L1579"/>
        </row>
        <row r="1580">
          <cell r="L1580"/>
        </row>
        <row r="1581">
          <cell r="L1581"/>
        </row>
        <row r="1582">
          <cell r="L1582"/>
        </row>
        <row r="1583">
          <cell r="L1583"/>
        </row>
        <row r="1584">
          <cell r="L1584"/>
        </row>
        <row r="1585">
          <cell r="L1585"/>
        </row>
        <row r="1586">
          <cell r="L1586"/>
        </row>
        <row r="1587">
          <cell r="L1587"/>
        </row>
        <row r="1588">
          <cell r="L1588"/>
        </row>
        <row r="1589">
          <cell r="L1589"/>
        </row>
        <row r="1590">
          <cell r="L1590"/>
        </row>
        <row r="1591">
          <cell r="L1591"/>
        </row>
        <row r="1592">
          <cell r="L1592"/>
        </row>
        <row r="1593">
          <cell r="L1593"/>
        </row>
        <row r="1594">
          <cell r="L1594"/>
        </row>
        <row r="1595">
          <cell r="L1595"/>
        </row>
        <row r="1596">
          <cell r="L1596"/>
        </row>
        <row r="1597">
          <cell r="L1597"/>
        </row>
        <row r="1598">
          <cell r="L1598"/>
        </row>
        <row r="1599">
          <cell r="L1599"/>
        </row>
        <row r="1600">
          <cell r="L1600"/>
        </row>
        <row r="1601">
          <cell r="L1601"/>
        </row>
        <row r="1602">
          <cell r="L1602"/>
        </row>
        <row r="1603">
          <cell r="L1603"/>
        </row>
        <row r="1604">
          <cell r="L1604"/>
        </row>
        <row r="1605">
          <cell r="L1605"/>
        </row>
        <row r="1606">
          <cell r="L1606"/>
        </row>
        <row r="1607">
          <cell r="L1607"/>
        </row>
        <row r="1608">
          <cell r="L1608"/>
        </row>
        <row r="1609">
          <cell r="L1609"/>
        </row>
        <row r="1610">
          <cell r="L1610"/>
        </row>
        <row r="1611">
          <cell r="L1611"/>
        </row>
        <row r="1612">
          <cell r="L1612"/>
        </row>
        <row r="1613">
          <cell r="L1613"/>
        </row>
        <row r="1614">
          <cell r="L1614"/>
        </row>
        <row r="1615">
          <cell r="L1615"/>
        </row>
        <row r="1616">
          <cell r="L1616"/>
        </row>
        <row r="1617">
          <cell r="L1617"/>
        </row>
        <row r="1618">
          <cell r="L1618"/>
        </row>
        <row r="1619">
          <cell r="L1619"/>
        </row>
        <row r="1620">
          <cell r="L1620"/>
        </row>
        <row r="1621">
          <cell r="L1621"/>
        </row>
        <row r="1622">
          <cell r="L1622"/>
        </row>
        <row r="1623">
          <cell r="L1623"/>
        </row>
        <row r="1624">
          <cell r="L1624"/>
        </row>
        <row r="1625">
          <cell r="L1625"/>
        </row>
        <row r="1626">
          <cell r="L1626"/>
        </row>
        <row r="1627">
          <cell r="L1627"/>
        </row>
        <row r="1628">
          <cell r="L1628"/>
        </row>
        <row r="1629">
          <cell r="L1629"/>
        </row>
        <row r="1630">
          <cell r="L1630"/>
        </row>
        <row r="1631">
          <cell r="L1631"/>
        </row>
        <row r="1632">
          <cell r="L1632"/>
        </row>
        <row r="1633">
          <cell r="L1633"/>
        </row>
        <row r="1634">
          <cell r="L1634"/>
        </row>
        <row r="1635">
          <cell r="L1635"/>
        </row>
        <row r="1636">
          <cell r="L1636"/>
        </row>
        <row r="1637">
          <cell r="L1637"/>
        </row>
        <row r="1638">
          <cell r="L1638"/>
        </row>
        <row r="1639">
          <cell r="L1639"/>
        </row>
        <row r="1640">
          <cell r="L1640"/>
        </row>
        <row r="1641">
          <cell r="L1641"/>
        </row>
        <row r="1642">
          <cell r="L1642"/>
        </row>
        <row r="1643">
          <cell r="L1643"/>
        </row>
        <row r="1644">
          <cell r="L1644"/>
        </row>
        <row r="1645">
          <cell r="L1645"/>
        </row>
        <row r="1646">
          <cell r="L1646"/>
        </row>
        <row r="1647">
          <cell r="L1647"/>
        </row>
        <row r="1648">
          <cell r="L1648"/>
        </row>
        <row r="1649">
          <cell r="L1649"/>
        </row>
        <row r="1650">
          <cell r="L1650"/>
        </row>
        <row r="1651">
          <cell r="L1651"/>
        </row>
        <row r="1652">
          <cell r="L1652"/>
        </row>
        <row r="1653">
          <cell r="L1653"/>
        </row>
        <row r="1654">
          <cell r="L1654"/>
        </row>
        <row r="1655">
          <cell r="L1655"/>
        </row>
        <row r="1656">
          <cell r="L1656"/>
        </row>
        <row r="1657">
          <cell r="L1657"/>
        </row>
        <row r="1658">
          <cell r="L1658"/>
        </row>
        <row r="1659">
          <cell r="L1659"/>
        </row>
        <row r="1660">
          <cell r="L1660"/>
        </row>
        <row r="1661">
          <cell r="L1661"/>
        </row>
        <row r="1662">
          <cell r="L1662"/>
        </row>
        <row r="1663">
          <cell r="L1663"/>
        </row>
        <row r="1664">
          <cell r="L1664"/>
        </row>
        <row r="1665">
          <cell r="L1665"/>
        </row>
        <row r="1666">
          <cell r="L1666"/>
        </row>
        <row r="1667">
          <cell r="L1667"/>
        </row>
        <row r="1668">
          <cell r="L1668"/>
        </row>
        <row r="1669">
          <cell r="L1669"/>
        </row>
        <row r="1670">
          <cell r="L1670"/>
        </row>
        <row r="1671">
          <cell r="L1671"/>
        </row>
        <row r="1672">
          <cell r="L1672"/>
        </row>
        <row r="1673">
          <cell r="L1673"/>
        </row>
        <row r="1674">
          <cell r="L1674"/>
        </row>
        <row r="1675">
          <cell r="L1675"/>
        </row>
        <row r="1676">
          <cell r="L1676"/>
        </row>
        <row r="1677">
          <cell r="L1677"/>
        </row>
        <row r="1678">
          <cell r="L1678"/>
        </row>
        <row r="1679">
          <cell r="L1679"/>
        </row>
        <row r="1680">
          <cell r="L1680"/>
        </row>
        <row r="1681">
          <cell r="L1681"/>
        </row>
        <row r="1682">
          <cell r="L1682"/>
        </row>
        <row r="1683">
          <cell r="L1683"/>
        </row>
        <row r="1684">
          <cell r="L1684"/>
        </row>
        <row r="1685">
          <cell r="L1685"/>
        </row>
        <row r="1686">
          <cell r="L1686"/>
        </row>
        <row r="1687">
          <cell r="L1687"/>
        </row>
        <row r="1688">
          <cell r="L1688"/>
        </row>
        <row r="1689">
          <cell r="L1689"/>
        </row>
        <row r="1690">
          <cell r="L1690"/>
        </row>
        <row r="1691">
          <cell r="L1691"/>
        </row>
        <row r="1692">
          <cell r="L1692"/>
        </row>
        <row r="1693">
          <cell r="L1693"/>
        </row>
        <row r="1694">
          <cell r="L1694"/>
        </row>
        <row r="1695">
          <cell r="L1695"/>
        </row>
        <row r="1696">
          <cell r="L1696"/>
        </row>
        <row r="1697">
          <cell r="L1697"/>
        </row>
        <row r="1698">
          <cell r="L1698"/>
        </row>
        <row r="1699">
          <cell r="L1699"/>
        </row>
        <row r="1700">
          <cell r="L1700"/>
        </row>
        <row r="1701">
          <cell r="L1701"/>
        </row>
        <row r="1702">
          <cell r="L1702"/>
        </row>
        <row r="1703">
          <cell r="L1703"/>
        </row>
        <row r="1704">
          <cell r="L1704"/>
        </row>
        <row r="1705">
          <cell r="L1705"/>
        </row>
        <row r="1706">
          <cell r="L1706"/>
        </row>
        <row r="1707">
          <cell r="L1707"/>
        </row>
        <row r="1708">
          <cell r="L1708"/>
        </row>
        <row r="1709">
          <cell r="L1709"/>
        </row>
        <row r="1710">
          <cell r="L1710"/>
        </row>
        <row r="1711">
          <cell r="L1711"/>
        </row>
        <row r="1712">
          <cell r="L1712"/>
        </row>
        <row r="1713">
          <cell r="L1713"/>
        </row>
        <row r="1714">
          <cell r="L1714"/>
        </row>
        <row r="1715">
          <cell r="L1715"/>
        </row>
        <row r="1716">
          <cell r="L1716"/>
        </row>
        <row r="1717">
          <cell r="L1717"/>
        </row>
        <row r="1718">
          <cell r="L1718"/>
        </row>
        <row r="1719">
          <cell r="L1719"/>
        </row>
        <row r="1720">
          <cell r="L1720"/>
        </row>
        <row r="1721">
          <cell r="L1721"/>
        </row>
        <row r="1722">
          <cell r="L1722"/>
        </row>
        <row r="1723">
          <cell r="L1723"/>
        </row>
        <row r="1724">
          <cell r="L1724"/>
        </row>
        <row r="1725">
          <cell r="L1725"/>
        </row>
        <row r="1726">
          <cell r="L1726"/>
        </row>
        <row r="1727">
          <cell r="L1727"/>
        </row>
        <row r="1728">
          <cell r="L1728"/>
        </row>
        <row r="1729">
          <cell r="L1729"/>
        </row>
        <row r="1730">
          <cell r="L1730"/>
        </row>
        <row r="1731">
          <cell r="L1731"/>
        </row>
        <row r="1732">
          <cell r="L1732"/>
        </row>
        <row r="1733">
          <cell r="L1733"/>
        </row>
        <row r="1734">
          <cell r="L1734"/>
        </row>
        <row r="1735">
          <cell r="L1735"/>
        </row>
        <row r="1736">
          <cell r="L1736"/>
        </row>
        <row r="1737">
          <cell r="L1737"/>
        </row>
        <row r="1738">
          <cell r="L1738"/>
        </row>
        <row r="1739">
          <cell r="L1739"/>
        </row>
        <row r="1740">
          <cell r="L1740"/>
        </row>
        <row r="1741">
          <cell r="L1741"/>
        </row>
        <row r="1742">
          <cell r="L1742"/>
        </row>
        <row r="1743">
          <cell r="L1743"/>
        </row>
        <row r="1744">
          <cell r="L1744"/>
        </row>
        <row r="1745">
          <cell r="L1745"/>
        </row>
        <row r="1746">
          <cell r="L1746"/>
        </row>
        <row r="1747">
          <cell r="L1747"/>
        </row>
        <row r="1748">
          <cell r="L1748"/>
        </row>
        <row r="1749">
          <cell r="L1749"/>
        </row>
        <row r="1750">
          <cell r="L1750"/>
        </row>
        <row r="1751">
          <cell r="L1751"/>
        </row>
        <row r="1752">
          <cell r="L1752"/>
        </row>
        <row r="1753">
          <cell r="L1753"/>
        </row>
        <row r="1754">
          <cell r="L1754"/>
        </row>
        <row r="1755">
          <cell r="L1755"/>
        </row>
        <row r="1756">
          <cell r="L1756"/>
        </row>
        <row r="1757">
          <cell r="L1757"/>
        </row>
        <row r="1758">
          <cell r="L1758"/>
        </row>
        <row r="1759">
          <cell r="L1759"/>
        </row>
        <row r="1760">
          <cell r="L1760"/>
        </row>
        <row r="1761">
          <cell r="L1761"/>
        </row>
        <row r="1762">
          <cell r="L1762"/>
        </row>
        <row r="1763">
          <cell r="L1763"/>
        </row>
        <row r="1764">
          <cell r="L1764"/>
        </row>
        <row r="1765">
          <cell r="L1765"/>
        </row>
        <row r="1766">
          <cell r="L1766"/>
        </row>
        <row r="1767">
          <cell r="L1767"/>
        </row>
        <row r="1768">
          <cell r="L1768"/>
        </row>
        <row r="1769">
          <cell r="L1769"/>
        </row>
        <row r="1770">
          <cell r="L1770"/>
        </row>
        <row r="1771">
          <cell r="L1771"/>
        </row>
        <row r="1772">
          <cell r="L1772"/>
        </row>
        <row r="1773">
          <cell r="L1773"/>
        </row>
        <row r="1774">
          <cell r="L1774"/>
        </row>
        <row r="1775">
          <cell r="L1775"/>
        </row>
        <row r="1776">
          <cell r="L1776"/>
        </row>
        <row r="1777">
          <cell r="L1777"/>
        </row>
        <row r="1778">
          <cell r="L1778"/>
        </row>
        <row r="1779">
          <cell r="L1779"/>
        </row>
        <row r="1780">
          <cell r="L1780"/>
        </row>
        <row r="1781">
          <cell r="L1781"/>
        </row>
        <row r="1782">
          <cell r="L1782"/>
        </row>
        <row r="1783">
          <cell r="L1783"/>
        </row>
        <row r="1784">
          <cell r="L1784"/>
        </row>
        <row r="1785">
          <cell r="L1785"/>
        </row>
        <row r="1786">
          <cell r="L1786"/>
        </row>
        <row r="1787">
          <cell r="L1787"/>
        </row>
        <row r="1788">
          <cell r="L1788"/>
        </row>
        <row r="1789">
          <cell r="L1789"/>
        </row>
        <row r="1790">
          <cell r="L1790"/>
        </row>
        <row r="1791">
          <cell r="L1791"/>
        </row>
        <row r="1792">
          <cell r="L1792"/>
        </row>
        <row r="1793">
          <cell r="L1793"/>
        </row>
        <row r="1794">
          <cell r="L1794"/>
        </row>
        <row r="1795">
          <cell r="L1795"/>
        </row>
        <row r="1796">
          <cell r="L1796"/>
        </row>
        <row r="1797">
          <cell r="L1797"/>
        </row>
        <row r="1798">
          <cell r="L1798"/>
        </row>
        <row r="1799">
          <cell r="L1799"/>
        </row>
        <row r="1800">
          <cell r="L1800"/>
        </row>
        <row r="1801">
          <cell r="L1801"/>
        </row>
        <row r="1802">
          <cell r="L1802"/>
        </row>
        <row r="1803">
          <cell r="L1803"/>
        </row>
        <row r="1804">
          <cell r="L1804"/>
        </row>
        <row r="1805">
          <cell r="L1805"/>
        </row>
        <row r="1806">
          <cell r="L1806"/>
        </row>
        <row r="1807">
          <cell r="L1807"/>
        </row>
        <row r="1808">
          <cell r="L1808"/>
        </row>
        <row r="1809">
          <cell r="L1809"/>
        </row>
        <row r="1810">
          <cell r="L1810"/>
        </row>
        <row r="1811">
          <cell r="L1811"/>
        </row>
        <row r="1812">
          <cell r="L1812"/>
        </row>
        <row r="1813">
          <cell r="L1813"/>
        </row>
        <row r="1814">
          <cell r="L1814"/>
        </row>
        <row r="1815">
          <cell r="L1815"/>
        </row>
        <row r="1816">
          <cell r="L1816"/>
        </row>
        <row r="1817">
          <cell r="L1817"/>
        </row>
        <row r="1818">
          <cell r="L1818"/>
        </row>
        <row r="1819">
          <cell r="L1819"/>
        </row>
        <row r="1820">
          <cell r="L1820"/>
        </row>
        <row r="1821">
          <cell r="L1821"/>
        </row>
        <row r="1822">
          <cell r="L1822"/>
        </row>
        <row r="1823">
          <cell r="L1823"/>
        </row>
        <row r="1824">
          <cell r="L1824"/>
        </row>
        <row r="1825">
          <cell r="L1825"/>
        </row>
        <row r="1826">
          <cell r="L1826"/>
        </row>
        <row r="1827">
          <cell r="L1827"/>
        </row>
        <row r="1828">
          <cell r="L1828"/>
        </row>
        <row r="1829">
          <cell r="L1829"/>
        </row>
        <row r="1830">
          <cell r="L1830"/>
        </row>
        <row r="1831">
          <cell r="L1831"/>
        </row>
        <row r="1832">
          <cell r="L1832"/>
        </row>
        <row r="1833">
          <cell r="L1833"/>
        </row>
        <row r="1834">
          <cell r="L1834"/>
        </row>
        <row r="1835">
          <cell r="L1835"/>
        </row>
        <row r="1836">
          <cell r="L1836"/>
        </row>
        <row r="1837">
          <cell r="L1837"/>
        </row>
        <row r="1838">
          <cell r="L1838"/>
        </row>
        <row r="1839">
          <cell r="L1839"/>
        </row>
        <row r="1840">
          <cell r="L1840"/>
        </row>
        <row r="1841">
          <cell r="L1841"/>
        </row>
        <row r="1842">
          <cell r="L1842"/>
        </row>
        <row r="1843">
          <cell r="L1843"/>
        </row>
        <row r="1844">
          <cell r="L1844"/>
        </row>
        <row r="1845">
          <cell r="L1845"/>
        </row>
        <row r="1846">
          <cell r="L1846"/>
        </row>
        <row r="1847">
          <cell r="L1847"/>
        </row>
        <row r="1848">
          <cell r="L1848"/>
        </row>
        <row r="1849">
          <cell r="L1849"/>
        </row>
        <row r="1850">
          <cell r="L1850"/>
        </row>
        <row r="1851">
          <cell r="L1851"/>
        </row>
        <row r="1852">
          <cell r="L1852"/>
        </row>
        <row r="1853">
          <cell r="L1853"/>
        </row>
        <row r="1854">
          <cell r="L1854"/>
        </row>
        <row r="1855">
          <cell r="L1855"/>
        </row>
        <row r="1856">
          <cell r="L1856"/>
        </row>
        <row r="1857">
          <cell r="L1857"/>
        </row>
        <row r="1858">
          <cell r="L1858"/>
        </row>
        <row r="1859">
          <cell r="L1859"/>
        </row>
        <row r="1860">
          <cell r="L1860"/>
        </row>
        <row r="1861">
          <cell r="L1861"/>
        </row>
        <row r="1862">
          <cell r="L1862"/>
        </row>
        <row r="1863">
          <cell r="L1863"/>
        </row>
        <row r="1864">
          <cell r="L1864"/>
        </row>
        <row r="1865">
          <cell r="L1865"/>
        </row>
        <row r="1866">
          <cell r="L1866"/>
        </row>
        <row r="1867">
          <cell r="L1867"/>
        </row>
        <row r="1868">
          <cell r="L1868"/>
        </row>
        <row r="1869">
          <cell r="L1869"/>
        </row>
        <row r="1870">
          <cell r="L1870"/>
        </row>
        <row r="1871">
          <cell r="L1871"/>
        </row>
        <row r="1872">
          <cell r="L1872"/>
        </row>
        <row r="1873">
          <cell r="L1873"/>
        </row>
        <row r="1874">
          <cell r="L1874"/>
        </row>
        <row r="1875">
          <cell r="L1875"/>
        </row>
        <row r="1876">
          <cell r="L1876"/>
        </row>
        <row r="1877">
          <cell r="L1877"/>
        </row>
        <row r="1878">
          <cell r="L1878"/>
        </row>
        <row r="1879">
          <cell r="L1879"/>
        </row>
        <row r="1880">
          <cell r="L1880"/>
        </row>
        <row r="1881">
          <cell r="L1881"/>
        </row>
        <row r="1882">
          <cell r="L1882"/>
        </row>
        <row r="1883">
          <cell r="L1883"/>
        </row>
        <row r="1884">
          <cell r="L1884"/>
        </row>
        <row r="1885">
          <cell r="L1885"/>
        </row>
        <row r="1886">
          <cell r="L1886"/>
        </row>
        <row r="1887">
          <cell r="L1887"/>
        </row>
        <row r="1888">
          <cell r="L1888"/>
        </row>
        <row r="1889">
          <cell r="L1889"/>
        </row>
        <row r="1890">
          <cell r="L1890"/>
        </row>
        <row r="1891">
          <cell r="L1891"/>
        </row>
        <row r="1892">
          <cell r="L1892"/>
        </row>
        <row r="1893">
          <cell r="L1893"/>
        </row>
        <row r="1894">
          <cell r="L1894"/>
        </row>
        <row r="1895">
          <cell r="L1895"/>
        </row>
        <row r="1896">
          <cell r="L1896"/>
        </row>
        <row r="1897">
          <cell r="L1897"/>
        </row>
        <row r="1898">
          <cell r="L1898"/>
        </row>
        <row r="1899">
          <cell r="L1899"/>
        </row>
        <row r="1900">
          <cell r="L1900"/>
        </row>
        <row r="1901">
          <cell r="L1901"/>
        </row>
        <row r="1902">
          <cell r="L1902"/>
        </row>
        <row r="1903">
          <cell r="L1903"/>
        </row>
        <row r="1904">
          <cell r="L1904"/>
        </row>
        <row r="1905">
          <cell r="L1905"/>
        </row>
        <row r="1906">
          <cell r="L1906"/>
        </row>
        <row r="1907">
          <cell r="L1907"/>
        </row>
        <row r="1908">
          <cell r="L1908"/>
        </row>
        <row r="1909">
          <cell r="L1909"/>
        </row>
        <row r="1910">
          <cell r="L1910"/>
        </row>
        <row r="1911">
          <cell r="L1911"/>
        </row>
        <row r="1912">
          <cell r="L1912"/>
        </row>
        <row r="1913">
          <cell r="L1913"/>
        </row>
        <row r="1914">
          <cell r="L1914"/>
        </row>
        <row r="1915">
          <cell r="L1915"/>
        </row>
        <row r="1916">
          <cell r="L1916"/>
        </row>
        <row r="1917">
          <cell r="L1917"/>
        </row>
        <row r="1918">
          <cell r="L1918"/>
        </row>
        <row r="1919">
          <cell r="L1919"/>
        </row>
        <row r="1920">
          <cell r="L1920"/>
        </row>
        <row r="1921">
          <cell r="L1921"/>
        </row>
        <row r="1922">
          <cell r="L1922"/>
        </row>
        <row r="1923">
          <cell r="L1923"/>
        </row>
        <row r="1924">
          <cell r="L1924"/>
        </row>
        <row r="1925">
          <cell r="L1925"/>
        </row>
        <row r="1926">
          <cell r="L1926"/>
        </row>
        <row r="1927">
          <cell r="L1927"/>
        </row>
        <row r="1928">
          <cell r="L1928"/>
        </row>
        <row r="1929">
          <cell r="L1929"/>
        </row>
        <row r="1930">
          <cell r="L1930"/>
        </row>
        <row r="1931">
          <cell r="L1931"/>
        </row>
        <row r="1932">
          <cell r="L1932"/>
        </row>
        <row r="1933">
          <cell r="L1933"/>
        </row>
        <row r="1934">
          <cell r="L1934"/>
        </row>
        <row r="1935">
          <cell r="L1935"/>
        </row>
        <row r="1936">
          <cell r="L1936"/>
        </row>
        <row r="1937">
          <cell r="L1937"/>
        </row>
        <row r="1938">
          <cell r="L1938"/>
        </row>
        <row r="1939">
          <cell r="L1939"/>
        </row>
        <row r="1940">
          <cell r="L1940"/>
        </row>
        <row r="1941">
          <cell r="L1941"/>
        </row>
        <row r="1942">
          <cell r="L1942"/>
        </row>
        <row r="1943">
          <cell r="L1943"/>
        </row>
        <row r="1944">
          <cell r="L1944"/>
        </row>
        <row r="1945">
          <cell r="L1945"/>
        </row>
        <row r="1946">
          <cell r="L1946"/>
        </row>
        <row r="1947">
          <cell r="L1947"/>
        </row>
        <row r="1948">
          <cell r="L1948"/>
        </row>
        <row r="1949">
          <cell r="L1949"/>
        </row>
        <row r="1950">
          <cell r="L1950"/>
        </row>
        <row r="1951">
          <cell r="L1951"/>
        </row>
        <row r="1952">
          <cell r="L1952"/>
        </row>
        <row r="1953">
          <cell r="L1953"/>
        </row>
        <row r="1954">
          <cell r="L1954"/>
        </row>
        <row r="1955">
          <cell r="L1955"/>
        </row>
        <row r="1956">
          <cell r="L1956"/>
        </row>
        <row r="1957">
          <cell r="L1957"/>
        </row>
        <row r="1958">
          <cell r="L1958"/>
        </row>
        <row r="1959">
          <cell r="L1959"/>
        </row>
        <row r="1960">
          <cell r="L1960"/>
        </row>
        <row r="1961">
          <cell r="L1961"/>
        </row>
        <row r="1962">
          <cell r="L1962"/>
        </row>
        <row r="1963">
          <cell r="L1963"/>
        </row>
        <row r="1964">
          <cell r="L1964"/>
        </row>
        <row r="1965">
          <cell r="L1965"/>
        </row>
        <row r="1966">
          <cell r="L1966"/>
        </row>
        <row r="1967">
          <cell r="L1967"/>
        </row>
        <row r="1968">
          <cell r="L1968"/>
        </row>
        <row r="1969">
          <cell r="L1969"/>
        </row>
        <row r="1970">
          <cell r="L1970"/>
        </row>
        <row r="1971">
          <cell r="L1971"/>
        </row>
        <row r="1972">
          <cell r="L1972"/>
        </row>
        <row r="1973">
          <cell r="L1973"/>
        </row>
        <row r="1974">
          <cell r="L1974"/>
        </row>
        <row r="1975">
          <cell r="L1975"/>
        </row>
        <row r="1976">
          <cell r="L1976"/>
        </row>
        <row r="1977">
          <cell r="L1977"/>
        </row>
        <row r="1978">
          <cell r="L1978"/>
        </row>
        <row r="1979">
          <cell r="L1979"/>
        </row>
        <row r="1980">
          <cell r="L1980"/>
        </row>
        <row r="1981">
          <cell r="L1981"/>
        </row>
        <row r="1982">
          <cell r="L1982"/>
        </row>
        <row r="1983">
          <cell r="L1983"/>
        </row>
        <row r="1984">
          <cell r="L1984"/>
        </row>
        <row r="1985">
          <cell r="L1985"/>
        </row>
        <row r="1986">
          <cell r="L1986"/>
        </row>
        <row r="1987">
          <cell r="L1987"/>
        </row>
        <row r="1988">
          <cell r="L1988"/>
        </row>
        <row r="1989">
          <cell r="L1989"/>
        </row>
        <row r="1990">
          <cell r="L1990"/>
        </row>
        <row r="1991">
          <cell r="L1991"/>
        </row>
        <row r="1992">
          <cell r="L1992"/>
        </row>
        <row r="1993">
          <cell r="L1993"/>
        </row>
        <row r="1994">
          <cell r="L1994"/>
        </row>
        <row r="1995">
          <cell r="L1995"/>
        </row>
        <row r="1996">
          <cell r="L1996"/>
        </row>
        <row r="1997">
          <cell r="L1997"/>
        </row>
        <row r="1998">
          <cell r="L1998"/>
        </row>
        <row r="1999">
          <cell r="L1999"/>
        </row>
        <row r="2000">
          <cell r="L2000"/>
        </row>
        <row r="2001">
          <cell r="L2001"/>
        </row>
        <row r="2002">
          <cell r="L2002"/>
        </row>
        <row r="2003">
          <cell r="L2003"/>
        </row>
        <row r="2004">
          <cell r="L2004"/>
        </row>
        <row r="2005">
          <cell r="L2005"/>
        </row>
        <row r="2006">
          <cell r="L2006"/>
        </row>
        <row r="2007">
          <cell r="L2007"/>
        </row>
        <row r="2008">
          <cell r="L2008"/>
        </row>
        <row r="2009">
          <cell r="L2009"/>
        </row>
        <row r="2010">
          <cell r="L2010"/>
        </row>
        <row r="2011">
          <cell r="L2011"/>
        </row>
        <row r="2012">
          <cell r="L2012"/>
        </row>
        <row r="2013">
          <cell r="L2013"/>
        </row>
        <row r="2014">
          <cell r="L2014"/>
        </row>
        <row r="2015">
          <cell r="L2015"/>
        </row>
        <row r="2016">
          <cell r="L2016"/>
        </row>
        <row r="2017">
          <cell r="L2017"/>
        </row>
        <row r="2018">
          <cell r="L2018"/>
        </row>
        <row r="2019">
          <cell r="L2019"/>
        </row>
        <row r="2020">
          <cell r="L2020"/>
        </row>
        <row r="2021">
          <cell r="L2021"/>
        </row>
        <row r="2022">
          <cell r="L2022"/>
        </row>
        <row r="2023">
          <cell r="L2023"/>
        </row>
        <row r="2024">
          <cell r="L2024"/>
        </row>
        <row r="2025">
          <cell r="L2025"/>
        </row>
        <row r="2026">
          <cell r="L2026"/>
        </row>
        <row r="2027">
          <cell r="L2027"/>
        </row>
        <row r="2028">
          <cell r="L2028"/>
        </row>
        <row r="2029">
          <cell r="L2029"/>
        </row>
        <row r="2030">
          <cell r="L2030"/>
        </row>
        <row r="2031">
          <cell r="L2031"/>
        </row>
        <row r="2032">
          <cell r="L2032"/>
        </row>
        <row r="2033">
          <cell r="L2033"/>
        </row>
        <row r="2034">
          <cell r="L2034"/>
        </row>
        <row r="2035">
          <cell r="L2035"/>
        </row>
        <row r="2036">
          <cell r="L2036"/>
        </row>
        <row r="2037">
          <cell r="L2037"/>
        </row>
        <row r="2038">
          <cell r="L2038"/>
        </row>
        <row r="2039">
          <cell r="L2039"/>
        </row>
        <row r="2040">
          <cell r="L2040"/>
        </row>
        <row r="2041">
          <cell r="L2041"/>
        </row>
        <row r="2042">
          <cell r="L2042"/>
        </row>
        <row r="2043">
          <cell r="L2043"/>
        </row>
        <row r="2044">
          <cell r="L2044"/>
        </row>
        <row r="2045">
          <cell r="L2045"/>
        </row>
        <row r="2046">
          <cell r="L2046"/>
        </row>
        <row r="2047">
          <cell r="L2047"/>
        </row>
        <row r="2048">
          <cell r="L2048"/>
        </row>
        <row r="2049">
          <cell r="L2049"/>
        </row>
        <row r="2050">
          <cell r="L2050"/>
        </row>
        <row r="2051">
          <cell r="L2051"/>
        </row>
        <row r="2052">
          <cell r="L2052"/>
        </row>
        <row r="2053">
          <cell r="L2053"/>
        </row>
        <row r="2054">
          <cell r="L2054"/>
        </row>
        <row r="2055">
          <cell r="L2055"/>
        </row>
        <row r="2056">
          <cell r="L2056"/>
        </row>
        <row r="2057">
          <cell r="L2057"/>
        </row>
        <row r="2058">
          <cell r="L2058"/>
        </row>
        <row r="2059">
          <cell r="L2059"/>
        </row>
        <row r="2060">
          <cell r="L2060"/>
        </row>
        <row r="2061">
          <cell r="L2061"/>
        </row>
        <row r="2062">
          <cell r="L2062"/>
        </row>
        <row r="2063">
          <cell r="L2063"/>
        </row>
        <row r="2064">
          <cell r="L2064"/>
        </row>
        <row r="2065">
          <cell r="L2065"/>
        </row>
        <row r="2066">
          <cell r="L2066"/>
        </row>
        <row r="2067">
          <cell r="L2067"/>
        </row>
        <row r="2068">
          <cell r="L2068"/>
        </row>
        <row r="2069">
          <cell r="L2069"/>
        </row>
        <row r="2070">
          <cell r="L2070"/>
        </row>
        <row r="2071">
          <cell r="L2071"/>
        </row>
        <row r="2072">
          <cell r="L2072"/>
        </row>
        <row r="2073">
          <cell r="L2073"/>
        </row>
        <row r="2074">
          <cell r="L2074"/>
        </row>
        <row r="2075">
          <cell r="L2075"/>
        </row>
        <row r="2076">
          <cell r="L2076"/>
        </row>
        <row r="2077">
          <cell r="L2077"/>
        </row>
        <row r="2078">
          <cell r="L2078"/>
        </row>
        <row r="2079">
          <cell r="L2079"/>
        </row>
        <row r="2080">
          <cell r="L2080"/>
        </row>
        <row r="2081">
          <cell r="L2081"/>
        </row>
        <row r="2082">
          <cell r="L2082"/>
        </row>
        <row r="2083">
          <cell r="L2083"/>
        </row>
        <row r="2084">
          <cell r="L2084"/>
        </row>
        <row r="2085">
          <cell r="L2085"/>
        </row>
        <row r="2086">
          <cell r="L2086"/>
        </row>
        <row r="2087">
          <cell r="L2087"/>
        </row>
        <row r="2088">
          <cell r="L2088"/>
        </row>
        <row r="2089">
          <cell r="L2089"/>
        </row>
        <row r="2090">
          <cell r="L2090"/>
        </row>
        <row r="2091">
          <cell r="L2091"/>
        </row>
        <row r="2092">
          <cell r="L2092"/>
        </row>
        <row r="2093">
          <cell r="L2093"/>
        </row>
        <row r="2094">
          <cell r="L2094"/>
        </row>
        <row r="2095">
          <cell r="L2095"/>
        </row>
        <row r="2096">
          <cell r="L2096"/>
        </row>
        <row r="2097">
          <cell r="L2097"/>
        </row>
        <row r="2098">
          <cell r="L2098"/>
        </row>
        <row r="2099">
          <cell r="L2099"/>
        </row>
        <row r="2100">
          <cell r="L2100"/>
        </row>
        <row r="2101">
          <cell r="L2101"/>
        </row>
        <row r="2102">
          <cell r="L2102"/>
        </row>
        <row r="2103">
          <cell r="L2103"/>
        </row>
        <row r="2104">
          <cell r="L2104"/>
        </row>
        <row r="2105">
          <cell r="L2105"/>
        </row>
        <row r="2106">
          <cell r="L2106"/>
        </row>
        <row r="2107">
          <cell r="L2107"/>
        </row>
        <row r="2108">
          <cell r="L2108"/>
        </row>
        <row r="2109">
          <cell r="L2109"/>
        </row>
        <row r="2110">
          <cell r="L2110"/>
        </row>
        <row r="2111">
          <cell r="L2111"/>
        </row>
        <row r="2112">
          <cell r="L2112"/>
        </row>
        <row r="2113">
          <cell r="L2113"/>
        </row>
        <row r="2114">
          <cell r="L2114"/>
        </row>
        <row r="2115">
          <cell r="L2115"/>
        </row>
        <row r="2116">
          <cell r="L2116"/>
        </row>
        <row r="2117">
          <cell r="L2117"/>
        </row>
        <row r="2118">
          <cell r="L2118"/>
        </row>
        <row r="2119">
          <cell r="L2119"/>
        </row>
        <row r="2120">
          <cell r="L2120"/>
        </row>
        <row r="2121">
          <cell r="L2121"/>
        </row>
        <row r="2122">
          <cell r="L2122"/>
        </row>
        <row r="2123">
          <cell r="L2123"/>
        </row>
        <row r="2124">
          <cell r="L2124"/>
        </row>
        <row r="2125">
          <cell r="L2125"/>
        </row>
        <row r="2126">
          <cell r="L2126"/>
        </row>
        <row r="2127">
          <cell r="L2127"/>
        </row>
        <row r="2128">
          <cell r="L2128"/>
        </row>
        <row r="2129">
          <cell r="L2129"/>
        </row>
        <row r="2130">
          <cell r="L2130"/>
        </row>
        <row r="2131">
          <cell r="L2131"/>
        </row>
        <row r="2132">
          <cell r="L2132"/>
        </row>
        <row r="2133">
          <cell r="L2133"/>
        </row>
        <row r="2134">
          <cell r="L2134"/>
        </row>
        <row r="2135">
          <cell r="L2135"/>
        </row>
        <row r="2136">
          <cell r="L2136"/>
        </row>
        <row r="2137">
          <cell r="L2137"/>
        </row>
        <row r="2138">
          <cell r="L2138"/>
        </row>
        <row r="2139">
          <cell r="L2139"/>
        </row>
        <row r="2140">
          <cell r="L2140"/>
        </row>
        <row r="2141">
          <cell r="L2141"/>
        </row>
        <row r="2142">
          <cell r="L2142"/>
        </row>
        <row r="2143">
          <cell r="L2143"/>
        </row>
        <row r="2144">
          <cell r="L2144"/>
        </row>
        <row r="2145">
          <cell r="L2145"/>
        </row>
        <row r="2146">
          <cell r="L2146"/>
        </row>
        <row r="2147">
          <cell r="L2147"/>
        </row>
        <row r="2148">
          <cell r="L2148"/>
        </row>
        <row r="2149">
          <cell r="L2149"/>
        </row>
        <row r="2150">
          <cell r="L2150"/>
        </row>
        <row r="2151">
          <cell r="L2151"/>
        </row>
        <row r="2152">
          <cell r="L2152"/>
        </row>
        <row r="2153">
          <cell r="L2153"/>
        </row>
        <row r="2154">
          <cell r="L2154"/>
        </row>
        <row r="2155">
          <cell r="L2155"/>
        </row>
        <row r="2156">
          <cell r="L2156"/>
        </row>
        <row r="2157">
          <cell r="L2157"/>
        </row>
        <row r="2158">
          <cell r="L2158"/>
        </row>
        <row r="2159">
          <cell r="L2159"/>
        </row>
        <row r="2160">
          <cell r="L2160"/>
        </row>
        <row r="2161">
          <cell r="L2161"/>
        </row>
        <row r="2162">
          <cell r="L2162"/>
        </row>
        <row r="2163">
          <cell r="L2163"/>
        </row>
        <row r="2164">
          <cell r="L2164"/>
        </row>
        <row r="2165">
          <cell r="L2165"/>
        </row>
        <row r="2166">
          <cell r="L2166"/>
        </row>
        <row r="2167">
          <cell r="L2167"/>
        </row>
        <row r="2168">
          <cell r="L2168"/>
        </row>
        <row r="2169">
          <cell r="L2169"/>
        </row>
        <row r="2170">
          <cell r="L2170"/>
        </row>
        <row r="2171">
          <cell r="L2171"/>
        </row>
        <row r="2172">
          <cell r="L2172"/>
        </row>
        <row r="2173">
          <cell r="L2173"/>
        </row>
        <row r="2174">
          <cell r="L2174"/>
        </row>
        <row r="2175">
          <cell r="L2175"/>
        </row>
        <row r="2176">
          <cell r="L2176"/>
        </row>
        <row r="2177">
          <cell r="L2177"/>
        </row>
        <row r="2178">
          <cell r="L2178"/>
        </row>
        <row r="2179">
          <cell r="L2179"/>
        </row>
        <row r="2180">
          <cell r="L2180"/>
        </row>
        <row r="2181">
          <cell r="L2181"/>
        </row>
        <row r="2182">
          <cell r="L2182"/>
        </row>
        <row r="2183">
          <cell r="L2183"/>
        </row>
        <row r="2184">
          <cell r="L2184"/>
        </row>
        <row r="2185">
          <cell r="L2185"/>
        </row>
        <row r="2186">
          <cell r="L2186"/>
        </row>
        <row r="2187">
          <cell r="L2187"/>
        </row>
        <row r="2188">
          <cell r="L2188"/>
        </row>
        <row r="2189">
          <cell r="L2189"/>
        </row>
        <row r="2190">
          <cell r="L2190"/>
        </row>
        <row r="2191">
          <cell r="L2191"/>
        </row>
        <row r="2192">
          <cell r="L2192"/>
        </row>
        <row r="2193">
          <cell r="L2193"/>
        </row>
        <row r="2194">
          <cell r="L2194"/>
        </row>
        <row r="2195">
          <cell r="L2195"/>
        </row>
        <row r="2196">
          <cell r="L2196"/>
        </row>
        <row r="2197">
          <cell r="L2197"/>
        </row>
        <row r="2198">
          <cell r="L2198"/>
        </row>
        <row r="2199">
          <cell r="L2199"/>
        </row>
        <row r="2200">
          <cell r="L2200"/>
        </row>
        <row r="2201">
          <cell r="L2201"/>
        </row>
        <row r="2202">
          <cell r="L2202"/>
        </row>
        <row r="2203">
          <cell r="L2203"/>
        </row>
        <row r="2204">
          <cell r="L2204"/>
        </row>
        <row r="2205">
          <cell r="L2205"/>
        </row>
        <row r="2206">
          <cell r="L2206"/>
        </row>
        <row r="2207">
          <cell r="L2207"/>
        </row>
        <row r="2208">
          <cell r="L2208"/>
        </row>
        <row r="2209">
          <cell r="L2209"/>
        </row>
        <row r="2210">
          <cell r="L2210"/>
        </row>
        <row r="2211">
          <cell r="L2211"/>
        </row>
        <row r="2212">
          <cell r="L2212"/>
        </row>
        <row r="2213">
          <cell r="L2213"/>
        </row>
        <row r="2214">
          <cell r="L2214"/>
        </row>
        <row r="2215">
          <cell r="L2215"/>
        </row>
        <row r="2216">
          <cell r="L2216"/>
        </row>
        <row r="2217">
          <cell r="L2217"/>
        </row>
        <row r="2218">
          <cell r="L2218"/>
        </row>
        <row r="2219">
          <cell r="L2219"/>
        </row>
        <row r="2220">
          <cell r="L2220"/>
        </row>
        <row r="2221">
          <cell r="L2221"/>
        </row>
        <row r="2222">
          <cell r="L2222"/>
        </row>
        <row r="2223">
          <cell r="L2223"/>
        </row>
        <row r="2224">
          <cell r="L2224"/>
        </row>
        <row r="2225">
          <cell r="L2225"/>
        </row>
        <row r="2226">
          <cell r="L2226"/>
        </row>
        <row r="2227">
          <cell r="L2227"/>
        </row>
        <row r="2228">
          <cell r="L2228"/>
        </row>
        <row r="2229">
          <cell r="L2229"/>
        </row>
        <row r="2230">
          <cell r="L2230"/>
        </row>
        <row r="2231">
          <cell r="L2231"/>
        </row>
        <row r="2232">
          <cell r="L2232"/>
        </row>
        <row r="2233">
          <cell r="L2233"/>
        </row>
        <row r="2234">
          <cell r="L2234"/>
        </row>
        <row r="2235">
          <cell r="L2235"/>
        </row>
        <row r="2236">
          <cell r="L2236"/>
        </row>
        <row r="2237">
          <cell r="L2237"/>
        </row>
        <row r="2238">
          <cell r="L2238"/>
        </row>
        <row r="2239">
          <cell r="L2239"/>
        </row>
        <row r="2240">
          <cell r="L2240"/>
        </row>
        <row r="2241">
          <cell r="L2241"/>
        </row>
        <row r="2242">
          <cell r="L2242"/>
        </row>
        <row r="2243">
          <cell r="L2243"/>
        </row>
        <row r="2244">
          <cell r="L2244"/>
        </row>
        <row r="2245">
          <cell r="L2245"/>
        </row>
        <row r="2246">
          <cell r="L2246"/>
        </row>
        <row r="2247">
          <cell r="L2247"/>
        </row>
        <row r="2248">
          <cell r="L2248"/>
        </row>
        <row r="2249">
          <cell r="L2249"/>
        </row>
        <row r="2250">
          <cell r="L2250"/>
        </row>
        <row r="2251">
          <cell r="L2251"/>
        </row>
        <row r="2252">
          <cell r="L2252"/>
        </row>
        <row r="2253">
          <cell r="L2253"/>
        </row>
        <row r="2254">
          <cell r="L2254"/>
        </row>
        <row r="2255">
          <cell r="L2255"/>
        </row>
        <row r="2256">
          <cell r="L2256"/>
        </row>
        <row r="2257">
          <cell r="L2257"/>
        </row>
        <row r="2258">
          <cell r="L2258"/>
        </row>
        <row r="2259">
          <cell r="L2259"/>
        </row>
        <row r="2260">
          <cell r="L2260"/>
        </row>
        <row r="2261">
          <cell r="L2261"/>
        </row>
        <row r="2262">
          <cell r="L2262"/>
        </row>
        <row r="2263">
          <cell r="L2263"/>
        </row>
        <row r="2264">
          <cell r="L2264"/>
        </row>
        <row r="2265">
          <cell r="L2265"/>
        </row>
        <row r="2266">
          <cell r="L2266"/>
        </row>
        <row r="2267">
          <cell r="L2267"/>
        </row>
        <row r="2268">
          <cell r="L2268"/>
        </row>
        <row r="2269">
          <cell r="L2269"/>
        </row>
        <row r="2270">
          <cell r="L2270"/>
        </row>
        <row r="2271">
          <cell r="L2271"/>
        </row>
        <row r="2272">
          <cell r="L2272"/>
        </row>
        <row r="2273">
          <cell r="L2273"/>
        </row>
        <row r="2274">
          <cell r="L2274"/>
        </row>
        <row r="2275">
          <cell r="L2275"/>
        </row>
        <row r="2276">
          <cell r="L2276"/>
        </row>
        <row r="2277">
          <cell r="L2277"/>
        </row>
        <row r="2278">
          <cell r="L2278"/>
        </row>
        <row r="2279">
          <cell r="L2279"/>
        </row>
        <row r="2280">
          <cell r="L2280"/>
        </row>
        <row r="2281">
          <cell r="L2281"/>
        </row>
        <row r="2282">
          <cell r="L2282"/>
        </row>
        <row r="2283">
          <cell r="L2283"/>
        </row>
        <row r="2284">
          <cell r="L2284"/>
        </row>
        <row r="2285">
          <cell r="L2285"/>
        </row>
        <row r="2286">
          <cell r="L2286"/>
        </row>
        <row r="2287">
          <cell r="L2287"/>
        </row>
        <row r="2288">
          <cell r="L2288"/>
        </row>
        <row r="2289">
          <cell r="L2289"/>
        </row>
        <row r="2290">
          <cell r="L2290"/>
        </row>
        <row r="2291">
          <cell r="L2291"/>
        </row>
        <row r="2292">
          <cell r="L2292"/>
        </row>
        <row r="2293">
          <cell r="L2293"/>
        </row>
        <row r="2294">
          <cell r="L2294"/>
        </row>
        <row r="2295">
          <cell r="L2295"/>
        </row>
        <row r="2296">
          <cell r="L2296"/>
        </row>
        <row r="2297">
          <cell r="L2297"/>
        </row>
        <row r="2298">
          <cell r="L2298"/>
        </row>
        <row r="2299">
          <cell r="L2299"/>
        </row>
        <row r="2300">
          <cell r="L2300"/>
        </row>
        <row r="2301">
          <cell r="L2301"/>
        </row>
        <row r="2302">
          <cell r="L2302"/>
        </row>
        <row r="2303">
          <cell r="L2303"/>
        </row>
        <row r="2304">
          <cell r="L2304"/>
        </row>
        <row r="2305">
          <cell r="L2305"/>
        </row>
        <row r="2306">
          <cell r="L2306"/>
        </row>
        <row r="2307">
          <cell r="L2307"/>
        </row>
        <row r="2308">
          <cell r="L2308"/>
        </row>
        <row r="2309">
          <cell r="L2309"/>
        </row>
        <row r="2310">
          <cell r="L2310"/>
        </row>
        <row r="2311">
          <cell r="L2311"/>
        </row>
        <row r="2312">
          <cell r="L2312"/>
        </row>
        <row r="2313">
          <cell r="L2313"/>
        </row>
        <row r="2314">
          <cell r="L2314"/>
        </row>
        <row r="2315">
          <cell r="L2315"/>
        </row>
        <row r="2316">
          <cell r="L2316"/>
        </row>
        <row r="2317">
          <cell r="L2317"/>
        </row>
        <row r="2318">
          <cell r="L2318"/>
        </row>
        <row r="2319">
          <cell r="L2319"/>
        </row>
        <row r="2320">
          <cell r="L2320"/>
        </row>
        <row r="2321">
          <cell r="L2321"/>
        </row>
        <row r="2322">
          <cell r="L2322"/>
        </row>
        <row r="2323">
          <cell r="L2323"/>
        </row>
        <row r="2324">
          <cell r="L2324"/>
        </row>
        <row r="2325">
          <cell r="L2325"/>
        </row>
        <row r="2326">
          <cell r="L2326"/>
        </row>
        <row r="2327">
          <cell r="L2327"/>
        </row>
        <row r="2328">
          <cell r="L2328"/>
        </row>
        <row r="2329">
          <cell r="L2329"/>
        </row>
        <row r="2330">
          <cell r="L2330"/>
        </row>
        <row r="2331">
          <cell r="L2331"/>
        </row>
        <row r="2332">
          <cell r="L2332"/>
        </row>
        <row r="2333">
          <cell r="L2333"/>
        </row>
        <row r="2334">
          <cell r="L2334"/>
        </row>
        <row r="2335">
          <cell r="L2335"/>
        </row>
        <row r="2336">
          <cell r="L2336"/>
        </row>
        <row r="2337">
          <cell r="L2337"/>
        </row>
        <row r="2338">
          <cell r="L2338"/>
        </row>
        <row r="2339">
          <cell r="L2339"/>
        </row>
        <row r="2340">
          <cell r="L2340"/>
        </row>
        <row r="2341">
          <cell r="L2341"/>
        </row>
        <row r="2342">
          <cell r="L2342"/>
        </row>
        <row r="2343">
          <cell r="L2343"/>
        </row>
        <row r="2344">
          <cell r="L2344"/>
        </row>
        <row r="2345">
          <cell r="L2345"/>
        </row>
        <row r="2346">
          <cell r="L2346"/>
        </row>
        <row r="2347">
          <cell r="L2347"/>
        </row>
        <row r="2348">
          <cell r="L2348"/>
        </row>
        <row r="2349">
          <cell r="L2349"/>
        </row>
        <row r="2350">
          <cell r="L2350"/>
        </row>
        <row r="2351">
          <cell r="L2351"/>
        </row>
        <row r="2352">
          <cell r="L2352"/>
        </row>
        <row r="2353">
          <cell r="L2353"/>
        </row>
        <row r="2354">
          <cell r="L2354"/>
        </row>
        <row r="2355">
          <cell r="L2355"/>
        </row>
        <row r="2356">
          <cell r="L2356"/>
        </row>
        <row r="2357">
          <cell r="L2357"/>
        </row>
        <row r="2358">
          <cell r="L2358"/>
        </row>
        <row r="2359">
          <cell r="L2359"/>
        </row>
        <row r="2360">
          <cell r="L2360"/>
        </row>
        <row r="2361">
          <cell r="L2361"/>
        </row>
        <row r="2362">
          <cell r="L2362"/>
        </row>
        <row r="2363">
          <cell r="L2363"/>
        </row>
        <row r="2364">
          <cell r="L2364"/>
        </row>
        <row r="2365">
          <cell r="L2365"/>
        </row>
        <row r="2366">
          <cell r="L2366"/>
        </row>
        <row r="2367">
          <cell r="L2367"/>
        </row>
        <row r="2368">
          <cell r="L2368"/>
        </row>
        <row r="2369">
          <cell r="L2369"/>
        </row>
        <row r="2370">
          <cell r="L2370"/>
        </row>
        <row r="2371">
          <cell r="L2371"/>
        </row>
        <row r="2372">
          <cell r="L2372"/>
        </row>
        <row r="2373">
          <cell r="L2373"/>
        </row>
        <row r="2374">
          <cell r="L2374"/>
        </row>
        <row r="2375">
          <cell r="L2375"/>
        </row>
        <row r="2376">
          <cell r="L2376"/>
        </row>
        <row r="2377">
          <cell r="L2377"/>
        </row>
        <row r="2378">
          <cell r="L2378"/>
        </row>
        <row r="2379">
          <cell r="L2379"/>
        </row>
        <row r="2380">
          <cell r="L2380"/>
        </row>
        <row r="2381">
          <cell r="L2381"/>
        </row>
        <row r="2382">
          <cell r="L2382"/>
        </row>
        <row r="2383">
          <cell r="L2383"/>
        </row>
        <row r="2384">
          <cell r="L2384"/>
        </row>
        <row r="2385">
          <cell r="L2385"/>
        </row>
        <row r="2386">
          <cell r="L2386"/>
        </row>
        <row r="2387">
          <cell r="L2387"/>
        </row>
        <row r="2388">
          <cell r="L2388"/>
        </row>
        <row r="2389">
          <cell r="L2389"/>
        </row>
        <row r="2390">
          <cell r="L2390"/>
        </row>
        <row r="2391">
          <cell r="L2391"/>
        </row>
        <row r="2392">
          <cell r="L2392"/>
        </row>
        <row r="2393">
          <cell r="L2393"/>
        </row>
        <row r="2394">
          <cell r="L2394"/>
        </row>
        <row r="2395">
          <cell r="L2395"/>
        </row>
        <row r="2396">
          <cell r="L2396"/>
        </row>
        <row r="2397">
          <cell r="L2397"/>
        </row>
        <row r="2398">
          <cell r="L2398"/>
        </row>
        <row r="2399">
          <cell r="L2399"/>
        </row>
        <row r="2400">
          <cell r="L2400"/>
        </row>
        <row r="2401">
          <cell r="L2401"/>
        </row>
        <row r="2402">
          <cell r="L2402"/>
        </row>
        <row r="2403">
          <cell r="L2403"/>
        </row>
        <row r="2404">
          <cell r="L2404"/>
        </row>
        <row r="2405">
          <cell r="L2405"/>
        </row>
        <row r="2406">
          <cell r="L2406"/>
        </row>
        <row r="2407">
          <cell r="L2407"/>
        </row>
        <row r="2408">
          <cell r="L2408"/>
        </row>
        <row r="2409">
          <cell r="L2409"/>
        </row>
        <row r="2410">
          <cell r="L2410"/>
        </row>
        <row r="2411">
          <cell r="L2411"/>
        </row>
        <row r="2412">
          <cell r="L2412"/>
        </row>
        <row r="2413">
          <cell r="L2413"/>
        </row>
        <row r="2414">
          <cell r="L2414"/>
        </row>
        <row r="2415">
          <cell r="L2415"/>
        </row>
        <row r="2416">
          <cell r="L2416"/>
        </row>
        <row r="2417">
          <cell r="L2417"/>
        </row>
        <row r="2418">
          <cell r="L2418"/>
        </row>
        <row r="2419">
          <cell r="L2419"/>
        </row>
        <row r="2420">
          <cell r="L2420"/>
        </row>
        <row r="2421">
          <cell r="L2421"/>
        </row>
        <row r="2422">
          <cell r="L2422"/>
        </row>
        <row r="2423">
          <cell r="L2423"/>
        </row>
        <row r="2424">
          <cell r="L2424"/>
        </row>
        <row r="2425">
          <cell r="L2425"/>
        </row>
        <row r="2426">
          <cell r="L2426"/>
        </row>
        <row r="2427">
          <cell r="L2427"/>
        </row>
        <row r="2428">
          <cell r="L2428"/>
        </row>
        <row r="2429">
          <cell r="L2429"/>
        </row>
        <row r="2430">
          <cell r="L2430"/>
        </row>
        <row r="2431">
          <cell r="L2431"/>
        </row>
        <row r="2432">
          <cell r="L2432"/>
        </row>
        <row r="2433">
          <cell r="L2433"/>
        </row>
        <row r="2434">
          <cell r="L2434"/>
        </row>
        <row r="2435">
          <cell r="L2435"/>
        </row>
        <row r="2436">
          <cell r="L2436"/>
        </row>
        <row r="2437">
          <cell r="L2437"/>
        </row>
        <row r="2438">
          <cell r="L2438"/>
        </row>
        <row r="2439">
          <cell r="L2439"/>
        </row>
        <row r="2440">
          <cell r="L2440"/>
        </row>
        <row r="2441">
          <cell r="L2441"/>
        </row>
        <row r="2442">
          <cell r="L2442"/>
        </row>
        <row r="2443">
          <cell r="L2443"/>
        </row>
        <row r="2444">
          <cell r="L2444"/>
        </row>
        <row r="2445">
          <cell r="L2445"/>
        </row>
        <row r="2446">
          <cell r="L2446"/>
        </row>
        <row r="2447">
          <cell r="L2447"/>
        </row>
        <row r="2448">
          <cell r="L2448"/>
        </row>
        <row r="2449">
          <cell r="L2449"/>
        </row>
        <row r="2450">
          <cell r="L2450"/>
        </row>
        <row r="2451">
          <cell r="L2451"/>
        </row>
        <row r="2452">
          <cell r="L2452"/>
        </row>
        <row r="2453">
          <cell r="L2453"/>
        </row>
        <row r="2454">
          <cell r="L2454"/>
        </row>
        <row r="2455">
          <cell r="L2455"/>
        </row>
        <row r="2456">
          <cell r="L2456"/>
        </row>
        <row r="2457">
          <cell r="L2457"/>
        </row>
        <row r="2458">
          <cell r="L2458"/>
        </row>
        <row r="2459">
          <cell r="L2459"/>
        </row>
        <row r="2460">
          <cell r="L2460"/>
        </row>
        <row r="2461">
          <cell r="L2461"/>
        </row>
        <row r="2462">
          <cell r="L2462"/>
        </row>
        <row r="2463">
          <cell r="L2463"/>
        </row>
        <row r="2464">
          <cell r="L2464"/>
        </row>
        <row r="2465">
          <cell r="L2465"/>
        </row>
        <row r="2466">
          <cell r="L2466"/>
        </row>
        <row r="2467">
          <cell r="L2467"/>
        </row>
        <row r="2468">
          <cell r="L2468"/>
        </row>
        <row r="2469">
          <cell r="L2469"/>
        </row>
        <row r="2470">
          <cell r="L2470"/>
        </row>
        <row r="2471">
          <cell r="L2471"/>
        </row>
        <row r="2472">
          <cell r="L2472"/>
        </row>
        <row r="2473">
          <cell r="L2473"/>
        </row>
        <row r="2474">
          <cell r="L2474"/>
        </row>
        <row r="2475">
          <cell r="L2475"/>
        </row>
        <row r="2476">
          <cell r="L2476"/>
        </row>
        <row r="2477">
          <cell r="L2477"/>
        </row>
        <row r="2478">
          <cell r="L2478"/>
        </row>
        <row r="2479">
          <cell r="L2479"/>
        </row>
        <row r="2480">
          <cell r="L2480"/>
        </row>
        <row r="2481">
          <cell r="L2481"/>
        </row>
        <row r="2482">
          <cell r="L2482"/>
        </row>
        <row r="2483">
          <cell r="L2483"/>
        </row>
        <row r="2484">
          <cell r="L2484"/>
        </row>
        <row r="2485">
          <cell r="L2485"/>
        </row>
        <row r="2486">
          <cell r="L2486"/>
        </row>
        <row r="2487">
          <cell r="L2487"/>
        </row>
        <row r="2488">
          <cell r="L2488"/>
        </row>
        <row r="2489">
          <cell r="L2489"/>
        </row>
        <row r="2490">
          <cell r="L2490"/>
        </row>
        <row r="2491">
          <cell r="L2491"/>
        </row>
        <row r="2492">
          <cell r="L2492"/>
        </row>
        <row r="2493">
          <cell r="L2493"/>
        </row>
        <row r="2494">
          <cell r="L2494"/>
        </row>
        <row r="2495">
          <cell r="L2495"/>
        </row>
        <row r="2496">
          <cell r="L2496"/>
        </row>
        <row r="2497">
          <cell r="L2497"/>
        </row>
        <row r="2498">
          <cell r="L2498"/>
        </row>
        <row r="2499">
          <cell r="L2499"/>
        </row>
        <row r="2500">
          <cell r="L2500"/>
        </row>
        <row r="2501">
          <cell r="L2501"/>
        </row>
        <row r="2502">
          <cell r="L2502"/>
        </row>
        <row r="2503">
          <cell r="L2503"/>
        </row>
        <row r="2504">
          <cell r="L2504"/>
        </row>
        <row r="2505">
          <cell r="L2505"/>
        </row>
        <row r="2506">
          <cell r="L2506"/>
        </row>
        <row r="2507">
          <cell r="L2507"/>
        </row>
        <row r="2508">
          <cell r="L2508"/>
        </row>
        <row r="2509">
          <cell r="L2509"/>
        </row>
        <row r="2510">
          <cell r="L2510"/>
        </row>
        <row r="2511">
          <cell r="L2511"/>
        </row>
        <row r="2512">
          <cell r="L2512"/>
        </row>
        <row r="2513">
          <cell r="L2513"/>
        </row>
        <row r="2514">
          <cell r="L2514"/>
        </row>
        <row r="2515">
          <cell r="L2515"/>
        </row>
        <row r="2516">
          <cell r="L2516"/>
        </row>
        <row r="2517">
          <cell r="L2517"/>
        </row>
        <row r="2518">
          <cell r="L2518"/>
        </row>
        <row r="2519">
          <cell r="L2519"/>
        </row>
        <row r="2520">
          <cell r="L2520"/>
        </row>
        <row r="2521">
          <cell r="L2521"/>
        </row>
        <row r="2522">
          <cell r="L2522"/>
        </row>
        <row r="2523">
          <cell r="L2523"/>
        </row>
        <row r="2524">
          <cell r="L2524"/>
        </row>
        <row r="2525">
          <cell r="L2525"/>
        </row>
        <row r="2526">
          <cell r="L2526"/>
        </row>
        <row r="2527">
          <cell r="L2527"/>
        </row>
        <row r="2528">
          <cell r="L2528"/>
        </row>
        <row r="2529">
          <cell r="L2529"/>
        </row>
        <row r="2530">
          <cell r="L2530"/>
        </row>
        <row r="2531">
          <cell r="L2531"/>
        </row>
        <row r="2532">
          <cell r="L2532"/>
        </row>
        <row r="2533">
          <cell r="L2533"/>
        </row>
        <row r="2534">
          <cell r="L2534"/>
        </row>
        <row r="2535">
          <cell r="L2535"/>
        </row>
        <row r="2536">
          <cell r="L2536"/>
        </row>
        <row r="2537">
          <cell r="L2537"/>
        </row>
        <row r="2538">
          <cell r="L2538"/>
        </row>
        <row r="2539">
          <cell r="L2539"/>
        </row>
        <row r="2540">
          <cell r="L2540"/>
        </row>
        <row r="2541">
          <cell r="L2541"/>
        </row>
        <row r="2542">
          <cell r="L2542"/>
        </row>
        <row r="2543">
          <cell r="L2543"/>
        </row>
        <row r="2544">
          <cell r="L2544"/>
        </row>
        <row r="2545">
          <cell r="L2545"/>
        </row>
        <row r="2546">
          <cell r="L2546"/>
        </row>
        <row r="2547">
          <cell r="L2547"/>
        </row>
        <row r="2548">
          <cell r="L2548"/>
        </row>
        <row r="2549">
          <cell r="L2549"/>
        </row>
        <row r="2550">
          <cell r="L2550"/>
        </row>
        <row r="2551">
          <cell r="L2551"/>
        </row>
        <row r="2552">
          <cell r="L2552"/>
        </row>
        <row r="2553">
          <cell r="L2553"/>
        </row>
        <row r="2554">
          <cell r="L2554"/>
        </row>
        <row r="2555">
          <cell r="L2555"/>
        </row>
        <row r="2556">
          <cell r="L2556"/>
        </row>
        <row r="2557">
          <cell r="L2557"/>
        </row>
        <row r="2558">
          <cell r="L2558"/>
        </row>
        <row r="2559">
          <cell r="L2559"/>
        </row>
        <row r="2560">
          <cell r="L2560"/>
        </row>
        <row r="2561">
          <cell r="L2561"/>
        </row>
        <row r="2562">
          <cell r="L2562"/>
        </row>
        <row r="2563">
          <cell r="L2563"/>
        </row>
        <row r="2564">
          <cell r="L2564"/>
        </row>
        <row r="2565">
          <cell r="L2565"/>
        </row>
        <row r="2566">
          <cell r="L2566"/>
        </row>
        <row r="2567">
          <cell r="L2567"/>
        </row>
        <row r="2568">
          <cell r="L2568"/>
        </row>
        <row r="2569">
          <cell r="L2569"/>
        </row>
        <row r="2570">
          <cell r="L2570"/>
        </row>
        <row r="2571">
          <cell r="L2571"/>
        </row>
        <row r="2572">
          <cell r="L2572"/>
        </row>
        <row r="2573">
          <cell r="L2573"/>
        </row>
        <row r="2574">
          <cell r="L2574"/>
        </row>
        <row r="2575">
          <cell r="L2575"/>
        </row>
        <row r="2576">
          <cell r="L2576"/>
        </row>
        <row r="2577">
          <cell r="L2577"/>
        </row>
        <row r="2578">
          <cell r="L2578"/>
        </row>
        <row r="2579">
          <cell r="L2579"/>
        </row>
        <row r="2580">
          <cell r="L2580"/>
        </row>
        <row r="2581">
          <cell r="L2581"/>
        </row>
        <row r="2582">
          <cell r="L2582"/>
        </row>
        <row r="2583">
          <cell r="L2583"/>
        </row>
        <row r="2584">
          <cell r="L2584"/>
        </row>
        <row r="2585">
          <cell r="L2585"/>
        </row>
        <row r="2586">
          <cell r="L2586"/>
        </row>
        <row r="2587">
          <cell r="L2587"/>
        </row>
        <row r="2588">
          <cell r="L2588"/>
        </row>
        <row r="2589">
          <cell r="L2589"/>
        </row>
        <row r="2590">
          <cell r="L2590"/>
        </row>
        <row r="2591">
          <cell r="L2591"/>
        </row>
        <row r="2592">
          <cell r="L2592"/>
        </row>
        <row r="2593">
          <cell r="L2593"/>
        </row>
        <row r="2594">
          <cell r="L2594"/>
        </row>
        <row r="2595">
          <cell r="L2595"/>
        </row>
        <row r="2596">
          <cell r="L2596"/>
        </row>
        <row r="2597">
          <cell r="L2597"/>
        </row>
        <row r="2598">
          <cell r="L2598"/>
        </row>
        <row r="2599">
          <cell r="L2599"/>
        </row>
        <row r="2600">
          <cell r="L2600"/>
        </row>
        <row r="2601">
          <cell r="L2601"/>
        </row>
        <row r="2602">
          <cell r="L2602"/>
        </row>
        <row r="2603">
          <cell r="L2603"/>
        </row>
        <row r="2604">
          <cell r="L2604"/>
        </row>
        <row r="2605">
          <cell r="L2605"/>
        </row>
        <row r="2606">
          <cell r="L2606"/>
        </row>
        <row r="2607">
          <cell r="L2607"/>
        </row>
        <row r="2608">
          <cell r="L2608"/>
        </row>
        <row r="2609">
          <cell r="L2609"/>
        </row>
        <row r="2610">
          <cell r="L2610"/>
        </row>
        <row r="2611">
          <cell r="L2611"/>
        </row>
        <row r="2612">
          <cell r="L2612"/>
        </row>
        <row r="2613">
          <cell r="L2613"/>
        </row>
        <row r="2614">
          <cell r="L2614"/>
        </row>
        <row r="2615">
          <cell r="L2615"/>
        </row>
        <row r="2616">
          <cell r="L2616"/>
        </row>
        <row r="2617">
          <cell r="L2617"/>
        </row>
        <row r="2618">
          <cell r="L2618"/>
        </row>
        <row r="2619">
          <cell r="L2619"/>
        </row>
        <row r="2620">
          <cell r="L2620"/>
        </row>
        <row r="2621">
          <cell r="L2621"/>
        </row>
        <row r="2622">
          <cell r="L2622"/>
        </row>
        <row r="2623">
          <cell r="L2623"/>
        </row>
        <row r="2624">
          <cell r="L2624"/>
        </row>
        <row r="2625">
          <cell r="L2625"/>
        </row>
        <row r="2626">
          <cell r="L2626"/>
        </row>
        <row r="2627">
          <cell r="L2627"/>
        </row>
        <row r="2628">
          <cell r="L2628"/>
        </row>
        <row r="2629">
          <cell r="L2629"/>
        </row>
        <row r="2630">
          <cell r="L2630"/>
        </row>
        <row r="2631">
          <cell r="L2631"/>
        </row>
        <row r="2632">
          <cell r="L2632"/>
        </row>
        <row r="2633">
          <cell r="L2633"/>
        </row>
        <row r="2634">
          <cell r="L2634"/>
        </row>
        <row r="2635">
          <cell r="L2635"/>
        </row>
        <row r="2636">
          <cell r="L2636"/>
        </row>
        <row r="2637">
          <cell r="L2637"/>
        </row>
        <row r="2638">
          <cell r="L2638"/>
        </row>
        <row r="2639">
          <cell r="L2639"/>
        </row>
        <row r="2640">
          <cell r="L2640"/>
        </row>
        <row r="2641">
          <cell r="L2641"/>
        </row>
        <row r="2642">
          <cell r="L2642"/>
        </row>
        <row r="2643">
          <cell r="L2643"/>
        </row>
        <row r="2644">
          <cell r="L2644"/>
        </row>
        <row r="2645">
          <cell r="L2645"/>
        </row>
        <row r="2646">
          <cell r="L2646"/>
        </row>
        <row r="2647">
          <cell r="L2647"/>
        </row>
        <row r="2648">
          <cell r="L2648"/>
        </row>
        <row r="2649">
          <cell r="L2649"/>
        </row>
        <row r="2650">
          <cell r="L2650"/>
        </row>
        <row r="2651">
          <cell r="L2651"/>
        </row>
        <row r="2652">
          <cell r="L2652"/>
        </row>
        <row r="2653">
          <cell r="L2653"/>
        </row>
        <row r="2654">
          <cell r="L2654"/>
        </row>
        <row r="2655">
          <cell r="L2655"/>
        </row>
        <row r="2656">
          <cell r="L2656"/>
        </row>
        <row r="2657">
          <cell r="L2657"/>
        </row>
        <row r="2658">
          <cell r="L2658"/>
        </row>
        <row r="2659">
          <cell r="L2659"/>
        </row>
        <row r="2660">
          <cell r="L2660"/>
        </row>
        <row r="2661">
          <cell r="L2661"/>
        </row>
        <row r="2662">
          <cell r="L2662"/>
        </row>
        <row r="2663">
          <cell r="L2663"/>
        </row>
        <row r="2664">
          <cell r="L2664"/>
        </row>
        <row r="2665">
          <cell r="L2665"/>
        </row>
        <row r="2666">
          <cell r="L2666"/>
        </row>
        <row r="2667">
          <cell r="L2667"/>
        </row>
        <row r="2668">
          <cell r="L2668"/>
        </row>
        <row r="2669">
          <cell r="L2669"/>
        </row>
        <row r="2670">
          <cell r="L2670"/>
        </row>
        <row r="2671">
          <cell r="L2671"/>
        </row>
        <row r="2672">
          <cell r="L2672"/>
        </row>
        <row r="2673">
          <cell r="L2673"/>
        </row>
        <row r="2674">
          <cell r="L2674"/>
        </row>
        <row r="2675">
          <cell r="L2675"/>
        </row>
        <row r="2676">
          <cell r="L2676"/>
        </row>
        <row r="2677">
          <cell r="L2677"/>
        </row>
        <row r="2678">
          <cell r="L2678"/>
        </row>
        <row r="2679">
          <cell r="L2679"/>
        </row>
        <row r="2680">
          <cell r="L2680"/>
        </row>
        <row r="2681">
          <cell r="L2681"/>
        </row>
        <row r="2682">
          <cell r="L2682"/>
        </row>
        <row r="2683">
          <cell r="L2683"/>
        </row>
        <row r="2684">
          <cell r="L2684"/>
        </row>
        <row r="2685">
          <cell r="L2685"/>
        </row>
        <row r="2686">
          <cell r="L2686"/>
        </row>
        <row r="2687">
          <cell r="L2687"/>
        </row>
        <row r="2688">
          <cell r="L2688"/>
        </row>
        <row r="2689">
          <cell r="L2689"/>
        </row>
        <row r="2690">
          <cell r="L2690"/>
        </row>
        <row r="2691">
          <cell r="L2691"/>
        </row>
        <row r="2692">
          <cell r="L2692"/>
        </row>
        <row r="2693">
          <cell r="L2693"/>
        </row>
        <row r="2694">
          <cell r="L2694"/>
        </row>
        <row r="2695">
          <cell r="L2695"/>
        </row>
        <row r="2696">
          <cell r="L2696"/>
        </row>
        <row r="2697">
          <cell r="L2697"/>
        </row>
        <row r="2698">
          <cell r="L2698"/>
        </row>
        <row r="2699">
          <cell r="L2699"/>
        </row>
        <row r="2700">
          <cell r="L2700"/>
        </row>
        <row r="2701">
          <cell r="L2701"/>
        </row>
        <row r="2702">
          <cell r="L2702"/>
        </row>
        <row r="2703">
          <cell r="L2703"/>
        </row>
        <row r="2704">
          <cell r="L2704"/>
        </row>
        <row r="2705">
          <cell r="L2705"/>
        </row>
        <row r="2706">
          <cell r="L2706"/>
        </row>
        <row r="2707">
          <cell r="L2707"/>
        </row>
        <row r="2708">
          <cell r="L2708"/>
        </row>
        <row r="2709">
          <cell r="L2709"/>
        </row>
        <row r="2710">
          <cell r="L2710"/>
        </row>
        <row r="2711">
          <cell r="L2711"/>
        </row>
        <row r="2712">
          <cell r="L2712"/>
        </row>
        <row r="2713">
          <cell r="L2713"/>
        </row>
        <row r="2714">
          <cell r="L2714"/>
        </row>
        <row r="2715">
          <cell r="L2715"/>
        </row>
        <row r="2716">
          <cell r="L2716"/>
        </row>
        <row r="2717">
          <cell r="L2717"/>
        </row>
        <row r="2718">
          <cell r="L2718"/>
        </row>
        <row r="2719">
          <cell r="L2719"/>
        </row>
        <row r="2720">
          <cell r="L2720"/>
        </row>
        <row r="2721">
          <cell r="L2721"/>
        </row>
        <row r="2722">
          <cell r="L2722"/>
        </row>
        <row r="2723">
          <cell r="L2723"/>
        </row>
        <row r="2724">
          <cell r="L2724"/>
        </row>
        <row r="2725">
          <cell r="L2725"/>
        </row>
        <row r="2726">
          <cell r="L2726"/>
        </row>
        <row r="2727">
          <cell r="L2727"/>
        </row>
        <row r="2728">
          <cell r="L2728"/>
        </row>
        <row r="2729">
          <cell r="L2729"/>
        </row>
        <row r="2730">
          <cell r="L2730"/>
        </row>
        <row r="2731">
          <cell r="L2731"/>
        </row>
        <row r="2732">
          <cell r="L2732"/>
        </row>
        <row r="2733">
          <cell r="L2733"/>
        </row>
        <row r="2734">
          <cell r="L2734"/>
        </row>
        <row r="2735">
          <cell r="L2735"/>
        </row>
        <row r="2736">
          <cell r="L2736"/>
        </row>
        <row r="2737">
          <cell r="L2737"/>
        </row>
        <row r="2738">
          <cell r="L2738"/>
        </row>
        <row r="2739">
          <cell r="L2739"/>
        </row>
        <row r="2740">
          <cell r="L2740"/>
        </row>
        <row r="2741">
          <cell r="L2741"/>
        </row>
        <row r="2742">
          <cell r="L2742"/>
        </row>
        <row r="2743">
          <cell r="L2743"/>
        </row>
        <row r="2744">
          <cell r="L2744"/>
        </row>
        <row r="2745">
          <cell r="L2745"/>
        </row>
        <row r="2746">
          <cell r="L2746"/>
        </row>
        <row r="2747">
          <cell r="L2747"/>
        </row>
        <row r="2748">
          <cell r="L2748"/>
        </row>
        <row r="2749">
          <cell r="L2749"/>
        </row>
        <row r="2750">
          <cell r="L2750"/>
        </row>
        <row r="2751">
          <cell r="L2751"/>
        </row>
        <row r="2752">
          <cell r="L2752"/>
        </row>
        <row r="2753">
          <cell r="L2753"/>
        </row>
        <row r="2754">
          <cell r="L2754"/>
        </row>
        <row r="2755">
          <cell r="L2755"/>
        </row>
        <row r="2756">
          <cell r="L2756"/>
        </row>
        <row r="2757">
          <cell r="L2757"/>
        </row>
        <row r="2758">
          <cell r="L2758"/>
        </row>
        <row r="2759">
          <cell r="L2759"/>
        </row>
        <row r="2760">
          <cell r="L2760"/>
        </row>
        <row r="2761">
          <cell r="L2761"/>
        </row>
        <row r="2762">
          <cell r="L2762"/>
        </row>
        <row r="2763">
          <cell r="L2763"/>
        </row>
        <row r="2764">
          <cell r="L2764"/>
        </row>
        <row r="2765">
          <cell r="L2765"/>
        </row>
        <row r="2766">
          <cell r="L2766"/>
        </row>
        <row r="2767">
          <cell r="L2767"/>
        </row>
        <row r="2768">
          <cell r="L2768"/>
        </row>
        <row r="2769">
          <cell r="L2769"/>
        </row>
        <row r="2770">
          <cell r="L2770"/>
        </row>
        <row r="2771">
          <cell r="L2771"/>
        </row>
        <row r="2772">
          <cell r="L2772"/>
        </row>
        <row r="2773">
          <cell r="L2773"/>
        </row>
        <row r="2774">
          <cell r="L2774"/>
        </row>
        <row r="2775">
          <cell r="L2775"/>
        </row>
        <row r="2776">
          <cell r="L2776"/>
        </row>
        <row r="2777">
          <cell r="L2777"/>
        </row>
        <row r="2778">
          <cell r="L2778"/>
        </row>
        <row r="2779">
          <cell r="L2779"/>
        </row>
        <row r="2780">
          <cell r="L2780"/>
        </row>
        <row r="2781">
          <cell r="L2781"/>
        </row>
        <row r="2782">
          <cell r="L2782"/>
        </row>
        <row r="2783">
          <cell r="L2783"/>
        </row>
        <row r="2784">
          <cell r="L2784"/>
        </row>
        <row r="2785">
          <cell r="L2785"/>
        </row>
        <row r="2786">
          <cell r="L2786"/>
        </row>
        <row r="2787">
          <cell r="L2787"/>
        </row>
        <row r="2788">
          <cell r="L2788"/>
        </row>
        <row r="2789">
          <cell r="L2789"/>
        </row>
        <row r="2790">
          <cell r="L2790"/>
        </row>
        <row r="2791">
          <cell r="L2791"/>
        </row>
        <row r="2792">
          <cell r="L2792"/>
        </row>
        <row r="2793">
          <cell r="L2793"/>
        </row>
        <row r="2794">
          <cell r="L2794"/>
        </row>
        <row r="2795">
          <cell r="L2795"/>
        </row>
        <row r="2796">
          <cell r="L2796"/>
        </row>
        <row r="2797">
          <cell r="L2797"/>
        </row>
        <row r="2798">
          <cell r="L2798"/>
        </row>
        <row r="2799">
          <cell r="L2799"/>
        </row>
        <row r="2800">
          <cell r="L2800"/>
        </row>
        <row r="2801">
          <cell r="L2801"/>
        </row>
        <row r="2802">
          <cell r="L2802"/>
        </row>
        <row r="2803">
          <cell r="L2803"/>
        </row>
        <row r="2804">
          <cell r="L2804"/>
        </row>
        <row r="2805">
          <cell r="L2805"/>
        </row>
        <row r="2806">
          <cell r="L2806"/>
        </row>
        <row r="2807">
          <cell r="L2807"/>
        </row>
        <row r="2808">
          <cell r="L2808"/>
        </row>
        <row r="2809">
          <cell r="L2809"/>
        </row>
        <row r="2810">
          <cell r="L2810"/>
        </row>
        <row r="2811">
          <cell r="L2811"/>
        </row>
        <row r="2812">
          <cell r="L2812"/>
        </row>
        <row r="2813">
          <cell r="L2813"/>
        </row>
        <row r="2814">
          <cell r="L2814"/>
        </row>
        <row r="2815">
          <cell r="L2815"/>
        </row>
        <row r="2816">
          <cell r="L2816"/>
        </row>
        <row r="2817">
          <cell r="L2817"/>
        </row>
        <row r="2818">
          <cell r="L2818"/>
        </row>
        <row r="2819">
          <cell r="L2819"/>
        </row>
        <row r="2820">
          <cell r="L2820"/>
        </row>
        <row r="2821">
          <cell r="L2821"/>
        </row>
        <row r="2822">
          <cell r="L2822"/>
        </row>
        <row r="2823">
          <cell r="L2823"/>
        </row>
        <row r="2824">
          <cell r="L2824"/>
        </row>
        <row r="2825">
          <cell r="L2825"/>
        </row>
        <row r="2826">
          <cell r="L2826"/>
        </row>
        <row r="2827">
          <cell r="L2827"/>
        </row>
        <row r="2828">
          <cell r="L2828"/>
        </row>
        <row r="2829">
          <cell r="L2829"/>
        </row>
        <row r="2830">
          <cell r="L2830"/>
        </row>
        <row r="2831">
          <cell r="L2831"/>
        </row>
        <row r="2832">
          <cell r="L2832"/>
        </row>
        <row r="2833">
          <cell r="L2833"/>
        </row>
        <row r="2834">
          <cell r="L2834"/>
        </row>
        <row r="2835">
          <cell r="L2835"/>
        </row>
        <row r="2836">
          <cell r="L2836"/>
        </row>
        <row r="2837">
          <cell r="L2837"/>
        </row>
        <row r="2838">
          <cell r="L2838"/>
        </row>
        <row r="2839">
          <cell r="L2839"/>
        </row>
        <row r="2840">
          <cell r="L2840"/>
        </row>
        <row r="2841">
          <cell r="L2841"/>
        </row>
        <row r="2842">
          <cell r="L2842"/>
        </row>
        <row r="2843">
          <cell r="L2843"/>
        </row>
        <row r="2844">
          <cell r="L2844"/>
        </row>
        <row r="2845">
          <cell r="L2845"/>
        </row>
        <row r="2846">
          <cell r="L2846"/>
        </row>
        <row r="2847">
          <cell r="L2847"/>
        </row>
        <row r="2848">
          <cell r="L2848"/>
        </row>
        <row r="2849">
          <cell r="L2849"/>
        </row>
        <row r="2850">
          <cell r="L2850"/>
        </row>
        <row r="2851">
          <cell r="L2851"/>
        </row>
        <row r="2852">
          <cell r="L2852"/>
        </row>
        <row r="2853">
          <cell r="L2853"/>
        </row>
        <row r="2854">
          <cell r="L2854"/>
        </row>
        <row r="2855">
          <cell r="L2855"/>
        </row>
        <row r="2856">
          <cell r="L2856"/>
        </row>
        <row r="2857">
          <cell r="L2857"/>
        </row>
        <row r="2858">
          <cell r="L2858"/>
        </row>
        <row r="2859">
          <cell r="L2859"/>
        </row>
        <row r="2860">
          <cell r="L2860"/>
        </row>
        <row r="2861">
          <cell r="L2861"/>
        </row>
        <row r="2862">
          <cell r="L2862"/>
        </row>
        <row r="2863">
          <cell r="L2863"/>
        </row>
        <row r="2864">
          <cell r="L2864"/>
        </row>
        <row r="2865">
          <cell r="L2865"/>
        </row>
        <row r="2866">
          <cell r="L2866"/>
        </row>
        <row r="2867">
          <cell r="L2867"/>
        </row>
        <row r="2868">
          <cell r="L2868"/>
        </row>
        <row r="2869">
          <cell r="L2869"/>
        </row>
        <row r="2870">
          <cell r="L2870"/>
        </row>
        <row r="2871">
          <cell r="L2871"/>
        </row>
        <row r="2872">
          <cell r="L2872"/>
        </row>
        <row r="2873">
          <cell r="L2873"/>
        </row>
        <row r="2874">
          <cell r="L2874"/>
        </row>
        <row r="2875">
          <cell r="L2875"/>
        </row>
        <row r="2876">
          <cell r="L2876"/>
        </row>
        <row r="2877">
          <cell r="L2877"/>
        </row>
        <row r="2878">
          <cell r="L2878"/>
        </row>
        <row r="2879">
          <cell r="L2879"/>
        </row>
        <row r="2880">
          <cell r="L2880"/>
        </row>
        <row r="2881">
          <cell r="L2881"/>
        </row>
        <row r="2882">
          <cell r="L2882"/>
        </row>
        <row r="2883">
          <cell r="L2883"/>
        </row>
        <row r="2884">
          <cell r="L2884"/>
        </row>
        <row r="2885">
          <cell r="L2885"/>
        </row>
        <row r="2886">
          <cell r="L2886"/>
        </row>
        <row r="2887">
          <cell r="L2887"/>
        </row>
        <row r="2888">
          <cell r="L2888"/>
        </row>
        <row r="2889">
          <cell r="L2889"/>
        </row>
        <row r="2890">
          <cell r="L2890"/>
        </row>
        <row r="2891">
          <cell r="L2891"/>
        </row>
        <row r="2892">
          <cell r="L2892"/>
        </row>
        <row r="2893">
          <cell r="L2893"/>
        </row>
        <row r="2894">
          <cell r="L2894"/>
        </row>
        <row r="2895">
          <cell r="L2895"/>
        </row>
        <row r="2896">
          <cell r="L2896"/>
        </row>
        <row r="2897">
          <cell r="L2897"/>
        </row>
        <row r="2898">
          <cell r="L2898"/>
        </row>
        <row r="2899">
          <cell r="L2899"/>
        </row>
        <row r="2900">
          <cell r="L2900"/>
        </row>
        <row r="2901">
          <cell r="L2901"/>
        </row>
        <row r="2902">
          <cell r="L2902"/>
        </row>
        <row r="2903">
          <cell r="L2903"/>
        </row>
        <row r="2904">
          <cell r="L2904"/>
        </row>
        <row r="2905">
          <cell r="L2905"/>
        </row>
        <row r="2906">
          <cell r="L2906"/>
        </row>
        <row r="2907">
          <cell r="L2907"/>
        </row>
        <row r="2908">
          <cell r="L2908"/>
        </row>
        <row r="2909">
          <cell r="L2909"/>
        </row>
        <row r="2910">
          <cell r="L2910"/>
        </row>
        <row r="2911">
          <cell r="L2911"/>
        </row>
        <row r="2912">
          <cell r="L2912"/>
        </row>
        <row r="2913">
          <cell r="L2913"/>
        </row>
        <row r="2914">
          <cell r="L2914"/>
        </row>
        <row r="2915">
          <cell r="L2915"/>
        </row>
        <row r="2916">
          <cell r="L2916"/>
        </row>
        <row r="2917">
          <cell r="L2917"/>
        </row>
        <row r="2918">
          <cell r="L2918"/>
        </row>
        <row r="2919">
          <cell r="L2919"/>
        </row>
        <row r="2920">
          <cell r="L2920"/>
        </row>
        <row r="2921">
          <cell r="L2921"/>
        </row>
        <row r="2922">
          <cell r="L2922"/>
        </row>
        <row r="2923">
          <cell r="L2923"/>
        </row>
        <row r="2924">
          <cell r="L2924"/>
        </row>
        <row r="2925">
          <cell r="L2925"/>
        </row>
        <row r="2926">
          <cell r="L2926"/>
        </row>
        <row r="2927">
          <cell r="L2927"/>
        </row>
        <row r="2928">
          <cell r="L2928"/>
        </row>
        <row r="2929">
          <cell r="L2929"/>
        </row>
        <row r="2930">
          <cell r="L2930"/>
        </row>
        <row r="2931">
          <cell r="L2931"/>
        </row>
        <row r="2932">
          <cell r="L2932"/>
        </row>
        <row r="2933">
          <cell r="L2933"/>
        </row>
        <row r="2934">
          <cell r="L2934"/>
        </row>
        <row r="2935">
          <cell r="L2935"/>
        </row>
        <row r="2936">
          <cell r="L2936"/>
        </row>
        <row r="2937">
          <cell r="L2937"/>
        </row>
        <row r="2938">
          <cell r="L2938"/>
        </row>
        <row r="2939">
          <cell r="L2939"/>
        </row>
        <row r="2940">
          <cell r="L2940"/>
        </row>
        <row r="2941">
          <cell r="L2941"/>
        </row>
        <row r="2942">
          <cell r="L2942"/>
        </row>
        <row r="2943">
          <cell r="L2943"/>
        </row>
        <row r="2944">
          <cell r="L2944"/>
        </row>
        <row r="2945">
          <cell r="L2945"/>
        </row>
        <row r="2946">
          <cell r="L2946"/>
        </row>
        <row r="2947">
          <cell r="L2947"/>
        </row>
        <row r="2948">
          <cell r="L2948"/>
        </row>
        <row r="2949">
          <cell r="L2949"/>
        </row>
        <row r="2950">
          <cell r="L2950"/>
        </row>
        <row r="2951">
          <cell r="L2951"/>
        </row>
        <row r="2952">
          <cell r="L2952"/>
        </row>
        <row r="2953">
          <cell r="L2953"/>
        </row>
        <row r="2954">
          <cell r="L2954"/>
        </row>
        <row r="2955">
          <cell r="L2955"/>
        </row>
        <row r="2956">
          <cell r="L2956"/>
        </row>
        <row r="2957">
          <cell r="L2957"/>
        </row>
        <row r="2958">
          <cell r="L2958"/>
        </row>
        <row r="2959">
          <cell r="L2959"/>
        </row>
        <row r="2960">
          <cell r="L2960"/>
        </row>
        <row r="2961">
          <cell r="L2961"/>
        </row>
        <row r="2962">
          <cell r="L2962"/>
        </row>
        <row r="2963">
          <cell r="L2963"/>
        </row>
        <row r="2964">
          <cell r="L2964"/>
        </row>
        <row r="2965">
          <cell r="L2965"/>
        </row>
        <row r="2966">
          <cell r="L2966"/>
        </row>
        <row r="2967">
          <cell r="L2967"/>
        </row>
        <row r="2968">
          <cell r="L2968"/>
        </row>
        <row r="2969">
          <cell r="L2969"/>
        </row>
        <row r="2970">
          <cell r="L2970"/>
        </row>
        <row r="2971">
          <cell r="L2971"/>
        </row>
        <row r="2972">
          <cell r="L2972"/>
        </row>
        <row r="2973">
          <cell r="L2973"/>
        </row>
        <row r="2974">
          <cell r="L2974"/>
        </row>
        <row r="2975">
          <cell r="L2975"/>
        </row>
        <row r="2976">
          <cell r="L2976"/>
        </row>
        <row r="2977">
          <cell r="L2977"/>
        </row>
        <row r="2978">
          <cell r="L2978"/>
        </row>
        <row r="2979">
          <cell r="L2979"/>
        </row>
        <row r="2980">
          <cell r="L2980"/>
        </row>
        <row r="2981">
          <cell r="L2981"/>
        </row>
        <row r="2982">
          <cell r="L2982"/>
        </row>
        <row r="2983">
          <cell r="L2983"/>
        </row>
        <row r="2984">
          <cell r="L2984"/>
        </row>
        <row r="2985">
          <cell r="L2985"/>
        </row>
        <row r="2986">
          <cell r="L2986"/>
        </row>
        <row r="2987">
          <cell r="L2987"/>
        </row>
        <row r="2988">
          <cell r="L2988"/>
        </row>
        <row r="2989">
          <cell r="L2989"/>
        </row>
        <row r="2990">
          <cell r="L2990"/>
        </row>
        <row r="2991">
          <cell r="L2991"/>
        </row>
        <row r="2992">
          <cell r="L2992"/>
        </row>
        <row r="2993">
          <cell r="L2993"/>
        </row>
        <row r="2994">
          <cell r="L2994"/>
        </row>
        <row r="2995">
          <cell r="L2995"/>
        </row>
        <row r="2996">
          <cell r="L2996"/>
        </row>
        <row r="2997">
          <cell r="L2997"/>
        </row>
        <row r="2998">
          <cell r="L2998"/>
        </row>
        <row r="2999">
          <cell r="L2999"/>
        </row>
        <row r="3000">
          <cell r="L3000"/>
        </row>
        <row r="3001">
          <cell r="L3001"/>
        </row>
        <row r="3002">
          <cell r="L3002"/>
        </row>
        <row r="3003">
          <cell r="L3003"/>
        </row>
        <row r="3004">
          <cell r="L3004"/>
        </row>
        <row r="3005">
          <cell r="L3005"/>
        </row>
        <row r="3006">
          <cell r="L3006"/>
        </row>
        <row r="3007">
          <cell r="L3007"/>
        </row>
        <row r="3008">
          <cell r="L3008"/>
        </row>
        <row r="3009">
          <cell r="L3009"/>
        </row>
        <row r="3010">
          <cell r="L3010"/>
        </row>
        <row r="3011">
          <cell r="L3011"/>
        </row>
        <row r="3012">
          <cell r="L3012"/>
        </row>
        <row r="3013">
          <cell r="L3013"/>
        </row>
        <row r="3014">
          <cell r="L3014"/>
        </row>
        <row r="3015">
          <cell r="L3015"/>
        </row>
        <row r="3016">
          <cell r="L3016"/>
        </row>
        <row r="3017">
          <cell r="L3017"/>
        </row>
        <row r="3018">
          <cell r="L3018"/>
        </row>
        <row r="3019">
          <cell r="L3019"/>
        </row>
        <row r="3020">
          <cell r="L3020"/>
        </row>
        <row r="3021">
          <cell r="L3021"/>
        </row>
        <row r="3022">
          <cell r="L3022"/>
        </row>
        <row r="3023">
          <cell r="L3023"/>
        </row>
        <row r="3024">
          <cell r="L3024"/>
        </row>
        <row r="3025">
          <cell r="L3025"/>
        </row>
        <row r="3026">
          <cell r="L3026"/>
        </row>
        <row r="3027">
          <cell r="L3027"/>
        </row>
        <row r="3028">
          <cell r="L3028"/>
        </row>
        <row r="3029">
          <cell r="L3029"/>
        </row>
        <row r="3030">
          <cell r="L3030"/>
        </row>
        <row r="3031">
          <cell r="L3031"/>
        </row>
        <row r="3032">
          <cell r="L3032"/>
        </row>
        <row r="3033">
          <cell r="L3033"/>
        </row>
        <row r="3034">
          <cell r="L3034"/>
        </row>
        <row r="3035">
          <cell r="L3035"/>
        </row>
        <row r="3036">
          <cell r="L3036"/>
        </row>
        <row r="3037">
          <cell r="L3037"/>
        </row>
        <row r="3038">
          <cell r="L3038"/>
        </row>
        <row r="3039">
          <cell r="L3039"/>
        </row>
        <row r="3040">
          <cell r="L3040"/>
        </row>
        <row r="3041">
          <cell r="L3041"/>
        </row>
        <row r="3042">
          <cell r="L3042"/>
        </row>
        <row r="3043">
          <cell r="L3043"/>
        </row>
        <row r="3044">
          <cell r="L3044"/>
        </row>
        <row r="3045">
          <cell r="L3045"/>
        </row>
        <row r="3046">
          <cell r="L3046"/>
        </row>
        <row r="3047">
          <cell r="L3047"/>
        </row>
        <row r="3048">
          <cell r="L3048"/>
        </row>
        <row r="3049">
          <cell r="L3049"/>
        </row>
        <row r="3050">
          <cell r="L3050"/>
        </row>
        <row r="3051">
          <cell r="L3051"/>
        </row>
        <row r="3052">
          <cell r="L3052"/>
        </row>
        <row r="3053">
          <cell r="L3053"/>
        </row>
        <row r="3054">
          <cell r="L3054"/>
        </row>
        <row r="3055">
          <cell r="L3055"/>
        </row>
        <row r="3056">
          <cell r="L3056"/>
        </row>
        <row r="3057">
          <cell r="L3057"/>
        </row>
        <row r="3058">
          <cell r="L3058"/>
        </row>
        <row r="3059">
          <cell r="L3059"/>
        </row>
        <row r="3060">
          <cell r="L3060"/>
        </row>
        <row r="3061">
          <cell r="L3061"/>
        </row>
        <row r="3062">
          <cell r="L3062"/>
        </row>
        <row r="3063">
          <cell r="L3063"/>
        </row>
        <row r="3064">
          <cell r="L3064"/>
        </row>
        <row r="3065">
          <cell r="L3065"/>
        </row>
        <row r="3066">
          <cell r="L3066"/>
        </row>
        <row r="3067">
          <cell r="L3067"/>
        </row>
        <row r="3068">
          <cell r="L3068"/>
        </row>
        <row r="3069">
          <cell r="L3069"/>
        </row>
        <row r="3070">
          <cell r="L3070"/>
        </row>
        <row r="3071">
          <cell r="L3071"/>
        </row>
        <row r="3072">
          <cell r="L3072"/>
        </row>
        <row r="3073">
          <cell r="L3073"/>
        </row>
        <row r="3074">
          <cell r="L3074"/>
        </row>
        <row r="3075">
          <cell r="L3075"/>
        </row>
        <row r="3076">
          <cell r="L3076"/>
        </row>
        <row r="3077">
          <cell r="L3077"/>
        </row>
        <row r="3078">
          <cell r="L3078"/>
        </row>
        <row r="3079">
          <cell r="L3079"/>
        </row>
        <row r="3080">
          <cell r="L3080"/>
        </row>
        <row r="3081">
          <cell r="L3081"/>
        </row>
        <row r="3082">
          <cell r="L3082"/>
        </row>
        <row r="3083">
          <cell r="L3083"/>
        </row>
        <row r="3084">
          <cell r="L3084"/>
        </row>
        <row r="3085">
          <cell r="L3085"/>
        </row>
        <row r="3086">
          <cell r="L3086"/>
        </row>
        <row r="3087">
          <cell r="L3087"/>
        </row>
        <row r="3088">
          <cell r="L3088"/>
        </row>
        <row r="3089">
          <cell r="L3089"/>
        </row>
        <row r="3090">
          <cell r="L3090"/>
        </row>
        <row r="3091">
          <cell r="L3091"/>
        </row>
        <row r="3092">
          <cell r="L3092"/>
        </row>
        <row r="3093">
          <cell r="L3093"/>
        </row>
        <row r="3094">
          <cell r="L3094"/>
        </row>
        <row r="3095">
          <cell r="L3095"/>
        </row>
        <row r="3096">
          <cell r="L3096"/>
        </row>
        <row r="3097">
          <cell r="L3097"/>
        </row>
        <row r="3098">
          <cell r="L3098"/>
        </row>
        <row r="3099">
          <cell r="L3099"/>
        </row>
        <row r="3100">
          <cell r="L3100"/>
        </row>
        <row r="3101">
          <cell r="L3101"/>
        </row>
        <row r="3102">
          <cell r="L3102"/>
        </row>
        <row r="3103">
          <cell r="L3103"/>
        </row>
        <row r="3104">
          <cell r="L3104"/>
        </row>
        <row r="3105">
          <cell r="L3105"/>
        </row>
        <row r="3106">
          <cell r="L3106"/>
        </row>
        <row r="3107">
          <cell r="L3107"/>
        </row>
        <row r="3108">
          <cell r="L3108"/>
        </row>
        <row r="3109">
          <cell r="L3109"/>
        </row>
        <row r="3110">
          <cell r="L3110"/>
        </row>
        <row r="3111">
          <cell r="L3111"/>
        </row>
        <row r="3112">
          <cell r="L3112"/>
        </row>
        <row r="3113">
          <cell r="L3113"/>
        </row>
        <row r="3114">
          <cell r="L3114"/>
        </row>
        <row r="3115">
          <cell r="L3115"/>
        </row>
        <row r="3116">
          <cell r="L3116"/>
        </row>
        <row r="3117">
          <cell r="L3117"/>
        </row>
        <row r="3118">
          <cell r="L3118"/>
        </row>
        <row r="3119">
          <cell r="L3119"/>
        </row>
        <row r="3120">
          <cell r="L3120"/>
        </row>
        <row r="3121">
          <cell r="L3121"/>
        </row>
        <row r="3122">
          <cell r="L3122"/>
        </row>
        <row r="3123">
          <cell r="L3123"/>
        </row>
        <row r="3124">
          <cell r="L3124"/>
        </row>
        <row r="3125">
          <cell r="L3125"/>
        </row>
        <row r="3126">
          <cell r="L3126"/>
        </row>
        <row r="3127">
          <cell r="L3127"/>
        </row>
        <row r="3128">
          <cell r="L3128"/>
        </row>
        <row r="3129">
          <cell r="L3129"/>
        </row>
        <row r="3130">
          <cell r="L3130"/>
        </row>
        <row r="3131">
          <cell r="L3131"/>
        </row>
        <row r="3132">
          <cell r="L3132"/>
        </row>
        <row r="3133">
          <cell r="L3133"/>
        </row>
        <row r="3134">
          <cell r="L3134"/>
        </row>
        <row r="3135">
          <cell r="L3135"/>
        </row>
        <row r="3136">
          <cell r="L3136"/>
        </row>
        <row r="3137">
          <cell r="L3137"/>
        </row>
        <row r="3138">
          <cell r="L3138"/>
        </row>
        <row r="3139">
          <cell r="L3139"/>
        </row>
        <row r="3140">
          <cell r="L3140"/>
        </row>
        <row r="3141">
          <cell r="L3141"/>
        </row>
        <row r="3142">
          <cell r="L3142"/>
        </row>
        <row r="3143">
          <cell r="L3143"/>
        </row>
        <row r="3144">
          <cell r="L3144"/>
        </row>
        <row r="3145">
          <cell r="L3145"/>
        </row>
        <row r="3146">
          <cell r="L3146"/>
        </row>
        <row r="3147">
          <cell r="L3147"/>
        </row>
        <row r="3148">
          <cell r="L3148"/>
        </row>
        <row r="3149">
          <cell r="L3149"/>
        </row>
        <row r="3150">
          <cell r="L3150"/>
        </row>
        <row r="3151">
          <cell r="L3151"/>
        </row>
        <row r="3152">
          <cell r="L3152"/>
        </row>
        <row r="3153">
          <cell r="L3153"/>
        </row>
        <row r="3154">
          <cell r="L3154"/>
        </row>
        <row r="3155">
          <cell r="L3155"/>
        </row>
        <row r="3156">
          <cell r="L3156"/>
        </row>
        <row r="3157">
          <cell r="L3157"/>
        </row>
        <row r="3158">
          <cell r="L3158"/>
        </row>
        <row r="3159">
          <cell r="L3159"/>
        </row>
        <row r="3160">
          <cell r="L3160"/>
        </row>
        <row r="3161">
          <cell r="L3161"/>
        </row>
        <row r="3162">
          <cell r="L3162"/>
        </row>
        <row r="3163">
          <cell r="L3163"/>
        </row>
        <row r="3164">
          <cell r="L3164"/>
        </row>
        <row r="3165">
          <cell r="L3165"/>
        </row>
        <row r="3166">
          <cell r="L3166"/>
        </row>
        <row r="3167">
          <cell r="L3167"/>
        </row>
        <row r="3168">
          <cell r="L3168"/>
        </row>
        <row r="3169">
          <cell r="L3169"/>
        </row>
        <row r="3170">
          <cell r="L3170"/>
        </row>
        <row r="3171">
          <cell r="L3171"/>
        </row>
        <row r="3172">
          <cell r="L3172"/>
        </row>
        <row r="3173">
          <cell r="L3173"/>
        </row>
        <row r="3174">
          <cell r="L3174"/>
        </row>
        <row r="3175">
          <cell r="L3175"/>
        </row>
        <row r="3176">
          <cell r="L3176"/>
        </row>
        <row r="3177">
          <cell r="L3177"/>
        </row>
        <row r="3178">
          <cell r="L3178"/>
        </row>
        <row r="3179">
          <cell r="L3179"/>
        </row>
        <row r="3180">
          <cell r="L3180"/>
        </row>
        <row r="3181">
          <cell r="L3181"/>
        </row>
        <row r="3182">
          <cell r="L3182"/>
        </row>
        <row r="3183">
          <cell r="L3183"/>
        </row>
        <row r="3184">
          <cell r="L3184"/>
        </row>
        <row r="3185">
          <cell r="L3185"/>
        </row>
        <row r="3186">
          <cell r="L3186"/>
        </row>
        <row r="3187">
          <cell r="L3187"/>
        </row>
        <row r="3188">
          <cell r="L3188"/>
        </row>
        <row r="3189">
          <cell r="L3189"/>
        </row>
        <row r="3190">
          <cell r="L3190"/>
        </row>
        <row r="3191">
          <cell r="L3191"/>
        </row>
        <row r="3192">
          <cell r="L3192"/>
        </row>
        <row r="3193">
          <cell r="L3193"/>
        </row>
        <row r="3194">
          <cell r="L3194"/>
        </row>
        <row r="3195">
          <cell r="L3195"/>
        </row>
        <row r="3196">
          <cell r="L3196"/>
        </row>
        <row r="3197">
          <cell r="L3197"/>
        </row>
        <row r="3198">
          <cell r="L3198"/>
        </row>
        <row r="3199">
          <cell r="L3199"/>
        </row>
        <row r="3200">
          <cell r="L3200"/>
        </row>
        <row r="3201">
          <cell r="L3201"/>
        </row>
        <row r="3202">
          <cell r="L3202"/>
        </row>
        <row r="3203">
          <cell r="L3203"/>
        </row>
        <row r="3204">
          <cell r="L3204"/>
        </row>
        <row r="3205">
          <cell r="L3205"/>
        </row>
        <row r="3206">
          <cell r="L3206"/>
        </row>
        <row r="3207">
          <cell r="L3207"/>
        </row>
        <row r="3208">
          <cell r="L3208"/>
        </row>
        <row r="3209">
          <cell r="L3209"/>
        </row>
        <row r="3210">
          <cell r="L3210"/>
        </row>
        <row r="3211">
          <cell r="L3211"/>
        </row>
        <row r="3212">
          <cell r="L3212"/>
        </row>
        <row r="3213">
          <cell r="L3213"/>
        </row>
        <row r="3214">
          <cell r="L3214"/>
        </row>
        <row r="3215">
          <cell r="L3215"/>
        </row>
        <row r="3216">
          <cell r="L3216"/>
        </row>
        <row r="3217">
          <cell r="L3217"/>
        </row>
        <row r="3218">
          <cell r="L3218"/>
        </row>
        <row r="3219">
          <cell r="L3219"/>
        </row>
        <row r="3220">
          <cell r="L3220"/>
        </row>
        <row r="3221">
          <cell r="L3221"/>
        </row>
        <row r="3222">
          <cell r="L3222"/>
        </row>
        <row r="3223">
          <cell r="L3223"/>
        </row>
        <row r="3224">
          <cell r="L3224"/>
        </row>
        <row r="3225">
          <cell r="L3225"/>
        </row>
        <row r="3226">
          <cell r="L3226"/>
        </row>
        <row r="3227">
          <cell r="L3227"/>
        </row>
        <row r="3228">
          <cell r="L3228"/>
        </row>
        <row r="3229">
          <cell r="L3229"/>
        </row>
        <row r="3230">
          <cell r="L3230"/>
        </row>
        <row r="3231">
          <cell r="L3231"/>
        </row>
        <row r="3232">
          <cell r="L3232"/>
        </row>
        <row r="3233">
          <cell r="L3233"/>
        </row>
        <row r="3234">
          <cell r="L3234"/>
        </row>
        <row r="3235">
          <cell r="L3235"/>
        </row>
        <row r="3236">
          <cell r="L3236"/>
        </row>
        <row r="3237">
          <cell r="L3237"/>
        </row>
        <row r="3238">
          <cell r="L3238"/>
        </row>
        <row r="3239">
          <cell r="L3239"/>
        </row>
        <row r="3240">
          <cell r="L3240"/>
        </row>
        <row r="3241">
          <cell r="L3241"/>
        </row>
        <row r="3242">
          <cell r="L3242"/>
        </row>
        <row r="3243">
          <cell r="L3243"/>
        </row>
        <row r="3244">
          <cell r="L3244"/>
        </row>
        <row r="3245">
          <cell r="L3245"/>
        </row>
        <row r="3246">
          <cell r="L3246"/>
        </row>
        <row r="3247">
          <cell r="L3247"/>
        </row>
        <row r="3248">
          <cell r="L3248"/>
        </row>
        <row r="3249">
          <cell r="L3249"/>
        </row>
        <row r="3250">
          <cell r="L3250"/>
        </row>
        <row r="3251">
          <cell r="L3251"/>
        </row>
        <row r="3252">
          <cell r="L3252"/>
        </row>
        <row r="3253">
          <cell r="L3253"/>
        </row>
        <row r="3254">
          <cell r="L3254"/>
        </row>
        <row r="3255">
          <cell r="L3255"/>
        </row>
        <row r="3256">
          <cell r="L3256"/>
        </row>
        <row r="3257">
          <cell r="L3257"/>
        </row>
        <row r="3258">
          <cell r="L3258"/>
        </row>
        <row r="3259">
          <cell r="L3259"/>
        </row>
        <row r="3260">
          <cell r="L3260"/>
        </row>
        <row r="3261">
          <cell r="L3261"/>
        </row>
        <row r="3262">
          <cell r="L3262"/>
        </row>
        <row r="3263">
          <cell r="L3263"/>
        </row>
        <row r="3264">
          <cell r="L3264"/>
        </row>
        <row r="3265">
          <cell r="L3265"/>
        </row>
        <row r="3266">
          <cell r="L3266"/>
        </row>
        <row r="3267">
          <cell r="L3267"/>
        </row>
        <row r="3268">
          <cell r="L3268"/>
        </row>
        <row r="3269">
          <cell r="L3269"/>
        </row>
        <row r="3270">
          <cell r="L3270"/>
        </row>
        <row r="3271">
          <cell r="L3271"/>
        </row>
        <row r="3272">
          <cell r="L3272"/>
        </row>
        <row r="3273">
          <cell r="L3273"/>
        </row>
        <row r="3274">
          <cell r="L3274"/>
        </row>
        <row r="3275">
          <cell r="L3275"/>
        </row>
        <row r="3276">
          <cell r="L3276"/>
        </row>
        <row r="3277">
          <cell r="L3277"/>
        </row>
        <row r="3278">
          <cell r="L3278"/>
        </row>
        <row r="3279">
          <cell r="L3279"/>
        </row>
        <row r="3280">
          <cell r="L3280"/>
        </row>
        <row r="3281">
          <cell r="L3281"/>
        </row>
        <row r="3282">
          <cell r="L3282"/>
        </row>
        <row r="3283">
          <cell r="L3283"/>
        </row>
        <row r="3284">
          <cell r="L3284"/>
        </row>
        <row r="3285">
          <cell r="L3285"/>
        </row>
        <row r="3286">
          <cell r="L3286"/>
        </row>
        <row r="3287">
          <cell r="L3287"/>
        </row>
        <row r="3288">
          <cell r="L3288"/>
        </row>
        <row r="3289">
          <cell r="L3289"/>
        </row>
        <row r="3290">
          <cell r="L3290"/>
        </row>
        <row r="3291">
          <cell r="L3291"/>
        </row>
        <row r="3292">
          <cell r="L3292"/>
        </row>
        <row r="3293">
          <cell r="L3293"/>
        </row>
        <row r="3294">
          <cell r="L3294"/>
        </row>
        <row r="3295">
          <cell r="L3295"/>
        </row>
        <row r="3296">
          <cell r="L3296"/>
        </row>
        <row r="3297">
          <cell r="L3297"/>
        </row>
        <row r="3298">
          <cell r="L3298"/>
        </row>
        <row r="3299">
          <cell r="L3299"/>
        </row>
        <row r="3300">
          <cell r="L3300"/>
        </row>
        <row r="3301">
          <cell r="L3301"/>
        </row>
        <row r="3302">
          <cell r="L3302"/>
        </row>
        <row r="3303">
          <cell r="L3303"/>
        </row>
        <row r="3304">
          <cell r="L3304"/>
        </row>
        <row r="3305">
          <cell r="L3305"/>
        </row>
        <row r="3306">
          <cell r="L3306"/>
        </row>
        <row r="3307">
          <cell r="L3307"/>
        </row>
        <row r="3308">
          <cell r="L3308"/>
        </row>
        <row r="3309">
          <cell r="L3309"/>
        </row>
        <row r="3310">
          <cell r="L3310"/>
        </row>
        <row r="3311">
          <cell r="L3311"/>
        </row>
        <row r="3312">
          <cell r="L3312"/>
        </row>
        <row r="3313">
          <cell r="L3313"/>
        </row>
        <row r="3314">
          <cell r="L3314"/>
        </row>
        <row r="3315">
          <cell r="L3315"/>
        </row>
        <row r="3316">
          <cell r="L3316"/>
        </row>
        <row r="3317">
          <cell r="L3317"/>
        </row>
        <row r="3318">
          <cell r="L3318"/>
        </row>
        <row r="3319">
          <cell r="L3319"/>
        </row>
        <row r="3320">
          <cell r="L3320"/>
        </row>
        <row r="3321">
          <cell r="L3321"/>
        </row>
        <row r="3322">
          <cell r="L3322"/>
        </row>
        <row r="3323">
          <cell r="L3323"/>
        </row>
        <row r="3324">
          <cell r="L3324"/>
        </row>
        <row r="3325">
          <cell r="L3325"/>
        </row>
        <row r="3326">
          <cell r="L3326"/>
        </row>
        <row r="3327">
          <cell r="L3327"/>
        </row>
        <row r="3328">
          <cell r="L3328"/>
        </row>
        <row r="3329">
          <cell r="L3329"/>
        </row>
        <row r="3330">
          <cell r="L3330"/>
        </row>
        <row r="3331">
          <cell r="L3331"/>
        </row>
        <row r="3332">
          <cell r="L3332"/>
        </row>
        <row r="3333">
          <cell r="L3333"/>
        </row>
        <row r="3334">
          <cell r="L3334"/>
        </row>
        <row r="3335">
          <cell r="L3335"/>
        </row>
        <row r="3336">
          <cell r="L3336"/>
        </row>
        <row r="3337">
          <cell r="L3337"/>
        </row>
        <row r="3338">
          <cell r="L3338"/>
        </row>
        <row r="3339">
          <cell r="L3339"/>
        </row>
        <row r="3340">
          <cell r="L3340"/>
        </row>
        <row r="3341">
          <cell r="L3341"/>
        </row>
        <row r="3342">
          <cell r="L3342"/>
        </row>
        <row r="3343">
          <cell r="L3343"/>
        </row>
        <row r="3344">
          <cell r="L3344"/>
        </row>
        <row r="3345">
          <cell r="L3345"/>
        </row>
        <row r="3346">
          <cell r="L3346"/>
        </row>
        <row r="3347">
          <cell r="L3347"/>
        </row>
        <row r="3348">
          <cell r="L3348"/>
        </row>
        <row r="3349">
          <cell r="L3349"/>
        </row>
        <row r="3350">
          <cell r="L3350"/>
        </row>
        <row r="3351">
          <cell r="L3351"/>
        </row>
        <row r="3352">
          <cell r="L3352"/>
        </row>
        <row r="3353">
          <cell r="L3353"/>
        </row>
        <row r="3354">
          <cell r="L3354"/>
        </row>
        <row r="3355">
          <cell r="L3355"/>
        </row>
        <row r="3356">
          <cell r="L3356"/>
        </row>
        <row r="3357">
          <cell r="L3357"/>
        </row>
        <row r="3358">
          <cell r="L3358"/>
        </row>
        <row r="3359">
          <cell r="L3359"/>
        </row>
        <row r="3360">
          <cell r="L3360"/>
        </row>
        <row r="3361">
          <cell r="L3361"/>
        </row>
        <row r="3362">
          <cell r="L3362"/>
        </row>
        <row r="3363">
          <cell r="L3363"/>
        </row>
        <row r="3364">
          <cell r="L3364"/>
        </row>
        <row r="3365">
          <cell r="L3365"/>
        </row>
        <row r="3366">
          <cell r="L3366"/>
        </row>
        <row r="3367">
          <cell r="L3367"/>
        </row>
        <row r="3368">
          <cell r="L3368"/>
        </row>
        <row r="3369">
          <cell r="L3369"/>
        </row>
        <row r="3370">
          <cell r="L3370"/>
        </row>
        <row r="3371">
          <cell r="L3371"/>
        </row>
        <row r="3372">
          <cell r="L3372"/>
        </row>
        <row r="3373">
          <cell r="L3373"/>
        </row>
        <row r="3374">
          <cell r="L3374"/>
        </row>
        <row r="3375">
          <cell r="L3375"/>
        </row>
        <row r="3376">
          <cell r="L3376"/>
        </row>
        <row r="3377">
          <cell r="L3377"/>
        </row>
        <row r="3378">
          <cell r="L3378"/>
        </row>
        <row r="3379">
          <cell r="L3379"/>
        </row>
        <row r="3380">
          <cell r="L3380"/>
        </row>
        <row r="3381">
          <cell r="L3381"/>
        </row>
        <row r="3382">
          <cell r="L3382"/>
        </row>
        <row r="3383">
          <cell r="L3383"/>
        </row>
        <row r="3384">
          <cell r="L3384"/>
        </row>
        <row r="3385">
          <cell r="L3385"/>
        </row>
        <row r="3386">
          <cell r="L3386"/>
        </row>
        <row r="3387">
          <cell r="L3387"/>
        </row>
        <row r="3388">
          <cell r="L3388"/>
        </row>
        <row r="3389">
          <cell r="L3389"/>
        </row>
        <row r="3390">
          <cell r="L3390"/>
        </row>
        <row r="3391">
          <cell r="L3391"/>
        </row>
        <row r="3392">
          <cell r="L3392"/>
        </row>
        <row r="3393">
          <cell r="L3393"/>
        </row>
        <row r="3394">
          <cell r="L3394"/>
        </row>
        <row r="3395">
          <cell r="L3395"/>
        </row>
        <row r="3396">
          <cell r="L3396"/>
        </row>
        <row r="3397">
          <cell r="L3397"/>
        </row>
        <row r="3398">
          <cell r="L3398"/>
        </row>
        <row r="3399">
          <cell r="L3399"/>
        </row>
        <row r="3400">
          <cell r="L3400"/>
        </row>
        <row r="3401">
          <cell r="L3401"/>
        </row>
        <row r="3402">
          <cell r="L3402"/>
        </row>
        <row r="3403">
          <cell r="L3403"/>
        </row>
        <row r="3404">
          <cell r="L3404"/>
        </row>
        <row r="3405">
          <cell r="L3405"/>
        </row>
        <row r="3406">
          <cell r="L3406"/>
        </row>
        <row r="3407">
          <cell r="L3407"/>
        </row>
        <row r="3408">
          <cell r="L3408"/>
        </row>
        <row r="3409">
          <cell r="L3409"/>
        </row>
        <row r="3410">
          <cell r="L3410"/>
        </row>
        <row r="3411">
          <cell r="L3411"/>
        </row>
        <row r="3412">
          <cell r="L3412"/>
        </row>
        <row r="3413">
          <cell r="L3413"/>
        </row>
        <row r="3414">
          <cell r="L3414"/>
        </row>
        <row r="3415">
          <cell r="L3415"/>
        </row>
        <row r="3416">
          <cell r="L3416"/>
        </row>
        <row r="3417">
          <cell r="L3417"/>
        </row>
        <row r="3418">
          <cell r="L3418"/>
        </row>
        <row r="3419">
          <cell r="L3419"/>
        </row>
        <row r="3420">
          <cell r="L3420"/>
        </row>
        <row r="3421">
          <cell r="L3421"/>
        </row>
        <row r="3422">
          <cell r="L3422"/>
        </row>
        <row r="3423">
          <cell r="L3423"/>
        </row>
        <row r="3424">
          <cell r="L3424"/>
        </row>
        <row r="3425">
          <cell r="L3425"/>
        </row>
        <row r="3426">
          <cell r="L3426"/>
        </row>
        <row r="3427">
          <cell r="L3427"/>
        </row>
        <row r="3428">
          <cell r="L3428"/>
        </row>
        <row r="3429">
          <cell r="L3429"/>
        </row>
        <row r="3430">
          <cell r="L3430"/>
        </row>
        <row r="3431">
          <cell r="L3431"/>
        </row>
        <row r="3432">
          <cell r="L3432"/>
        </row>
        <row r="3433">
          <cell r="L3433"/>
        </row>
        <row r="3434">
          <cell r="L3434"/>
        </row>
        <row r="3435">
          <cell r="L3435"/>
        </row>
        <row r="3436">
          <cell r="L3436"/>
        </row>
        <row r="3437">
          <cell r="L3437"/>
        </row>
        <row r="3438">
          <cell r="L3438"/>
        </row>
        <row r="3439">
          <cell r="L3439"/>
        </row>
        <row r="3440">
          <cell r="L3440"/>
        </row>
        <row r="3441">
          <cell r="L3441"/>
        </row>
        <row r="3442">
          <cell r="L3442"/>
        </row>
        <row r="3443">
          <cell r="L3443"/>
        </row>
        <row r="3444">
          <cell r="L3444"/>
        </row>
        <row r="3445">
          <cell r="L3445"/>
        </row>
        <row r="3446">
          <cell r="L3446"/>
        </row>
        <row r="3447">
          <cell r="L3447"/>
        </row>
        <row r="3448">
          <cell r="L3448"/>
        </row>
        <row r="3449">
          <cell r="L3449"/>
        </row>
        <row r="3450">
          <cell r="L3450"/>
        </row>
        <row r="3451">
          <cell r="L3451"/>
        </row>
        <row r="3452">
          <cell r="L3452"/>
        </row>
        <row r="3453">
          <cell r="L3453"/>
        </row>
        <row r="3454">
          <cell r="L3454"/>
        </row>
        <row r="3455">
          <cell r="L3455"/>
        </row>
        <row r="3456">
          <cell r="L3456"/>
        </row>
        <row r="3457">
          <cell r="L3457"/>
        </row>
        <row r="3458">
          <cell r="L3458"/>
        </row>
        <row r="3459">
          <cell r="L3459"/>
        </row>
        <row r="3460">
          <cell r="L3460"/>
        </row>
        <row r="3461">
          <cell r="L3461"/>
        </row>
        <row r="3462">
          <cell r="L3462"/>
        </row>
        <row r="3463">
          <cell r="L3463"/>
        </row>
        <row r="3464">
          <cell r="L3464"/>
        </row>
        <row r="3465">
          <cell r="L3465"/>
        </row>
        <row r="3466">
          <cell r="L3466"/>
        </row>
        <row r="3467">
          <cell r="L3467"/>
        </row>
        <row r="3468">
          <cell r="L3468"/>
        </row>
        <row r="3469">
          <cell r="L3469"/>
        </row>
        <row r="3470">
          <cell r="L3470"/>
        </row>
        <row r="3471">
          <cell r="L3471"/>
        </row>
        <row r="3472">
          <cell r="L3472"/>
        </row>
        <row r="3473">
          <cell r="L3473"/>
        </row>
        <row r="3474">
          <cell r="L3474"/>
        </row>
        <row r="3475">
          <cell r="L3475"/>
        </row>
        <row r="3476">
          <cell r="L3476"/>
        </row>
        <row r="3477">
          <cell r="L3477"/>
        </row>
        <row r="3478">
          <cell r="L3478"/>
        </row>
        <row r="3479">
          <cell r="L3479"/>
        </row>
        <row r="3480">
          <cell r="L3480"/>
        </row>
        <row r="3481">
          <cell r="L3481"/>
        </row>
        <row r="3482">
          <cell r="L3482"/>
        </row>
        <row r="3483">
          <cell r="L3483"/>
        </row>
        <row r="3484">
          <cell r="L3484"/>
        </row>
        <row r="3485">
          <cell r="L3485"/>
        </row>
        <row r="3486">
          <cell r="L3486"/>
        </row>
        <row r="3487">
          <cell r="L3487"/>
        </row>
        <row r="3488">
          <cell r="L3488"/>
        </row>
        <row r="3489">
          <cell r="L3489"/>
        </row>
        <row r="3490">
          <cell r="L3490"/>
        </row>
        <row r="3491">
          <cell r="L3491"/>
        </row>
        <row r="3492">
          <cell r="L3492"/>
        </row>
        <row r="3493">
          <cell r="L3493"/>
        </row>
        <row r="3494">
          <cell r="L3494"/>
        </row>
        <row r="3495">
          <cell r="L3495"/>
        </row>
        <row r="3496">
          <cell r="L3496"/>
        </row>
        <row r="3497">
          <cell r="L3497"/>
        </row>
        <row r="3498">
          <cell r="L3498"/>
        </row>
        <row r="3499">
          <cell r="L3499"/>
        </row>
        <row r="3500">
          <cell r="L3500"/>
        </row>
        <row r="3501">
          <cell r="L3501"/>
        </row>
        <row r="3502">
          <cell r="L3502"/>
        </row>
        <row r="3503">
          <cell r="L3503"/>
        </row>
        <row r="3504">
          <cell r="L3504"/>
        </row>
        <row r="3505">
          <cell r="L3505"/>
        </row>
        <row r="3506">
          <cell r="L3506"/>
        </row>
        <row r="3507">
          <cell r="L3507"/>
        </row>
        <row r="3508">
          <cell r="L3508"/>
        </row>
        <row r="3509">
          <cell r="L3509"/>
        </row>
        <row r="3510">
          <cell r="L3510"/>
        </row>
        <row r="3511">
          <cell r="L3511"/>
        </row>
        <row r="3512">
          <cell r="L3512"/>
        </row>
        <row r="3513">
          <cell r="L3513"/>
        </row>
        <row r="3514">
          <cell r="L3514"/>
        </row>
        <row r="3515">
          <cell r="L3515"/>
        </row>
        <row r="3516">
          <cell r="L3516"/>
        </row>
        <row r="3517">
          <cell r="L3517"/>
        </row>
        <row r="3518">
          <cell r="L3518"/>
        </row>
        <row r="3519">
          <cell r="L3519"/>
        </row>
        <row r="3520">
          <cell r="L3520"/>
        </row>
        <row r="3521">
          <cell r="L3521"/>
        </row>
        <row r="3522">
          <cell r="L3522"/>
        </row>
        <row r="3523">
          <cell r="L3523"/>
        </row>
        <row r="3524">
          <cell r="L3524"/>
        </row>
        <row r="3525">
          <cell r="L3525"/>
        </row>
        <row r="3526">
          <cell r="L3526"/>
        </row>
        <row r="3527">
          <cell r="L3527"/>
        </row>
        <row r="3528">
          <cell r="L3528"/>
        </row>
        <row r="3529">
          <cell r="L3529"/>
        </row>
        <row r="3530">
          <cell r="L3530"/>
        </row>
        <row r="3531">
          <cell r="L3531"/>
        </row>
        <row r="3532">
          <cell r="L3532"/>
        </row>
        <row r="3533">
          <cell r="L3533"/>
        </row>
        <row r="3534">
          <cell r="L3534"/>
        </row>
        <row r="3535">
          <cell r="L3535"/>
        </row>
        <row r="3536">
          <cell r="L3536"/>
        </row>
        <row r="3537">
          <cell r="L3537"/>
        </row>
        <row r="3538">
          <cell r="L3538"/>
        </row>
        <row r="3539">
          <cell r="L3539"/>
        </row>
        <row r="3540">
          <cell r="L3540"/>
        </row>
        <row r="3541">
          <cell r="L3541"/>
        </row>
        <row r="3542">
          <cell r="L3542"/>
        </row>
        <row r="3543">
          <cell r="L3543"/>
        </row>
        <row r="3544">
          <cell r="L3544"/>
        </row>
        <row r="3545">
          <cell r="L3545"/>
        </row>
        <row r="3546">
          <cell r="L3546"/>
        </row>
        <row r="3547">
          <cell r="L3547"/>
        </row>
        <row r="3548">
          <cell r="L3548"/>
        </row>
        <row r="3549">
          <cell r="L3549"/>
        </row>
        <row r="3550">
          <cell r="L3550"/>
        </row>
        <row r="3551">
          <cell r="L3551"/>
        </row>
        <row r="3552">
          <cell r="L3552"/>
        </row>
        <row r="3553">
          <cell r="L3553"/>
        </row>
        <row r="3554">
          <cell r="L3554"/>
        </row>
        <row r="3555">
          <cell r="L3555"/>
        </row>
        <row r="3556">
          <cell r="L3556"/>
        </row>
        <row r="3557">
          <cell r="L3557"/>
        </row>
        <row r="3558">
          <cell r="L3558"/>
        </row>
        <row r="3559">
          <cell r="L3559"/>
        </row>
        <row r="3560">
          <cell r="L3560"/>
        </row>
        <row r="3561">
          <cell r="L3561"/>
        </row>
        <row r="3562">
          <cell r="L3562"/>
        </row>
        <row r="3563">
          <cell r="L3563"/>
        </row>
        <row r="3564">
          <cell r="L3564"/>
        </row>
        <row r="3565">
          <cell r="L3565"/>
        </row>
        <row r="3566">
          <cell r="L3566"/>
        </row>
        <row r="3567">
          <cell r="L3567"/>
        </row>
        <row r="3568">
          <cell r="L3568"/>
        </row>
        <row r="3569">
          <cell r="L3569"/>
        </row>
        <row r="3570">
          <cell r="L3570"/>
        </row>
        <row r="3571">
          <cell r="L3571"/>
        </row>
        <row r="3572">
          <cell r="L3572"/>
        </row>
        <row r="3573">
          <cell r="L3573"/>
        </row>
        <row r="3574">
          <cell r="L3574"/>
        </row>
        <row r="3575">
          <cell r="L3575"/>
        </row>
        <row r="3576">
          <cell r="L3576"/>
        </row>
        <row r="3577">
          <cell r="L3577"/>
        </row>
        <row r="3578">
          <cell r="L3578"/>
        </row>
        <row r="3579">
          <cell r="L3579"/>
        </row>
        <row r="3580">
          <cell r="L3580"/>
        </row>
        <row r="3581">
          <cell r="L3581"/>
        </row>
        <row r="3582">
          <cell r="L3582"/>
        </row>
        <row r="3583">
          <cell r="L3583"/>
        </row>
        <row r="3584">
          <cell r="L3584"/>
        </row>
        <row r="3585">
          <cell r="L3585"/>
        </row>
        <row r="3586">
          <cell r="L3586"/>
        </row>
        <row r="3587">
          <cell r="L3587"/>
        </row>
        <row r="3588">
          <cell r="L3588"/>
        </row>
        <row r="3589">
          <cell r="L3589"/>
        </row>
        <row r="3590">
          <cell r="L3590"/>
        </row>
        <row r="3591">
          <cell r="L3591"/>
        </row>
        <row r="3592">
          <cell r="L3592"/>
        </row>
        <row r="3593">
          <cell r="L3593"/>
        </row>
        <row r="3594">
          <cell r="L3594"/>
        </row>
        <row r="3595">
          <cell r="L3595"/>
        </row>
        <row r="3596">
          <cell r="L3596"/>
        </row>
        <row r="3597">
          <cell r="L3597"/>
        </row>
        <row r="3598">
          <cell r="L3598"/>
        </row>
        <row r="3599">
          <cell r="L3599"/>
        </row>
        <row r="3600">
          <cell r="L3600"/>
        </row>
        <row r="3601">
          <cell r="L3601"/>
        </row>
        <row r="3602">
          <cell r="L3602"/>
        </row>
        <row r="3603">
          <cell r="L3603"/>
        </row>
        <row r="3604">
          <cell r="L3604"/>
        </row>
        <row r="3605">
          <cell r="L3605"/>
        </row>
        <row r="3606">
          <cell r="L3606"/>
        </row>
        <row r="3607">
          <cell r="L3607"/>
        </row>
        <row r="3608">
          <cell r="L3608"/>
        </row>
        <row r="3609">
          <cell r="L3609"/>
        </row>
        <row r="3610">
          <cell r="L3610"/>
        </row>
        <row r="3611">
          <cell r="L3611"/>
        </row>
        <row r="3612">
          <cell r="L3612"/>
        </row>
        <row r="3613">
          <cell r="L3613"/>
        </row>
        <row r="3614">
          <cell r="L3614"/>
        </row>
        <row r="3615">
          <cell r="L3615"/>
        </row>
        <row r="3616">
          <cell r="L3616"/>
        </row>
        <row r="3617">
          <cell r="L3617"/>
        </row>
        <row r="3618">
          <cell r="L3618"/>
        </row>
        <row r="3619">
          <cell r="L3619"/>
        </row>
        <row r="3620">
          <cell r="L3620"/>
        </row>
        <row r="3621">
          <cell r="L3621"/>
        </row>
        <row r="3622">
          <cell r="L3622"/>
        </row>
        <row r="3623">
          <cell r="L3623"/>
        </row>
        <row r="3624">
          <cell r="L3624"/>
        </row>
        <row r="3625">
          <cell r="L3625"/>
        </row>
        <row r="3626">
          <cell r="L3626"/>
        </row>
        <row r="3627">
          <cell r="L3627"/>
        </row>
        <row r="3628">
          <cell r="L3628"/>
        </row>
        <row r="3629">
          <cell r="L3629"/>
        </row>
        <row r="3630">
          <cell r="L3630"/>
        </row>
        <row r="3631">
          <cell r="L3631"/>
        </row>
        <row r="3632">
          <cell r="L3632"/>
        </row>
        <row r="3633">
          <cell r="L3633"/>
        </row>
        <row r="3634">
          <cell r="L3634"/>
        </row>
        <row r="3635">
          <cell r="L3635"/>
        </row>
        <row r="3636">
          <cell r="L3636"/>
        </row>
        <row r="3637">
          <cell r="L3637"/>
        </row>
        <row r="3638">
          <cell r="L3638"/>
        </row>
        <row r="3639">
          <cell r="L3639"/>
        </row>
        <row r="3640">
          <cell r="L3640"/>
        </row>
        <row r="3641">
          <cell r="L3641"/>
        </row>
        <row r="3642">
          <cell r="L3642"/>
        </row>
        <row r="3643">
          <cell r="L3643"/>
        </row>
        <row r="3644">
          <cell r="L3644"/>
        </row>
        <row r="3645">
          <cell r="L3645"/>
        </row>
        <row r="3646">
          <cell r="L3646"/>
        </row>
        <row r="3647">
          <cell r="L3647"/>
        </row>
        <row r="3648">
          <cell r="L3648"/>
        </row>
        <row r="3649">
          <cell r="L3649"/>
        </row>
        <row r="3650">
          <cell r="L3650"/>
        </row>
        <row r="3651">
          <cell r="L3651"/>
        </row>
        <row r="3652">
          <cell r="L3652"/>
        </row>
        <row r="3653">
          <cell r="L3653"/>
        </row>
        <row r="3654">
          <cell r="L3654"/>
        </row>
        <row r="3655">
          <cell r="L3655"/>
        </row>
        <row r="3656">
          <cell r="L3656"/>
        </row>
        <row r="3657">
          <cell r="L3657"/>
        </row>
        <row r="3658">
          <cell r="L3658"/>
        </row>
        <row r="3659">
          <cell r="L3659"/>
        </row>
        <row r="3660">
          <cell r="L3660"/>
        </row>
        <row r="3661">
          <cell r="L3661"/>
        </row>
        <row r="3662">
          <cell r="L3662"/>
        </row>
        <row r="3663">
          <cell r="L3663"/>
        </row>
        <row r="3664">
          <cell r="L3664"/>
        </row>
        <row r="3665">
          <cell r="L3665"/>
        </row>
        <row r="3666">
          <cell r="L3666"/>
        </row>
        <row r="3667">
          <cell r="L3667"/>
        </row>
        <row r="3668">
          <cell r="L3668"/>
        </row>
        <row r="3669">
          <cell r="L3669"/>
        </row>
        <row r="3670">
          <cell r="L3670"/>
        </row>
        <row r="3671">
          <cell r="L3671"/>
        </row>
        <row r="3672">
          <cell r="L3672"/>
        </row>
        <row r="3673">
          <cell r="L3673"/>
        </row>
        <row r="3674">
          <cell r="L3674"/>
        </row>
        <row r="3675">
          <cell r="L3675"/>
        </row>
        <row r="3676">
          <cell r="L3676"/>
        </row>
        <row r="3677">
          <cell r="L3677"/>
        </row>
        <row r="3678">
          <cell r="L3678"/>
        </row>
        <row r="3679">
          <cell r="L3679"/>
        </row>
        <row r="3680">
          <cell r="L3680"/>
        </row>
        <row r="3681">
          <cell r="L3681"/>
        </row>
        <row r="3682">
          <cell r="L3682"/>
        </row>
        <row r="3683">
          <cell r="L3683"/>
        </row>
        <row r="3684">
          <cell r="L3684"/>
        </row>
        <row r="3685">
          <cell r="L3685"/>
        </row>
        <row r="3686">
          <cell r="L3686"/>
        </row>
        <row r="3687">
          <cell r="L3687"/>
        </row>
        <row r="3688">
          <cell r="L3688"/>
        </row>
        <row r="3689">
          <cell r="L3689"/>
        </row>
        <row r="3690">
          <cell r="L3690"/>
        </row>
        <row r="3691">
          <cell r="L3691"/>
        </row>
        <row r="3692">
          <cell r="L3692"/>
        </row>
        <row r="3693">
          <cell r="L3693"/>
        </row>
        <row r="3694">
          <cell r="L3694"/>
        </row>
        <row r="3695">
          <cell r="L3695"/>
        </row>
        <row r="3696">
          <cell r="L3696"/>
        </row>
        <row r="3697">
          <cell r="L3697"/>
        </row>
        <row r="3698">
          <cell r="L3698"/>
        </row>
        <row r="3699">
          <cell r="L3699"/>
        </row>
        <row r="3700">
          <cell r="L3700"/>
        </row>
        <row r="3701">
          <cell r="L3701"/>
        </row>
        <row r="3702">
          <cell r="L3702"/>
        </row>
        <row r="3703">
          <cell r="L3703"/>
        </row>
        <row r="3704">
          <cell r="L3704"/>
        </row>
        <row r="3705">
          <cell r="L3705"/>
        </row>
        <row r="3706">
          <cell r="L3706"/>
        </row>
        <row r="3707">
          <cell r="L3707"/>
        </row>
        <row r="3708">
          <cell r="L3708"/>
        </row>
        <row r="3709">
          <cell r="L3709"/>
        </row>
        <row r="3710">
          <cell r="L3710"/>
        </row>
        <row r="3711">
          <cell r="L3711"/>
        </row>
        <row r="3712">
          <cell r="L3712"/>
        </row>
        <row r="3713">
          <cell r="L3713"/>
        </row>
        <row r="3714">
          <cell r="L3714"/>
        </row>
        <row r="3715">
          <cell r="L3715"/>
        </row>
        <row r="3716">
          <cell r="L3716"/>
        </row>
        <row r="3717">
          <cell r="L3717"/>
        </row>
        <row r="3718">
          <cell r="L3718"/>
        </row>
        <row r="3719">
          <cell r="L3719"/>
        </row>
        <row r="3720">
          <cell r="L3720"/>
        </row>
        <row r="3721">
          <cell r="L3721"/>
        </row>
        <row r="3722">
          <cell r="L3722"/>
        </row>
        <row r="3723">
          <cell r="L3723"/>
        </row>
        <row r="3724">
          <cell r="L3724"/>
        </row>
        <row r="3725">
          <cell r="L3725"/>
        </row>
        <row r="3726">
          <cell r="L3726"/>
        </row>
        <row r="3727">
          <cell r="L3727"/>
        </row>
        <row r="3728">
          <cell r="L3728"/>
        </row>
        <row r="3729">
          <cell r="L3729"/>
        </row>
        <row r="3730">
          <cell r="L3730"/>
        </row>
        <row r="3731">
          <cell r="L3731"/>
        </row>
        <row r="3732">
          <cell r="L3732"/>
        </row>
        <row r="3733">
          <cell r="L3733"/>
        </row>
        <row r="3734">
          <cell r="L3734"/>
        </row>
        <row r="3735">
          <cell r="L3735"/>
        </row>
        <row r="3736">
          <cell r="L3736"/>
        </row>
        <row r="3737">
          <cell r="L3737"/>
        </row>
        <row r="3738">
          <cell r="L3738"/>
        </row>
        <row r="3739">
          <cell r="L3739"/>
        </row>
        <row r="3740">
          <cell r="L3740"/>
        </row>
        <row r="3741">
          <cell r="L3741"/>
        </row>
        <row r="3742">
          <cell r="L3742"/>
        </row>
        <row r="3743">
          <cell r="L3743"/>
        </row>
        <row r="3744">
          <cell r="L3744"/>
        </row>
        <row r="3745">
          <cell r="L3745"/>
        </row>
        <row r="3746">
          <cell r="L3746"/>
        </row>
        <row r="3747">
          <cell r="L3747"/>
        </row>
        <row r="3748">
          <cell r="L3748"/>
        </row>
        <row r="3749">
          <cell r="L3749"/>
        </row>
        <row r="3750">
          <cell r="L3750"/>
        </row>
        <row r="3751">
          <cell r="L3751"/>
        </row>
        <row r="3752">
          <cell r="L3752"/>
        </row>
        <row r="3753">
          <cell r="L3753"/>
        </row>
        <row r="3754">
          <cell r="L3754"/>
        </row>
        <row r="3755">
          <cell r="L3755"/>
        </row>
        <row r="3756">
          <cell r="L3756"/>
        </row>
        <row r="3757">
          <cell r="L3757"/>
        </row>
        <row r="3758">
          <cell r="L3758"/>
        </row>
        <row r="3759">
          <cell r="L3759"/>
        </row>
        <row r="3760">
          <cell r="L3760"/>
        </row>
        <row r="3761">
          <cell r="L3761"/>
        </row>
        <row r="3762">
          <cell r="L3762"/>
        </row>
        <row r="3763">
          <cell r="L3763"/>
        </row>
        <row r="3764">
          <cell r="L3764"/>
        </row>
        <row r="3765">
          <cell r="L3765"/>
        </row>
        <row r="3766">
          <cell r="L3766"/>
        </row>
        <row r="3767">
          <cell r="L3767"/>
        </row>
        <row r="3768">
          <cell r="L3768"/>
        </row>
        <row r="3769">
          <cell r="L3769"/>
        </row>
        <row r="3770">
          <cell r="L3770"/>
        </row>
        <row r="3771">
          <cell r="L3771"/>
        </row>
        <row r="3772">
          <cell r="L3772"/>
        </row>
        <row r="3773">
          <cell r="L3773"/>
        </row>
        <row r="3774">
          <cell r="L3774"/>
        </row>
        <row r="3775">
          <cell r="L3775"/>
        </row>
        <row r="3776">
          <cell r="L3776"/>
        </row>
        <row r="3777">
          <cell r="L3777"/>
        </row>
        <row r="3778">
          <cell r="L3778"/>
        </row>
        <row r="3779">
          <cell r="L3779"/>
        </row>
        <row r="3780">
          <cell r="L3780"/>
        </row>
        <row r="3781">
          <cell r="L3781"/>
        </row>
        <row r="3782">
          <cell r="L3782"/>
        </row>
        <row r="3783">
          <cell r="L3783"/>
        </row>
        <row r="3784">
          <cell r="L3784"/>
        </row>
        <row r="3785">
          <cell r="L3785"/>
        </row>
        <row r="3786">
          <cell r="L3786"/>
        </row>
        <row r="3787">
          <cell r="L3787"/>
        </row>
        <row r="3788">
          <cell r="L3788"/>
        </row>
        <row r="3789">
          <cell r="L3789"/>
        </row>
        <row r="3790">
          <cell r="L3790"/>
        </row>
        <row r="3791">
          <cell r="L3791"/>
        </row>
        <row r="3792">
          <cell r="L3792"/>
        </row>
        <row r="3793">
          <cell r="L3793"/>
        </row>
        <row r="3794">
          <cell r="L3794"/>
        </row>
        <row r="3795">
          <cell r="L3795"/>
        </row>
        <row r="3796">
          <cell r="L3796"/>
        </row>
        <row r="3797">
          <cell r="L3797"/>
        </row>
        <row r="3798">
          <cell r="L3798"/>
        </row>
        <row r="3799">
          <cell r="L3799"/>
        </row>
        <row r="3800">
          <cell r="L3800"/>
        </row>
        <row r="3801">
          <cell r="L3801"/>
        </row>
        <row r="3802">
          <cell r="L3802"/>
        </row>
        <row r="3803">
          <cell r="L3803"/>
        </row>
        <row r="3804">
          <cell r="L3804"/>
        </row>
        <row r="3805">
          <cell r="L3805"/>
        </row>
        <row r="3806">
          <cell r="L3806"/>
        </row>
        <row r="3807">
          <cell r="L3807"/>
        </row>
        <row r="3808">
          <cell r="L3808"/>
        </row>
        <row r="3809">
          <cell r="L3809"/>
        </row>
        <row r="3810">
          <cell r="L3810"/>
        </row>
        <row r="3811">
          <cell r="L3811"/>
        </row>
        <row r="3812">
          <cell r="L3812"/>
        </row>
        <row r="3813">
          <cell r="L3813"/>
        </row>
        <row r="3814">
          <cell r="L3814"/>
        </row>
        <row r="3815">
          <cell r="L3815"/>
        </row>
        <row r="3816">
          <cell r="L3816"/>
        </row>
        <row r="3817">
          <cell r="L3817"/>
        </row>
        <row r="3818">
          <cell r="L3818"/>
        </row>
        <row r="3819">
          <cell r="L3819"/>
        </row>
        <row r="3820">
          <cell r="L3820"/>
        </row>
        <row r="3821">
          <cell r="L3821"/>
        </row>
        <row r="3822">
          <cell r="L3822"/>
        </row>
        <row r="3823">
          <cell r="L3823"/>
        </row>
        <row r="3824">
          <cell r="L3824"/>
        </row>
        <row r="3825">
          <cell r="L3825"/>
        </row>
        <row r="3826">
          <cell r="L3826"/>
        </row>
        <row r="3827">
          <cell r="L3827"/>
        </row>
        <row r="3828">
          <cell r="L3828"/>
        </row>
        <row r="3829">
          <cell r="L3829"/>
        </row>
        <row r="3830">
          <cell r="L3830"/>
        </row>
        <row r="3831">
          <cell r="L3831"/>
        </row>
        <row r="3832">
          <cell r="L3832"/>
        </row>
        <row r="3833">
          <cell r="L3833"/>
        </row>
        <row r="3834">
          <cell r="L3834"/>
        </row>
        <row r="3835">
          <cell r="L3835"/>
        </row>
        <row r="3836">
          <cell r="L3836"/>
        </row>
        <row r="3837">
          <cell r="L3837"/>
        </row>
        <row r="3838">
          <cell r="L3838"/>
        </row>
        <row r="3839">
          <cell r="L3839"/>
        </row>
        <row r="3840">
          <cell r="L3840"/>
        </row>
        <row r="3841">
          <cell r="L3841"/>
        </row>
        <row r="3842">
          <cell r="L3842"/>
        </row>
        <row r="3843">
          <cell r="L3843"/>
        </row>
        <row r="3844">
          <cell r="L3844"/>
        </row>
        <row r="3845">
          <cell r="L3845"/>
        </row>
        <row r="3846">
          <cell r="L3846"/>
        </row>
        <row r="3847">
          <cell r="L3847"/>
        </row>
        <row r="3848">
          <cell r="L3848"/>
        </row>
        <row r="3849">
          <cell r="L3849"/>
        </row>
        <row r="3850">
          <cell r="L3850"/>
        </row>
        <row r="3851">
          <cell r="L3851"/>
        </row>
        <row r="3852">
          <cell r="L3852"/>
        </row>
        <row r="3853">
          <cell r="L3853"/>
        </row>
        <row r="3854">
          <cell r="L3854"/>
        </row>
        <row r="3855">
          <cell r="L3855"/>
        </row>
        <row r="3856">
          <cell r="L3856"/>
        </row>
        <row r="3857">
          <cell r="L3857"/>
        </row>
        <row r="3858">
          <cell r="L3858"/>
        </row>
        <row r="3859">
          <cell r="L3859"/>
        </row>
        <row r="3860">
          <cell r="L3860"/>
        </row>
        <row r="3861">
          <cell r="L3861"/>
        </row>
        <row r="3862">
          <cell r="L3862"/>
        </row>
        <row r="3863">
          <cell r="L3863"/>
        </row>
        <row r="3864">
          <cell r="L3864"/>
        </row>
        <row r="3865">
          <cell r="L3865"/>
        </row>
        <row r="3866">
          <cell r="L3866"/>
        </row>
        <row r="3867">
          <cell r="L3867"/>
        </row>
        <row r="3868">
          <cell r="L3868"/>
        </row>
        <row r="3869">
          <cell r="L3869"/>
        </row>
        <row r="3870">
          <cell r="L3870"/>
        </row>
        <row r="3871">
          <cell r="L3871"/>
        </row>
        <row r="3872">
          <cell r="L3872"/>
        </row>
        <row r="3873">
          <cell r="L3873"/>
        </row>
        <row r="3874">
          <cell r="L3874"/>
        </row>
        <row r="3875">
          <cell r="L3875"/>
        </row>
        <row r="3876">
          <cell r="L3876"/>
        </row>
        <row r="3877">
          <cell r="L3877"/>
        </row>
        <row r="3878">
          <cell r="L3878"/>
        </row>
        <row r="3879">
          <cell r="L3879"/>
        </row>
        <row r="3880">
          <cell r="L3880"/>
        </row>
        <row r="3881">
          <cell r="L3881"/>
        </row>
        <row r="3882">
          <cell r="L3882"/>
        </row>
        <row r="3883">
          <cell r="L3883"/>
        </row>
        <row r="3884">
          <cell r="L3884"/>
        </row>
        <row r="3885">
          <cell r="L3885"/>
        </row>
        <row r="3886">
          <cell r="L3886"/>
        </row>
        <row r="3887">
          <cell r="L3887"/>
        </row>
        <row r="3888">
          <cell r="L3888"/>
        </row>
        <row r="3889">
          <cell r="L3889"/>
        </row>
        <row r="3890">
          <cell r="L3890"/>
        </row>
        <row r="3891">
          <cell r="L3891"/>
        </row>
        <row r="3892">
          <cell r="L3892"/>
        </row>
        <row r="3893">
          <cell r="L3893"/>
        </row>
        <row r="3894">
          <cell r="L3894"/>
        </row>
        <row r="3895">
          <cell r="L3895"/>
        </row>
        <row r="3896">
          <cell r="L3896"/>
        </row>
        <row r="3897">
          <cell r="L3897"/>
        </row>
        <row r="3898">
          <cell r="L3898"/>
        </row>
        <row r="3899">
          <cell r="L3899"/>
        </row>
        <row r="3900">
          <cell r="L3900"/>
        </row>
        <row r="3901">
          <cell r="L3901"/>
        </row>
        <row r="3902">
          <cell r="L3902"/>
        </row>
        <row r="3903">
          <cell r="L3903"/>
        </row>
        <row r="3904">
          <cell r="L3904"/>
        </row>
        <row r="3905">
          <cell r="L3905"/>
        </row>
        <row r="3906">
          <cell r="L3906"/>
        </row>
        <row r="3907">
          <cell r="L3907"/>
        </row>
        <row r="3908">
          <cell r="L3908"/>
        </row>
        <row r="3909">
          <cell r="L3909"/>
        </row>
        <row r="3910">
          <cell r="L3910"/>
        </row>
        <row r="3911">
          <cell r="L3911"/>
        </row>
        <row r="3912">
          <cell r="L3912"/>
        </row>
        <row r="3913">
          <cell r="L3913"/>
        </row>
        <row r="3914">
          <cell r="L3914"/>
        </row>
        <row r="3915">
          <cell r="L3915"/>
        </row>
        <row r="3916">
          <cell r="L3916"/>
        </row>
        <row r="3917">
          <cell r="L3917"/>
        </row>
        <row r="3918">
          <cell r="L3918"/>
        </row>
        <row r="3919">
          <cell r="L3919"/>
        </row>
        <row r="3920">
          <cell r="L3920"/>
        </row>
        <row r="3921">
          <cell r="L3921"/>
        </row>
        <row r="3922">
          <cell r="L3922"/>
        </row>
        <row r="3923">
          <cell r="L3923"/>
        </row>
        <row r="3924">
          <cell r="L3924"/>
        </row>
        <row r="3925">
          <cell r="L3925"/>
        </row>
        <row r="3926">
          <cell r="L3926"/>
        </row>
        <row r="3927">
          <cell r="L3927"/>
        </row>
        <row r="3928">
          <cell r="L3928"/>
        </row>
        <row r="3929">
          <cell r="L3929"/>
        </row>
        <row r="3930">
          <cell r="L3930"/>
        </row>
        <row r="3931">
          <cell r="L3931"/>
        </row>
        <row r="3932">
          <cell r="L3932"/>
        </row>
        <row r="3933">
          <cell r="L3933"/>
        </row>
        <row r="3934">
          <cell r="L3934"/>
        </row>
        <row r="3935">
          <cell r="L3935"/>
        </row>
        <row r="3936">
          <cell r="L3936"/>
        </row>
        <row r="3937">
          <cell r="L3937"/>
        </row>
        <row r="3938">
          <cell r="L3938"/>
        </row>
        <row r="3939">
          <cell r="L3939"/>
        </row>
        <row r="3940">
          <cell r="L3940"/>
        </row>
        <row r="3941">
          <cell r="L3941"/>
        </row>
        <row r="3942">
          <cell r="L3942"/>
        </row>
        <row r="3943">
          <cell r="L3943"/>
        </row>
        <row r="3944">
          <cell r="L3944"/>
        </row>
        <row r="3945">
          <cell r="L3945"/>
        </row>
        <row r="3946">
          <cell r="L3946"/>
        </row>
        <row r="3947">
          <cell r="L3947"/>
        </row>
        <row r="3948">
          <cell r="L3948"/>
        </row>
        <row r="3949">
          <cell r="L3949"/>
        </row>
        <row r="3950">
          <cell r="L3950"/>
        </row>
        <row r="3951">
          <cell r="L3951"/>
        </row>
        <row r="3952">
          <cell r="L3952"/>
        </row>
        <row r="3953">
          <cell r="L3953"/>
        </row>
        <row r="3954">
          <cell r="L3954"/>
        </row>
        <row r="3955">
          <cell r="L3955"/>
        </row>
        <row r="3956">
          <cell r="L3956"/>
        </row>
        <row r="3957">
          <cell r="L3957"/>
        </row>
        <row r="3958">
          <cell r="L3958"/>
        </row>
        <row r="3959">
          <cell r="L3959"/>
        </row>
        <row r="3960">
          <cell r="L3960"/>
        </row>
        <row r="3961">
          <cell r="L3961"/>
        </row>
        <row r="3962">
          <cell r="L3962"/>
        </row>
        <row r="3963">
          <cell r="L3963"/>
        </row>
        <row r="3964">
          <cell r="L3964"/>
        </row>
        <row r="3965">
          <cell r="L3965"/>
        </row>
        <row r="3966">
          <cell r="L3966"/>
        </row>
        <row r="3967">
          <cell r="L3967"/>
        </row>
        <row r="3968">
          <cell r="L3968"/>
        </row>
        <row r="3969">
          <cell r="L3969"/>
        </row>
        <row r="3970">
          <cell r="L3970"/>
        </row>
        <row r="3971">
          <cell r="L3971"/>
        </row>
        <row r="3972">
          <cell r="L3972"/>
        </row>
        <row r="3973">
          <cell r="L3973"/>
        </row>
        <row r="3974">
          <cell r="L3974"/>
        </row>
        <row r="3975">
          <cell r="L3975"/>
        </row>
        <row r="3976">
          <cell r="L3976"/>
        </row>
        <row r="3977">
          <cell r="L3977"/>
        </row>
        <row r="3978">
          <cell r="L3978"/>
        </row>
        <row r="3979">
          <cell r="L3979"/>
        </row>
        <row r="3980">
          <cell r="L3980"/>
        </row>
        <row r="3981">
          <cell r="L3981"/>
        </row>
        <row r="3982">
          <cell r="L3982"/>
        </row>
        <row r="3983">
          <cell r="L3983"/>
        </row>
        <row r="3984">
          <cell r="L3984"/>
        </row>
        <row r="3985">
          <cell r="L3985"/>
        </row>
        <row r="3986">
          <cell r="L3986"/>
        </row>
        <row r="3987">
          <cell r="L3987"/>
        </row>
        <row r="3988">
          <cell r="L3988"/>
        </row>
        <row r="3989">
          <cell r="L3989"/>
        </row>
        <row r="3990">
          <cell r="L3990"/>
        </row>
        <row r="3991">
          <cell r="L3991"/>
        </row>
        <row r="3992">
          <cell r="L3992"/>
        </row>
        <row r="3993">
          <cell r="L3993"/>
        </row>
        <row r="3994">
          <cell r="L3994"/>
        </row>
        <row r="3995">
          <cell r="L3995"/>
        </row>
        <row r="3996">
          <cell r="L3996"/>
        </row>
        <row r="3997">
          <cell r="L3997"/>
        </row>
        <row r="3998">
          <cell r="L3998"/>
        </row>
        <row r="3999">
          <cell r="L3999"/>
        </row>
        <row r="4000">
          <cell r="L4000"/>
        </row>
        <row r="4001">
          <cell r="L4001"/>
        </row>
        <row r="4002">
          <cell r="L4002"/>
        </row>
        <row r="4003">
          <cell r="L4003"/>
        </row>
        <row r="4004">
          <cell r="L4004"/>
        </row>
        <row r="4005">
          <cell r="L4005"/>
        </row>
        <row r="4006">
          <cell r="L4006"/>
        </row>
        <row r="4007">
          <cell r="L4007"/>
        </row>
        <row r="4008">
          <cell r="L4008"/>
        </row>
        <row r="4009">
          <cell r="L4009"/>
        </row>
        <row r="4010">
          <cell r="L4010"/>
        </row>
        <row r="4011">
          <cell r="L4011"/>
        </row>
        <row r="4012">
          <cell r="L4012"/>
        </row>
        <row r="4013">
          <cell r="L4013"/>
        </row>
        <row r="4014">
          <cell r="L4014"/>
        </row>
        <row r="4015">
          <cell r="L4015"/>
        </row>
        <row r="4016">
          <cell r="L4016"/>
        </row>
        <row r="4017">
          <cell r="L4017"/>
        </row>
        <row r="4018">
          <cell r="L4018"/>
        </row>
        <row r="4019">
          <cell r="L4019"/>
        </row>
        <row r="4020">
          <cell r="L4020"/>
        </row>
        <row r="4021">
          <cell r="L4021"/>
        </row>
        <row r="4022">
          <cell r="L4022"/>
        </row>
        <row r="4023">
          <cell r="L4023"/>
        </row>
        <row r="4024">
          <cell r="L4024"/>
        </row>
        <row r="4025">
          <cell r="L4025"/>
        </row>
        <row r="4026">
          <cell r="L4026"/>
        </row>
        <row r="4027">
          <cell r="L4027"/>
        </row>
        <row r="4028">
          <cell r="L4028"/>
        </row>
        <row r="4029">
          <cell r="L4029"/>
        </row>
        <row r="4030">
          <cell r="L4030"/>
        </row>
        <row r="4031">
          <cell r="L4031"/>
        </row>
        <row r="4032">
          <cell r="L4032"/>
        </row>
        <row r="4033">
          <cell r="L4033"/>
        </row>
        <row r="4034">
          <cell r="L4034"/>
        </row>
        <row r="4035">
          <cell r="L4035"/>
        </row>
        <row r="4036">
          <cell r="L4036"/>
        </row>
        <row r="4037">
          <cell r="L4037"/>
        </row>
        <row r="4038">
          <cell r="L4038"/>
        </row>
        <row r="4039">
          <cell r="L4039"/>
        </row>
        <row r="4040">
          <cell r="L4040"/>
        </row>
        <row r="4041">
          <cell r="L4041"/>
        </row>
        <row r="4042">
          <cell r="L4042"/>
        </row>
        <row r="4043">
          <cell r="L4043"/>
        </row>
        <row r="4044">
          <cell r="L4044"/>
        </row>
        <row r="4045">
          <cell r="L4045"/>
        </row>
        <row r="4046">
          <cell r="L4046"/>
        </row>
        <row r="4047">
          <cell r="L4047"/>
        </row>
        <row r="4048">
          <cell r="L4048"/>
        </row>
        <row r="4049">
          <cell r="L4049"/>
        </row>
        <row r="4050">
          <cell r="L4050"/>
        </row>
        <row r="4051">
          <cell r="L4051"/>
        </row>
        <row r="4052">
          <cell r="L4052"/>
        </row>
        <row r="4053">
          <cell r="L4053"/>
        </row>
        <row r="4054">
          <cell r="L4054"/>
        </row>
        <row r="4055">
          <cell r="L4055"/>
        </row>
        <row r="4056">
          <cell r="L4056"/>
        </row>
        <row r="4057">
          <cell r="L4057"/>
        </row>
        <row r="4058">
          <cell r="L4058"/>
        </row>
        <row r="4059">
          <cell r="L4059"/>
        </row>
        <row r="4060">
          <cell r="L4060"/>
        </row>
        <row r="4061">
          <cell r="L4061"/>
        </row>
        <row r="4062">
          <cell r="L4062"/>
        </row>
        <row r="4063">
          <cell r="L4063"/>
        </row>
        <row r="4064">
          <cell r="L4064"/>
        </row>
        <row r="4065">
          <cell r="L4065"/>
        </row>
        <row r="4066">
          <cell r="L4066"/>
        </row>
        <row r="4067">
          <cell r="L4067"/>
        </row>
        <row r="4068">
          <cell r="L4068"/>
        </row>
        <row r="4069">
          <cell r="L4069"/>
        </row>
        <row r="4070">
          <cell r="L4070"/>
        </row>
        <row r="4071">
          <cell r="L4071"/>
        </row>
        <row r="4072">
          <cell r="L4072"/>
        </row>
        <row r="4073">
          <cell r="L4073"/>
        </row>
        <row r="4074">
          <cell r="L4074"/>
        </row>
        <row r="4075">
          <cell r="L4075"/>
        </row>
        <row r="4076">
          <cell r="L4076"/>
        </row>
        <row r="4077">
          <cell r="L4077"/>
        </row>
        <row r="4078">
          <cell r="L4078"/>
        </row>
        <row r="4079">
          <cell r="L4079"/>
        </row>
        <row r="4080">
          <cell r="L4080"/>
        </row>
        <row r="4081">
          <cell r="L4081"/>
        </row>
        <row r="4082">
          <cell r="L4082"/>
        </row>
        <row r="4083">
          <cell r="L4083"/>
        </row>
        <row r="4084">
          <cell r="L4084"/>
        </row>
        <row r="4085">
          <cell r="L4085"/>
        </row>
        <row r="4086">
          <cell r="L4086"/>
        </row>
        <row r="4087">
          <cell r="L4087"/>
        </row>
        <row r="4088">
          <cell r="L4088"/>
        </row>
        <row r="4089">
          <cell r="L4089"/>
        </row>
        <row r="4090">
          <cell r="L4090"/>
        </row>
        <row r="4091">
          <cell r="L4091"/>
        </row>
        <row r="4092">
          <cell r="L4092"/>
        </row>
        <row r="4093">
          <cell r="L4093"/>
        </row>
        <row r="4094">
          <cell r="L4094"/>
        </row>
        <row r="4095">
          <cell r="L4095"/>
        </row>
        <row r="4096">
          <cell r="L4096"/>
        </row>
        <row r="4097">
          <cell r="L4097"/>
        </row>
        <row r="4098">
          <cell r="L4098"/>
        </row>
        <row r="4099">
          <cell r="L4099"/>
        </row>
        <row r="4100">
          <cell r="L4100"/>
        </row>
        <row r="4101">
          <cell r="L4101"/>
        </row>
        <row r="4102">
          <cell r="L4102"/>
        </row>
        <row r="4103">
          <cell r="L4103"/>
        </row>
        <row r="4104">
          <cell r="L4104"/>
        </row>
        <row r="4105">
          <cell r="L4105"/>
        </row>
        <row r="4106">
          <cell r="L4106"/>
        </row>
        <row r="4107">
          <cell r="L4107"/>
        </row>
        <row r="4108">
          <cell r="L4108"/>
        </row>
        <row r="4109">
          <cell r="L4109"/>
        </row>
        <row r="4110">
          <cell r="L4110"/>
        </row>
        <row r="4111">
          <cell r="L4111"/>
        </row>
        <row r="4112">
          <cell r="L4112"/>
        </row>
        <row r="4113">
          <cell r="L4113"/>
        </row>
        <row r="4114">
          <cell r="L4114"/>
        </row>
        <row r="4115">
          <cell r="L4115"/>
        </row>
        <row r="4116">
          <cell r="L4116"/>
        </row>
        <row r="4117">
          <cell r="L4117"/>
        </row>
        <row r="4118">
          <cell r="L4118"/>
        </row>
        <row r="4119">
          <cell r="L4119"/>
        </row>
        <row r="4120">
          <cell r="L4120"/>
        </row>
        <row r="4121">
          <cell r="L4121"/>
        </row>
        <row r="4122">
          <cell r="L4122"/>
        </row>
        <row r="4123">
          <cell r="L4123"/>
        </row>
        <row r="4124">
          <cell r="L4124"/>
        </row>
        <row r="4125">
          <cell r="L4125"/>
        </row>
        <row r="4126">
          <cell r="L4126"/>
        </row>
        <row r="4127">
          <cell r="L4127"/>
        </row>
        <row r="4128">
          <cell r="L4128"/>
        </row>
        <row r="4129">
          <cell r="L4129"/>
        </row>
        <row r="4130">
          <cell r="L4130"/>
        </row>
        <row r="4131">
          <cell r="L4131"/>
        </row>
        <row r="4132">
          <cell r="L4132"/>
        </row>
        <row r="4133">
          <cell r="L4133"/>
        </row>
        <row r="4134">
          <cell r="L4134"/>
        </row>
        <row r="4135">
          <cell r="L4135"/>
        </row>
        <row r="4136">
          <cell r="L4136"/>
        </row>
        <row r="4137">
          <cell r="L4137"/>
        </row>
        <row r="4138">
          <cell r="L4138"/>
        </row>
        <row r="4139">
          <cell r="L4139"/>
        </row>
        <row r="4140">
          <cell r="L4140"/>
        </row>
        <row r="4141">
          <cell r="L4141"/>
        </row>
        <row r="4142">
          <cell r="L4142"/>
        </row>
        <row r="4143">
          <cell r="L4143"/>
        </row>
        <row r="4144">
          <cell r="L4144"/>
        </row>
        <row r="4145">
          <cell r="L4145"/>
        </row>
        <row r="4146">
          <cell r="L4146"/>
        </row>
        <row r="4147">
          <cell r="L4147"/>
        </row>
        <row r="4148">
          <cell r="L4148"/>
        </row>
        <row r="4149">
          <cell r="L4149"/>
        </row>
        <row r="4150">
          <cell r="L4150"/>
        </row>
        <row r="4151">
          <cell r="L4151"/>
        </row>
        <row r="4152">
          <cell r="L4152"/>
        </row>
        <row r="4153">
          <cell r="L4153"/>
        </row>
        <row r="4154">
          <cell r="L4154"/>
        </row>
        <row r="4155">
          <cell r="L4155"/>
        </row>
        <row r="4156">
          <cell r="L4156"/>
        </row>
        <row r="4157">
          <cell r="L4157"/>
        </row>
        <row r="4158">
          <cell r="L4158"/>
        </row>
        <row r="4159">
          <cell r="L4159"/>
        </row>
        <row r="4160">
          <cell r="L4160"/>
        </row>
        <row r="4161">
          <cell r="L4161"/>
        </row>
        <row r="4162">
          <cell r="L4162"/>
        </row>
        <row r="4163">
          <cell r="L4163"/>
        </row>
        <row r="4164">
          <cell r="L4164"/>
        </row>
        <row r="4165">
          <cell r="L4165"/>
        </row>
        <row r="4166">
          <cell r="L4166"/>
        </row>
        <row r="4167">
          <cell r="L4167"/>
        </row>
        <row r="4168">
          <cell r="L4168"/>
        </row>
        <row r="4169">
          <cell r="L4169"/>
        </row>
        <row r="4170">
          <cell r="L4170"/>
        </row>
        <row r="4171">
          <cell r="L4171"/>
        </row>
        <row r="4172">
          <cell r="L4172"/>
        </row>
        <row r="4173">
          <cell r="L4173"/>
        </row>
        <row r="4174">
          <cell r="L4174"/>
        </row>
        <row r="4175">
          <cell r="L4175"/>
        </row>
        <row r="4176">
          <cell r="L4176"/>
        </row>
        <row r="4177">
          <cell r="L4177"/>
        </row>
        <row r="4178">
          <cell r="L4178"/>
        </row>
        <row r="4179">
          <cell r="L4179"/>
        </row>
        <row r="4180">
          <cell r="L4180"/>
        </row>
        <row r="4181">
          <cell r="L4181"/>
        </row>
        <row r="4182">
          <cell r="L4182"/>
        </row>
        <row r="4183">
          <cell r="L4183"/>
        </row>
        <row r="4184">
          <cell r="L4184"/>
        </row>
        <row r="4185">
          <cell r="L4185"/>
        </row>
        <row r="4186">
          <cell r="L4186"/>
        </row>
        <row r="4187">
          <cell r="L4187"/>
        </row>
        <row r="4188">
          <cell r="L4188"/>
        </row>
        <row r="4189">
          <cell r="L4189"/>
        </row>
        <row r="4190">
          <cell r="L4190"/>
        </row>
        <row r="4191">
          <cell r="L4191"/>
        </row>
        <row r="4192">
          <cell r="L4192"/>
        </row>
        <row r="4193">
          <cell r="L4193"/>
        </row>
        <row r="4194">
          <cell r="L4194"/>
        </row>
        <row r="4195">
          <cell r="L4195"/>
        </row>
        <row r="4196">
          <cell r="L4196"/>
        </row>
        <row r="4197">
          <cell r="L4197"/>
        </row>
        <row r="4198">
          <cell r="L4198"/>
        </row>
        <row r="4199">
          <cell r="L4199"/>
        </row>
        <row r="4200">
          <cell r="L4200"/>
        </row>
        <row r="4201">
          <cell r="L4201"/>
        </row>
        <row r="4202">
          <cell r="L4202"/>
        </row>
        <row r="4203">
          <cell r="L4203"/>
        </row>
        <row r="4204">
          <cell r="L4204"/>
        </row>
        <row r="4205">
          <cell r="L4205"/>
        </row>
        <row r="4206">
          <cell r="L4206"/>
        </row>
        <row r="4207">
          <cell r="L4207"/>
        </row>
        <row r="4208">
          <cell r="L4208"/>
        </row>
        <row r="4209">
          <cell r="L4209"/>
        </row>
        <row r="4210">
          <cell r="L4210"/>
        </row>
        <row r="4211">
          <cell r="L4211"/>
        </row>
        <row r="4212">
          <cell r="L4212"/>
        </row>
        <row r="4213">
          <cell r="L4213"/>
        </row>
        <row r="4214">
          <cell r="L4214"/>
        </row>
        <row r="4215">
          <cell r="L4215"/>
        </row>
        <row r="4216">
          <cell r="L4216"/>
        </row>
        <row r="4217">
          <cell r="L4217"/>
        </row>
        <row r="4218">
          <cell r="L4218"/>
        </row>
        <row r="4219">
          <cell r="L4219"/>
        </row>
        <row r="4220">
          <cell r="L4220"/>
        </row>
        <row r="4221">
          <cell r="L4221"/>
        </row>
        <row r="4222">
          <cell r="L4222"/>
        </row>
        <row r="4223">
          <cell r="L4223"/>
        </row>
        <row r="4224">
          <cell r="L4224"/>
        </row>
        <row r="4225">
          <cell r="L4225"/>
        </row>
        <row r="4226">
          <cell r="L4226"/>
        </row>
        <row r="4227">
          <cell r="L4227"/>
        </row>
        <row r="4228">
          <cell r="L4228"/>
        </row>
        <row r="4229">
          <cell r="L4229"/>
        </row>
        <row r="4230">
          <cell r="L4230"/>
        </row>
        <row r="4231">
          <cell r="L4231"/>
        </row>
        <row r="4232">
          <cell r="L4232"/>
        </row>
        <row r="4233">
          <cell r="L4233"/>
        </row>
        <row r="4234">
          <cell r="L4234"/>
        </row>
        <row r="4235">
          <cell r="L4235"/>
        </row>
        <row r="4236">
          <cell r="L4236"/>
        </row>
        <row r="4237">
          <cell r="L4237"/>
        </row>
        <row r="4238">
          <cell r="L4238"/>
        </row>
        <row r="4239">
          <cell r="L4239"/>
        </row>
        <row r="4240">
          <cell r="L4240"/>
        </row>
        <row r="4241">
          <cell r="L4241"/>
        </row>
        <row r="4242">
          <cell r="L4242"/>
        </row>
        <row r="4243">
          <cell r="L4243"/>
        </row>
        <row r="4244">
          <cell r="L4244"/>
        </row>
        <row r="4245">
          <cell r="L4245"/>
        </row>
        <row r="4246">
          <cell r="L4246"/>
        </row>
        <row r="4247">
          <cell r="L4247"/>
        </row>
        <row r="4248">
          <cell r="L4248"/>
        </row>
        <row r="4249">
          <cell r="L4249"/>
        </row>
        <row r="4250">
          <cell r="L4250"/>
        </row>
        <row r="4251">
          <cell r="L4251"/>
        </row>
        <row r="4252">
          <cell r="L4252"/>
        </row>
        <row r="4253">
          <cell r="L4253"/>
        </row>
        <row r="4254">
          <cell r="L4254"/>
        </row>
        <row r="4255">
          <cell r="L4255"/>
        </row>
        <row r="4256">
          <cell r="L4256"/>
        </row>
        <row r="4257">
          <cell r="L4257"/>
        </row>
        <row r="4258">
          <cell r="L4258"/>
        </row>
        <row r="4259">
          <cell r="L4259"/>
        </row>
        <row r="4260">
          <cell r="L4260"/>
        </row>
        <row r="4261">
          <cell r="L4261"/>
        </row>
        <row r="4262">
          <cell r="L4262"/>
        </row>
        <row r="4263">
          <cell r="L4263"/>
        </row>
        <row r="4264">
          <cell r="L4264"/>
        </row>
        <row r="4265">
          <cell r="L4265"/>
        </row>
        <row r="4266">
          <cell r="L4266"/>
        </row>
        <row r="4267">
          <cell r="L4267"/>
        </row>
        <row r="4268">
          <cell r="L4268"/>
        </row>
        <row r="4269">
          <cell r="L4269"/>
        </row>
        <row r="4270">
          <cell r="L4270"/>
        </row>
        <row r="4271">
          <cell r="L4271"/>
        </row>
        <row r="4272">
          <cell r="L4272"/>
        </row>
        <row r="4273">
          <cell r="L4273"/>
        </row>
        <row r="4274">
          <cell r="L4274"/>
        </row>
        <row r="4275">
          <cell r="L4275"/>
        </row>
        <row r="4276">
          <cell r="L4276"/>
        </row>
        <row r="4277">
          <cell r="L4277"/>
        </row>
        <row r="4278">
          <cell r="L4278"/>
        </row>
        <row r="4279">
          <cell r="L4279"/>
        </row>
        <row r="4280">
          <cell r="L4280"/>
        </row>
        <row r="4281">
          <cell r="L4281"/>
        </row>
        <row r="4282">
          <cell r="L4282"/>
        </row>
        <row r="4283">
          <cell r="L4283"/>
        </row>
        <row r="4284">
          <cell r="L4284"/>
        </row>
        <row r="4285">
          <cell r="L4285"/>
        </row>
        <row r="4286">
          <cell r="L4286"/>
        </row>
        <row r="4287">
          <cell r="L4287"/>
        </row>
        <row r="4288">
          <cell r="L4288"/>
        </row>
        <row r="4289">
          <cell r="L4289"/>
        </row>
        <row r="4290">
          <cell r="L4290"/>
        </row>
        <row r="4291">
          <cell r="L4291"/>
        </row>
        <row r="4292">
          <cell r="L4292"/>
        </row>
        <row r="4293">
          <cell r="L4293"/>
        </row>
        <row r="4294">
          <cell r="L4294"/>
        </row>
        <row r="4295">
          <cell r="L4295"/>
        </row>
        <row r="4296">
          <cell r="L4296"/>
        </row>
        <row r="4297">
          <cell r="L4297"/>
        </row>
        <row r="4298">
          <cell r="L4298"/>
        </row>
        <row r="4299">
          <cell r="L4299"/>
        </row>
        <row r="4300">
          <cell r="L4300"/>
        </row>
        <row r="4301">
          <cell r="L4301"/>
        </row>
        <row r="4302">
          <cell r="L4302"/>
        </row>
        <row r="4303">
          <cell r="L4303"/>
        </row>
        <row r="4304">
          <cell r="L4304"/>
        </row>
        <row r="4305">
          <cell r="L4305"/>
        </row>
        <row r="4306">
          <cell r="L4306"/>
        </row>
        <row r="4307">
          <cell r="L4307"/>
        </row>
        <row r="4308">
          <cell r="L4308"/>
        </row>
        <row r="4309">
          <cell r="L4309"/>
        </row>
        <row r="4310">
          <cell r="L4310"/>
        </row>
        <row r="4311">
          <cell r="L4311"/>
        </row>
        <row r="4312">
          <cell r="L4312"/>
        </row>
        <row r="4313">
          <cell r="L4313"/>
        </row>
        <row r="4314">
          <cell r="L4314"/>
        </row>
        <row r="4315">
          <cell r="L4315"/>
        </row>
        <row r="4316">
          <cell r="L4316"/>
        </row>
        <row r="4317">
          <cell r="L4317"/>
        </row>
        <row r="4318">
          <cell r="L4318"/>
        </row>
        <row r="4319">
          <cell r="L4319"/>
        </row>
        <row r="4320">
          <cell r="L4320"/>
        </row>
        <row r="4321">
          <cell r="L4321"/>
        </row>
        <row r="4322">
          <cell r="L4322"/>
        </row>
        <row r="4323">
          <cell r="L4323"/>
        </row>
        <row r="4324">
          <cell r="L4324"/>
        </row>
        <row r="4325">
          <cell r="L4325"/>
        </row>
        <row r="4326">
          <cell r="L4326"/>
        </row>
        <row r="4327">
          <cell r="L4327"/>
        </row>
        <row r="4328">
          <cell r="L4328"/>
        </row>
        <row r="4329">
          <cell r="L4329"/>
        </row>
        <row r="4330">
          <cell r="L4330"/>
        </row>
        <row r="4331">
          <cell r="L4331"/>
        </row>
        <row r="4332">
          <cell r="L4332"/>
        </row>
        <row r="4333">
          <cell r="L4333"/>
        </row>
        <row r="4334">
          <cell r="L4334"/>
        </row>
        <row r="4335">
          <cell r="L4335"/>
        </row>
        <row r="4336">
          <cell r="L4336"/>
        </row>
        <row r="4337">
          <cell r="L4337"/>
        </row>
        <row r="4338">
          <cell r="L4338"/>
        </row>
        <row r="4339">
          <cell r="L4339"/>
        </row>
        <row r="4340">
          <cell r="L4340"/>
        </row>
        <row r="4341">
          <cell r="L4341"/>
        </row>
        <row r="4342">
          <cell r="L4342"/>
        </row>
        <row r="4343">
          <cell r="L4343"/>
        </row>
        <row r="4344">
          <cell r="L4344"/>
        </row>
        <row r="4345">
          <cell r="L4345"/>
        </row>
        <row r="4346">
          <cell r="L4346"/>
        </row>
        <row r="4347">
          <cell r="L4347"/>
        </row>
        <row r="4348">
          <cell r="L4348"/>
        </row>
        <row r="4349">
          <cell r="L4349"/>
        </row>
        <row r="4350">
          <cell r="L4350"/>
        </row>
        <row r="4351">
          <cell r="L4351"/>
        </row>
        <row r="4352">
          <cell r="L4352"/>
        </row>
        <row r="4353">
          <cell r="L4353"/>
        </row>
        <row r="4354">
          <cell r="L4354"/>
        </row>
        <row r="4355">
          <cell r="L4355"/>
        </row>
        <row r="4356">
          <cell r="L4356"/>
        </row>
        <row r="4357">
          <cell r="L4357"/>
        </row>
        <row r="4358">
          <cell r="L4358"/>
        </row>
        <row r="4359">
          <cell r="L4359"/>
        </row>
        <row r="4360">
          <cell r="L4360"/>
        </row>
        <row r="4361">
          <cell r="L4361"/>
        </row>
        <row r="4362">
          <cell r="L4362"/>
        </row>
        <row r="4363">
          <cell r="L4363"/>
        </row>
        <row r="4364">
          <cell r="L4364"/>
        </row>
        <row r="4365">
          <cell r="L4365"/>
        </row>
        <row r="4366">
          <cell r="L4366"/>
        </row>
        <row r="4367">
          <cell r="L4367"/>
        </row>
        <row r="4368">
          <cell r="L4368"/>
        </row>
        <row r="4369">
          <cell r="L4369"/>
        </row>
        <row r="4370">
          <cell r="L4370"/>
        </row>
        <row r="4371">
          <cell r="L4371"/>
        </row>
        <row r="4372">
          <cell r="L4372"/>
        </row>
        <row r="4373">
          <cell r="L4373"/>
        </row>
        <row r="4374">
          <cell r="L4374"/>
        </row>
        <row r="4375">
          <cell r="L4375"/>
        </row>
        <row r="4376">
          <cell r="L4376"/>
        </row>
        <row r="4377">
          <cell r="L4377"/>
        </row>
        <row r="4378">
          <cell r="L4378"/>
        </row>
        <row r="4379">
          <cell r="L4379"/>
        </row>
        <row r="4380">
          <cell r="L4380"/>
        </row>
        <row r="4381">
          <cell r="L4381"/>
        </row>
        <row r="4382">
          <cell r="L4382"/>
        </row>
        <row r="4383">
          <cell r="L4383"/>
        </row>
        <row r="4384">
          <cell r="L4384"/>
        </row>
        <row r="4385">
          <cell r="L4385"/>
        </row>
        <row r="4386">
          <cell r="L4386"/>
        </row>
        <row r="4387">
          <cell r="L4387"/>
        </row>
        <row r="4388">
          <cell r="L4388"/>
        </row>
        <row r="4389">
          <cell r="L4389"/>
        </row>
        <row r="4390">
          <cell r="L4390"/>
        </row>
        <row r="4391">
          <cell r="L4391"/>
        </row>
        <row r="4392">
          <cell r="L4392"/>
        </row>
        <row r="4393">
          <cell r="L4393"/>
        </row>
        <row r="4394">
          <cell r="L4394"/>
        </row>
        <row r="4395">
          <cell r="L4395"/>
        </row>
        <row r="4396">
          <cell r="L4396"/>
        </row>
        <row r="4397">
          <cell r="L4397"/>
        </row>
        <row r="4398">
          <cell r="L4398"/>
        </row>
        <row r="4399">
          <cell r="L4399"/>
        </row>
        <row r="4400">
          <cell r="L4400"/>
        </row>
        <row r="4401">
          <cell r="L4401"/>
        </row>
        <row r="4402">
          <cell r="L4402"/>
        </row>
        <row r="4403">
          <cell r="L4403"/>
        </row>
        <row r="4404">
          <cell r="L4404"/>
        </row>
        <row r="4405">
          <cell r="L4405"/>
        </row>
        <row r="4406">
          <cell r="L4406"/>
        </row>
        <row r="4407">
          <cell r="L4407"/>
        </row>
        <row r="4408">
          <cell r="L4408"/>
        </row>
        <row r="4409">
          <cell r="L4409"/>
        </row>
        <row r="4410">
          <cell r="L4410"/>
        </row>
        <row r="4411">
          <cell r="L4411"/>
        </row>
        <row r="4412">
          <cell r="L4412"/>
        </row>
        <row r="4413">
          <cell r="L4413"/>
        </row>
        <row r="4414">
          <cell r="L4414"/>
        </row>
        <row r="4415">
          <cell r="L4415"/>
        </row>
        <row r="4416">
          <cell r="L4416"/>
        </row>
        <row r="4417">
          <cell r="L4417"/>
        </row>
        <row r="4418">
          <cell r="L4418"/>
        </row>
        <row r="4419">
          <cell r="L4419"/>
        </row>
        <row r="4420">
          <cell r="L4420"/>
        </row>
        <row r="4421">
          <cell r="L4421"/>
        </row>
        <row r="4422">
          <cell r="L4422"/>
        </row>
        <row r="4423">
          <cell r="L4423"/>
        </row>
        <row r="4424">
          <cell r="L4424"/>
        </row>
        <row r="4425">
          <cell r="L4425"/>
        </row>
        <row r="4426">
          <cell r="L4426"/>
        </row>
        <row r="4427">
          <cell r="L4427"/>
        </row>
        <row r="4428">
          <cell r="L4428"/>
        </row>
        <row r="4429">
          <cell r="L4429"/>
        </row>
        <row r="4430">
          <cell r="L4430"/>
        </row>
        <row r="4431">
          <cell r="L4431"/>
        </row>
        <row r="4432">
          <cell r="L4432"/>
        </row>
        <row r="4433">
          <cell r="L4433"/>
        </row>
        <row r="4434">
          <cell r="L4434"/>
        </row>
        <row r="4435">
          <cell r="L4435"/>
        </row>
        <row r="4436">
          <cell r="L4436"/>
        </row>
        <row r="4437">
          <cell r="L4437"/>
        </row>
        <row r="4438">
          <cell r="L4438"/>
        </row>
        <row r="4439">
          <cell r="L4439"/>
        </row>
        <row r="4440">
          <cell r="L4440"/>
        </row>
        <row r="4441">
          <cell r="L4441"/>
        </row>
        <row r="4442">
          <cell r="L4442"/>
        </row>
        <row r="4443">
          <cell r="L4443"/>
        </row>
        <row r="4444">
          <cell r="L4444"/>
        </row>
        <row r="4445">
          <cell r="L4445"/>
        </row>
        <row r="4446">
          <cell r="L4446"/>
        </row>
        <row r="4447">
          <cell r="L4447"/>
        </row>
        <row r="4448">
          <cell r="L4448"/>
        </row>
        <row r="4449">
          <cell r="L4449"/>
        </row>
        <row r="4450">
          <cell r="L4450"/>
        </row>
        <row r="4451">
          <cell r="L4451"/>
        </row>
        <row r="4452">
          <cell r="L4452"/>
        </row>
        <row r="4453">
          <cell r="L4453"/>
        </row>
        <row r="4454">
          <cell r="L4454"/>
        </row>
        <row r="4455">
          <cell r="L4455"/>
        </row>
        <row r="4456">
          <cell r="L4456"/>
        </row>
        <row r="4457">
          <cell r="L4457"/>
        </row>
        <row r="4458">
          <cell r="L4458"/>
        </row>
        <row r="4459">
          <cell r="L4459"/>
        </row>
        <row r="4460">
          <cell r="L4460"/>
        </row>
        <row r="4461">
          <cell r="L4461"/>
        </row>
        <row r="4462">
          <cell r="L4462"/>
        </row>
        <row r="4463">
          <cell r="L4463"/>
        </row>
        <row r="4464">
          <cell r="L4464"/>
        </row>
        <row r="4465">
          <cell r="L4465"/>
        </row>
        <row r="4466">
          <cell r="L4466"/>
        </row>
        <row r="4467">
          <cell r="L4467"/>
        </row>
        <row r="4468">
          <cell r="L4468"/>
        </row>
        <row r="4469">
          <cell r="L4469"/>
        </row>
        <row r="4470">
          <cell r="L4470"/>
        </row>
        <row r="4471">
          <cell r="L4471"/>
        </row>
        <row r="4472">
          <cell r="L4472"/>
        </row>
        <row r="4473">
          <cell r="L4473"/>
        </row>
        <row r="4474">
          <cell r="L4474"/>
        </row>
        <row r="4475">
          <cell r="L4475"/>
        </row>
        <row r="4476">
          <cell r="L4476"/>
        </row>
        <row r="4477">
          <cell r="L4477"/>
        </row>
        <row r="4478">
          <cell r="L4478"/>
        </row>
        <row r="4479">
          <cell r="L4479"/>
        </row>
        <row r="4480">
          <cell r="L4480"/>
        </row>
        <row r="4481">
          <cell r="L4481"/>
        </row>
        <row r="4482">
          <cell r="L4482"/>
        </row>
        <row r="4483">
          <cell r="L4483"/>
        </row>
        <row r="4484">
          <cell r="L4484"/>
        </row>
        <row r="4485">
          <cell r="L4485"/>
        </row>
        <row r="4486">
          <cell r="L4486"/>
        </row>
        <row r="4487">
          <cell r="L4487"/>
        </row>
        <row r="4488">
          <cell r="L4488"/>
        </row>
        <row r="4489">
          <cell r="L4489"/>
        </row>
        <row r="4490">
          <cell r="L4490"/>
        </row>
        <row r="4491">
          <cell r="L4491"/>
        </row>
        <row r="4492">
          <cell r="L4492"/>
        </row>
        <row r="4493">
          <cell r="L4493"/>
        </row>
        <row r="4494">
          <cell r="L4494"/>
        </row>
        <row r="4495">
          <cell r="L4495"/>
        </row>
        <row r="4496">
          <cell r="L4496"/>
        </row>
        <row r="4497">
          <cell r="L4497"/>
        </row>
        <row r="4498">
          <cell r="L4498"/>
        </row>
        <row r="4499">
          <cell r="L4499"/>
        </row>
        <row r="4500">
          <cell r="L4500"/>
        </row>
        <row r="4501">
          <cell r="L4501"/>
        </row>
        <row r="4502">
          <cell r="L4502"/>
        </row>
        <row r="4503">
          <cell r="L4503"/>
        </row>
        <row r="4504">
          <cell r="L4504"/>
        </row>
        <row r="4505">
          <cell r="L4505"/>
        </row>
        <row r="4506">
          <cell r="L4506"/>
        </row>
        <row r="4507">
          <cell r="L4507"/>
        </row>
        <row r="4508">
          <cell r="L4508"/>
        </row>
        <row r="4509">
          <cell r="L4509"/>
        </row>
        <row r="4510">
          <cell r="L4510"/>
        </row>
        <row r="4511">
          <cell r="L4511"/>
        </row>
        <row r="4512">
          <cell r="L4512"/>
        </row>
        <row r="4513">
          <cell r="L4513"/>
        </row>
        <row r="4514">
          <cell r="L4514"/>
        </row>
        <row r="4515">
          <cell r="L4515"/>
        </row>
        <row r="4516">
          <cell r="L4516"/>
        </row>
        <row r="4517">
          <cell r="L4517"/>
        </row>
        <row r="4518">
          <cell r="L4518"/>
        </row>
        <row r="4519">
          <cell r="L4519"/>
        </row>
        <row r="4520">
          <cell r="L4520"/>
        </row>
        <row r="4521">
          <cell r="L4521"/>
        </row>
        <row r="4522">
          <cell r="L4522"/>
        </row>
        <row r="4523">
          <cell r="L4523"/>
        </row>
        <row r="4524">
          <cell r="L4524"/>
        </row>
        <row r="4525">
          <cell r="L4525"/>
        </row>
        <row r="4526">
          <cell r="L4526"/>
        </row>
        <row r="4527">
          <cell r="L4527"/>
        </row>
        <row r="4528">
          <cell r="L4528"/>
        </row>
        <row r="4529">
          <cell r="L4529"/>
        </row>
        <row r="4530">
          <cell r="L4530"/>
        </row>
        <row r="4531">
          <cell r="L4531"/>
        </row>
        <row r="4532">
          <cell r="L4532"/>
        </row>
        <row r="4533">
          <cell r="L4533"/>
        </row>
        <row r="4534">
          <cell r="L4534"/>
        </row>
        <row r="4535">
          <cell r="L4535"/>
        </row>
        <row r="4536">
          <cell r="L4536"/>
        </row>
        <row r="4537">
          <cell r="L4537"/>
        </row>
        <row r="4538">
          <cell r="L4538"/>
        </row>
        <row r="4539">
          <cell r="L4539"/>
        </row>
        <row r="4540">
          <cell r="L4540"/>
        </row>
        <row r="4541">
          <cell r="L4541"/>
        </row>
        <row r="4542">
          <cell r="L4542"/>
        </row>
        <row r="4543">
          <cell r="L4543"/>
        </row>
        <row r="4544">
          <cell r="L4544"/>
        </row>
        <row r="4545">
          <cell r="L4545"/>
        </row>
        <row r="4546">
          <cell r="L4546"/>
        </row>
        <row r="4547">
          <cell r="L4547"/>
        </row>
        <row r="4548">
          <cell r="L4548"/>
        </row>
        <row r="4549">
          <cell r="L4549"/>
        </row>
        <row r="4550">
          <cell r="L4550"/>
        </row>
        <row r="4551">
          <cell r="L4551"/>
        </row>
        <row r="4552">
          <cell r="L4552"/>
        </row>
        <row r="4553">
          <cell r="L4553"/>
        </row>
        <row r="4554">
          <cell r="L4554"/>
        </row>
        <row r="4555">
          <cell r="L4555"/>
        </row>
        <row r="4556">
          <cell r="L4556"/>
        </row>
        <row r="4557">
          <cell r="L4557"/>
        </row>
        <row r="4558">
          <cell r="L4558"/>
        </row>
        <row r="4559">
          <cell r="L4559"/>
        </row>
        <row r="4560">
          <cell r="L4560"/>
        </row>
        <row r="4561">
          <cell r="L4561"/>
        </row>
        <row r="4562">
          <cell r="L4562"/>
        </row>
        <row r="4563">
          <cell r="L4563"/>
        </row>
        <row r="4564">
          <cell r="L4564"/>
        </row>
        <row r="4565">
          <cell r="L4565"/>
        </row>
        <row r="4566">
          <cell r="L4566"/>
        </row>
        <row r="4567">
          <cell r="L4567"/>
        </row>
        <row r="4568">
          <cell r="L4568"/>
        </row>
        <row r="4569">
          <cell r="L4569"/>
        </row>
        <row r="4570">
          <cell r="L4570"/>
        </row>
        <row r="4571">
          <cell r="L4571"/>
        </row>
        <row r="4572">
          <cell r="L4572"/>
        </row>
        <row r="4573">
          <cell r="L4573"/>
        </row>
        <row r="4574">
          <cell r="L4574"/>
        </row>
        <row r="4575">
          <cell r="L4575"/>
        </row>
        <row r="4576">
          <cell r="L4576"/>
        </row>
        <row r="4577">
          <cell r="L4577"/>
        </row>
        <row r="4578">
          <cell r="L4578"/>
        </row>
        <row r="4579">
          <cell r="L4579"/>
        </row>
        <row r="4580">
          <cell r="L4580"/>
        </row>
        <row r="4581">
          <cell r="L4581"/>
        </row>
        <row r="4582">
          <cell r="L4582"/>
        </row>
        <row r="4583">
          <cell r="L4583"/>
        </row>
        <row r="4584">
          <cell r="L4584"/>
        </row>
        <row r="4585">
          <cell r="L4585"/>
        </row>
        <row r="4586">
          <cell r="L4586"/>
        </row>
        <row r="4587">
          <cell r="L4587"/>
        </row>
        <row r="4588">
          <cell r="L4588"/>
        </row>
        <row r="4589">
          <cell r="L4589"/>
        </row>
        <row r="4590">
          <cell r="L4590"/>
        </row>
        <row r="4591">
          <cell r="L4591"/>
        </row>
        <row r="4592">
          <cell r="L4592"/>
        </row>
        <row r="4593">
          <cell r="L4593"/>
        </row>
        <row r="4594">
          <cell r="L4594"/>
        </row>
        <row r="4595">
          <cell r="L4595"/>
        </row>
        <row r="4596">
          <cell r="L4596"/>
        </row>
        <row r="4597">
          <cell r="L4597"/>
        </row>
        <row r="4598">
          <cell r="L4598"/>
        </row>
        <row r="4599">
          <cell r="L4599"/>
        </row>
        <row r="4600">
          <cell r="L4600"/>
        </row>
        <row r="4601">
          <cell r="L4601"/>
        </row>
        <row r="4602">
          <cell r="L4602"/>
        </row>
        <row r="4603">
          <cell r="L4603"/>
        </row>
        <row r="4604">
          <cell r="L4604"/>
        </row>
        <row r="4605">
          <cell r="L4605"/>
        </row>
        <row r="4606">
          <cell r="L4606"/>
        </row>
        <row r="4607">
          <cell r="L4607"/>
        </row>
        <row r="4608">
          <cell r="L4608"/>
        </row>
        <row r="4609">
          <cell r="L4609"/>
        </row>
        <row r="4610">
          <cell r="L4610"/>
        </row>
        <row r="4611">
          <cell r="L4611"/>
        </row>
        <row r="4612">
          <cell r="L4612"/>
        </row>
        <row r="4613">
          <cell r="L4613"/>
        </row>
        <row r="4614">
          <cell r="L4614"/>
        </row>
        <row r="4615">
          <cell r="L4615"/>
        </row>
        <row r="4616">
          <cell r="L4616"/>
        </row>
        <row r="4617">
          <cell r="L4617"/>
        </row>
        <row r="4618">
          <cell r="L4618"/>
        </row>
        <row r="4619">
          <cell r="L4619"/>
        </row>
        <row r="4620">
          <cell r="L4620"/>
        </row>
        <row r="4621">
          <cell r="L4621"/>
        </row>
        <row r="4622">
          <cell r="L4622"/>
        </row>
        <row r="4623">
          <cell r="L4623"/>
        </row>
        <row r="4624">
          <cell r="L4624"/>
        </row>
        <row r="4625">
          <cell r="L4625"/>
        </row>
        <row r="4626">
          <cell r="L4626"/>
        </row>
        <row r="4627">
          <cell r="L4627"/>
        </row>
        <row r="4628">
          <cell r="L4628"/>
        </row>
        <row r="4629">
          <cell r="L4629"/>
        </row>
        <row r="4630">
          <cell r="L4630"/>
        </row>
        <row r="4631">
          <cell r="L4631"/>
        </row>
        <row r="4632">
          <cell r="L4632"/>
        </row>
        <row r="4633">
          <cell r="L4633"/>
        </row>
        <row r="4634">
          <cell r="L4634"/>
        </row>
        <row r="4635">
          <cell r="L4635"/>
        </row>
        <row r="4636">
          <cell r="L4636"/>
        </row>
        <row r="4637">
          <cell r="L4637"/>
        </row>
        <row r="4638">
          <cell r="L4638"/>
        </row>
        <row r="4639">
          <cell r="L4639"/>
        </row>
        <row r="4640">
          <cell r="L4640"/>
        </row>
        <row r="4641">
          <cell r="L4641"/>
        </row>
        <row r="4642">
          <cell r="L4642"/>
        </row>
        <row r="4643">
          <cell r="L4643"/>
        </row>
        <row r="4644">
          <cell r="L4644"/>
        </row>
        <row r="4645">
          <cell r="L4645"/>
        </row>
        <row r="4646">
          <cell r="L4646"/>
        </row>
        <row r="4647">
          <cell r="L4647"/>
        </row>
        <row r="4648">
          <cell r="L4648"/>
        </row>
        <row r="4649">
          <cell r="L4649"/>
        </row>
        <row r="4650">
          <cell r="L4650"/>
        </row>
        <row r="4651">
          <cell r="L4651"/>
        </row>
        <row r="4652">
          <cell r="L4652"/>
        </row>
        <row r="4653">
          <cell r="L4653"/>
        </row>
        <row r="4654">
          <cell r="L4654"/>
        </row>
        <row r="4655">
          <cell r="L4655"/>
        </row>
        <row r="4656">
          <cell r="L4656"/>
        </row>
        <row r="4657">
          <cell r="L4657"/>
        </row>
        <row r="4658">
          <cell r="L4658"/>
        </row>
        <row r="4659">
          <cell r="L4659"/>
        </row>
        <row r="4660">
          <cell r="L4660"/>
        </row>
        <row r="4661">
          <cell r="L4661"/>
        </row>
        <row r="4662">
          <cell r="L4662"/>
        </row>
        <row r="4663">
          <cell r="L4663"/>
        </row>
        <row r="4664">
          <cell r="L4664"/>
        </row>
        <row r="4665">
          <cell r="L4665"/>
        </row>
        <row r="4666">
          <cell r="L4666"/>
        </row>
        <row r="4667">
          <cell r="L4667"/>
        </row>
        <row r="4668">
          <cell r="L4668"/>
        </row>
        <row r="4669">
          <cell r="L4669"/>
        </row>
        <row r="4670">
          <cell r="L4670"/>
        </row>
        <row r="4671">
          <cell r="L4671"/>
        </row>
        <row r="4672">
          <cell r="L4672"/>
        </row>
        <row r="4673">
          <cell r="L4673"/>
        </row>
        <row r="4674">
          <cell r="L4674"/>
        </row>
        <row r="4675">
          <cell r="L4675"/>
        </row>
        <row r="4676">
          <cell r="L4676"/>
        </row>
        <row r="4677">
          <cell r="L4677"/>
        </row>
        <row r="4678">
          <cell r="L4678"/>
        </row>
        <row r="4679">
          <cell r="L4679"/>
        </row>
        <row r="4680">
          <cell r="L4680"/>
        </row>
        <row r="4681">
          <cell r="L4681"/>
        </row>
        <row r="4682">
          <cell r="L4682"/>
        </row>
        <row r="4683">
          <cell r="L4683"/>
        </row>
        <row r="4684">
          <cell r="L4684"/>
        </row>
        <row r="4685">
          <cell r="L4685"/>
        </row>
        <row r="4686">
          <cell r="L4686"/>
        </row>
        <row r="4687">
          <cell r="L4687"/>
        </row>
        <row r="4688">
          <cell r="L4688"/>
        </row>
        <row r="4689">
          <cell r="L4689"/>
        </row>
        <row r="4690">
          <cell r="L4690"/>
        </row>
        <row r="4691">
          <cell r="L4691"/>
        </row>
        <row r="4692">
          <cell r="L4692"/>
        </row>
        <row r="4693">
          <cell r="L4693"/>
        </row>
        <row r="4694">
          <cell r="L4694"/>
        </row>
        <row r="4695">
          <cell r="L4695"/>
        </row>
        <row r="4696">
          <cell r="L4696"/>
        </row>
        <row r="4697">
          <cell r="L4697"/>
        </row>
        <row r="4698">
          <cell r="L4698"/>
        </row>
        <row r="4699">
          <cell r="L4699"/>
        </row>
        <row r="4700">
          <cell r="L4700"/>
        </row>
        <row r="4701">
          <cell r="L4701"/>
        </row>
        <row r="4702">
          <cell r="L4702"/>
        </row>
        <row r="4703">
          <cell r="L4703"/>
        </row>
        <row r="4704">
          <cell r="L4704"/>
        </row>
        <row r="4705">
          <cell r="L4705"/>
        </row>
        <row r="4706">
          <cell r="L4706"/>
        </row>
        <row r="4707">
          <cell r="L4707"/>
        </row>
        <row r="4708">
          <cell r="L4708"/>
        </row>
        <row r="4709">
          <cell r="L4709"/>
        </row>
        <row r="4710">
          <cell r="L4710"/>
        </row>
        <row r="4711">
          <cell r="L4711"/>
        </row>
        <row r="4712">
          <cell r="L4712"/>
        </row>
        <row r="4713">
          <cell r="L4713"/>
        </row>
        <row r="4714">
          <cell r="L4714"/>
        </row>
        <row r="4715">
          <cell r="L4715"/>
        </row>
        <row r="4716">
          <cell r="L4716"/>
        </row>
        <row r="4717">
          <cell r="L4717"/>
        </row>
        <row r="4718">
          <cell r="L4718"/>
        </row>
        <row r="4719">
          <cell r="L4719"/>
        </row>
        <row r="4720">
          <cell r="L4720"/>
        </row>
        <row r="4721">
          <cell r="L4721"/>
        </row>
        <row r="4722">
          <cell r="L4722"/>
        </row>
        <row r="4723">
          <cell r="L4723"/>
        </row>
        <row r="4724">
          <cell r="L4724"/>
        </row>
        <row r="4725">
          <cell r="L4725"/>
        </row>
        <row r="4726">
          <cell r="L4726"/>
        </row>
        <row r="4727">
          <cell r="L4727"/>
        </row>
        <row r="4728">
          <cell r="L4728"/>
        </row>
        <row r="4729">
          <cell r="L4729"/>
        </row>
        <row r="4730">
          <cell r="L4730"/>
        </row>
        <row r="4731">
          <cell r="L4731"/>
        </row>
        <row r="4732">
          <cell r="L4732"/>
        </row>
        <row r="4733">
          <cell r="L4733"/>
        </row>
        <row r="4734">
          <cell r="L4734"/>
        </row>
        <row r="4735">
          <cell r="L4735"/>
        </row>
        <row r="4736">
          <cell r="L4736"/>
        </row>
        <row r="4737">
          <cell r="L4737"/>
        </row>
        <row r="4738">
          <cell r="L4738"/>
        </row>
        <row r="4739">
          <cell r="L4739"/>
        </row>
        <row r="4740">
          <cell r="L4740"/>
        </row>
        <row r="4741">
          <cell r="L4741"/>
        </row>
        <row r="4742">
          <cell r="L4742"/>
        </row>
        <row r="4743">
          <cell r="L4743"/>
        </row>
        <row r="4744">
          <cell r="L4744"/>
        </row>
        <row r="4745">
          <cell r="L4745"/>
        </row>
        <row r="4746">
          <cell r="L4746"/>
        </row>
        <row r="4747">
          <cell r="L4747"/>
        </row>
        <row r="4748">
          <cell r="L4748"/>
        </row>
        <row r="4749">
          <cell r="L4749"/>
        </row>
        <row r="4750">
          <cell r="L4750"/>
        </row>
        <row r="4751">
          <cell r="L4751"/>
        </row>
        <row r="4752">
          <cell r="L4752"/>
        </row>
        <row r="4753">
          <cell r="L4753"/>
        </row>
        <row r="4754">
          <cell r="L4754"/>
        </row>
        <row r="4755">
          <cell r="L4755"/>
        </row>
        <row r="4756">
          <cell r="L4756"/>
        </row>
        <row r="4757">
          <cell r="L4757"/>
        </row>
        <row r="4758">
          <cell r="L4758"/>
        </row>
        <row r="4759">
          <cell r="L4759"/>
        </row>
        <row r="4760">
          <cell r="L4760"/>
        </row>
        <row r="4761">
          <cell r="L4761"/>
        </row>
        <row r="4762">
          <cell r="L4762"/>
        </row>
        <row r="4763">
          <cell r="L4763"/>
        </row>
        <row r="4764">
          <cell r="L4764"/>
        </row>
        <row r="4765">
          <cell r="L4765"/>
        </row>
        <row r="4766">
          <cell r="L4766"/>
        </row>
        <row r="4767">
          <cell r="L4767"/>
        </row>
        <row r="4768">
          <cell r="L4768"/>
        </row>
        <row r="4769">
          <cell r="L4769"/>
        </row>
        <row r="4770">
          <cell r="L4770"/>
        </row>
        <row r="4771">
          <cell r="L4771"/>
        </row>
        <row r="4772">
          <cell r="L4772"/>
        </row>
        <row r="4773">
          <cell r="L4773"/>
        </row>
        <row r="4774">
          <cell r="L4774"/>
        </row>
        <row r="4775">
          <cell r="L4775"/>
        </row>
        <row r="4776">
          <cell r="L4776"/>
        </row>
        <row r="4777">
          <cell r="L4777"/>
        </row>
        <row r="4778">
          <cell r="L4778"/>
        </row>
        <row r="4779">
          <cell r="L4779"/>
        </row>
        <row r="4780">
          <cell r="L4780"/>
        </row>
        <row r="4781">
          <cell r="L4781"/>
        </row>
        <row r="4782">
          <cell r="L4782"/>
        </row>
        <row r="4783">
          <cell r="L4783"/>
        </row>
        <row r="4784">
          <cell r="L4784"/>
        </row>
        <row r="4785">
          <cell r="L4785"/>
        </row>
        <row r="4786">
          <cell r="L4786"/>
        </row>
        <row r="4787">
          <cell r="L4787"/>
        </row>
        <row r="4788">
          <cell r="L4788"/>
        </row>
        <row r="4789">
          <cell r="L4789"/>
        </row>
        <row r="4790">
          <cell r="L4790"/>
        </row>
        <row r="4791">
          <cell r="L4791"/>
        </row>
        <row r="4792">
          <cell r="L4792"/>
        </row>
        <row r="4793">
          <cell r="L4793"/>
        </row>
        <row r="4794">
          <cell r="L4794"/>
        </row>
        <row r="4795">
          <cell r="L4795"/>
        </row>
        <row r="4796">
          <cell r="L4796"/>
        </row>
        <row r="4797">
          <cell r="L4797"/>
        </row>
        <row r="4798">
          <cell r="L4798"/>
        </row>
        <row r="4799">
          <cell r="L4799"/>
        </row>
        <row r="4800">
          <cell r="L4800"/>
        </row>
        <row r="4801">
          <cell r="L4801"/>
        </row>
        <row r="4802">
          <cell r="L4802"/>
        </row>
        <row r="4803">
          <cell r="L4803"/>
        </row>
        <row r="4804">
          <cell r="L4804"/>
        </row>
        <row r="4805">
          <cell r="L4805"/>
        </row>
        <row r="4806">
          <cell r="L4806"/>
        </row>
        <row r="4807">
          <cell r="L4807"/>
        </row>
        <row r="4808">
          <cell r="L4808"/>
        </row>
        <row r="4809">
          <cell r="L4809"/>
        </row>
        <row r="4810">
          <cell r="L4810"/>
        </row>
        <row r="4811">
          <cell r="L4811"/>
        </row>
        <row r="4812">
          <cell r="L4812"/>
        </row>
        <row r="4813">
          <cell r="L4813"/>
        </row>
        <row r="4814">
          <cell r="L4814"/>
        </row>
        <row r="4815">
          <cell r="L4815"/>
        </row>
        <row r="4816">
          <cell r="L4816"/>
        </row>
        <row r="4817">
          <cell r="L4817"/>
        </row>
        <row r="4818">
          <cell r="L4818"/>
        </row>
        <row r="4819">
          <cell r="L4819"/>
        </row>
        <row r="4820">
          <cell r="L4820"/>
        </row>
        <row r="4821">
          <cell r="L4821"/>
        </row>
        <row r="4822">
          <cell r="L4822"/>
        </row>
        <row r="4823">
          <cell r="L4823"/>
        </row>
        <row r="4824">
          <cell r="L4824"/>
        </row>
        <row r="4825">
          <cell r="L4825"/>
        </row>
        <row r="4826">
          <cell r="L4826"/>
        </row>
        <row r="4827">
          <cell r="L4827"/>
        </row>
        <row r="4828">
          <cell r="L4828"/>
        </row>
        <row r="4829">
          <cell r="L4829"/>
        </row>
        <row r="4830">
          <cell r="L4830"/>
        </row>
        <row r="4831">
          <cell r="L4831"/>
        </row>
        <row r="4832">
          <cell r="L4832"/>
        </row>
        <row r="4833">
          <cell r="L4833"/>
        </row>
        <row r="4834">
          <cell r="L4834"/>
        </row>
        <row r="4835">
          <cell r="L4835"/>
        </row>
        <row r="4836">
          <cell r="L4836"/>
        </row>
        <row r="4837">
          <cell r="L4837"/>
        </row>
        <row r="4838">
          <cell r="L4838"/>
        </row>
        <row r="4839">
          <cell r="L4839"/>
        </row>
        <row r="4840">
          <cell r="L4840"/>
        </row>
        <row r="4841">
          <cell r="L4841"/>
        </row>
        <row r="4842">
          <cell r="L4842"/>
        </row>
        <row r="4843">
          <cell r="L4843"/>
        </row>
        <row r="4844">
          <cell r="L4844"/>
        </row>
        <row r="4845">
          <cell r="L4845"/>
        </row>
        <row r="4846">
          <cell r="L4846"/>
        </row>
        <row r="4847">
          <cell r="L4847"/>
        </row>
        <row r="4848">
          <cell r="L4848"/>
        </row>
        <row r="4849">
          <cell r="L4849"/>
        </row>
        <row r="4850">
          <cell r="L4850"/>
        </row>
        <row r="4851">
          <cell r="L4851"/>
        </row>
        <row r="4852">
          <cell r="L4852"/>
        </row>
        <row r="4853">
          <cell r="L4853"/>
        </row>
        <row r="4854">
          <cell r="L4854"/>
        </row>
        <row r="4855">
          <cell r="L4855"/>
        </row>
        <row r="4856">
          <cell r="L4856"/>
        </row>
        <row r="4857">
          <cell r="L4857"/>
        </row>
        <row r="4858">
          <cell r="L4858"/>
        </row>
        <row r="4859">
          <cell r="L4859"/>
        </row>
        <row r="4860">
          <cell r="L4860"/>
        </row>
        <row r="4861">
          <cell r="L4861"/>
        </row>
        <row r="4862">
          <cell r="L4862"/>
        </row>
        <row r="4863">
          <cell r="L4863"/>
        </row>
        <row r="4864">
          <cell r="L4864"/>
        </row>
        <row r="4865">
          <cell r="L4865"/>
        </row>
        <row r="4866">
          <cell r="L4866"/>
        </row>
        <row r="4867">
          <cell r="L4867"/>
        </row>
        <row r="4868">
          <cell r="L4868"/>
        </row>
        <row r="4869">
          <cell r="L4869"/>
        </row>
        <row r="4870">
          <cell r="L4870"/>
        </row>
        <row r="4871">
          <cell r="L4871"/>
        </row>
        <row r="4872">
          <cell r="L4872"/>
        </row>
        <row r="4873">
          <cell r="L4873"/>
        </row>
        <row r="4874">
          <cell r="L4874"/>
        </row>
        <row r="4875">
          <cell r="L4875"/>
        </row>
        <row r="4876">
          <cell r="L4876"/>
        </row>
        <row r="4877">
          <cell r="L4877"/>
        </row>
        <row r="4878">
          <cell r="L4878"/>
        </row>
        <row r="4879">
          <cell r="L4879"/>
        </row>
        <row r="4880">
          <cell r="L4880"/>
        </row>
        <row r="4881">
          <cell r="L4881"/>
        </row>
        <row r="4882">
          <cell r="L4882"/>
        </row>
        <row r="4883">
          <cell r="L4883"/>
        </row>
        <row r="4884">
          <cell r="L4884"/>
        </row>
        <row r="4885">
          <cell r="L4885"/>
        </row>
        <row r="4886">
          <cell r="L4886"/>
        </row>
        <row r="4887">
          <cell r="L4887"/>
        </row>
        <row r="4888">
          <cell r="L4888"/>
        </row>
        <row r="4889">
          <cell r="L4889"/>
        </row>
        <row r="4890">
          <cell r="L4890"/>
        </row>
        <row r="4891">
          <cell r="L4891"/>
        </row>
        <row r="4892">
          <cell r="L4892"/>
        </row>
        <row r="4893">
          <cell r="L4893"/>
        </row>
        <row r="4894">
          <cell r="L4894"/>
        </row>
        <row r="4895">
          <cell r="L4895"/>
        </row>
        <row r="4896">
          <cell r="L4896"/>
        </row>
        <row r="4897">
          <cell r="L4897"/>
        </row>
        <row r="4898">
          <cell r="L4898"/>
        </row>
        <row r="4899">
          <cell r="L4899"/>
        </row>
        <row r="4900">
          <cell r="L4900"/>
        </row>
        <row r="4901">
          <cell r="L4901"/>
        </row>
        <row r="4902">
          <cell r="L4902"/>
        </row>
        <row r="4903">
          <cell r="L4903"/>
        </row>
        <row r="4904">
          <cell r="L4904"/>
        </row>
        <row r="4905">
          <cell r="L4905"/>
        </row>
        <row r="4906">
          <cell r="L4906"/>
        </row>
        <row r="4907">
          <cell r="L4907"/>
        </row>
        <row r="4908">
          <cell r="L4908"/>
        </row>
        <row r="4909">
          <cell r="L4909"/>
        </row>
        <row r="4910">
          <cell r="L4910"/>
        </row>
        <row r="4911">
          <cell r="L4911"/>
        </row>
        <row r="4912">
          <cell r="L4912"/>
        </row>
        <row r="4913">
          <cell r="L4913"/>
        </row>
        <row r="4914">
          <cell r="L4914"/>
        </row>
        <row r="4915">
          <cell r="L4915"/>
        </row>
        <row r="4916">
          <cell r="L4916"/>
        </row>
        <row r="4917">
          <cell r="L4917"/>
        </row>
        <row r="4918">
          <cell r="L4918"/>
        </row>
        <row r="4919">
          <cell r="L4919"/>
        </row>
        <row r="4920">
          <cell r="L4920"/>
        </row>
        <row r="4921">
          <cell r="L4921"/>
        </row>
        <row r="4922">
          <cell r="L4922"/>
        </row>
        <row r="4923">
          <cell r="L4923"/>
        </row>
        <row r="4924">
          <cell r="L4924"/>
        </row>
        <row r="4925">
          <cell r="L4925"/>
        </row>
        <row r="4926">
          <cell r="L4926"/>
        </row>
        <row r="4927">
          <cell r="L4927"/>
        </row>
        <row r="4928">
          <cell r="L4928"/>
        </row>
        <row r="4929">
          <cell r="L4929"/>
        </row>
        <row r="4930">
          <cell r="L4930"/>
        </row>
        <row r="4931">
          <cell r="L4931"/>
        </row>
        <row r="4932">
          <cell r="L4932"/>
        </row>
        <row r="4933">
          <cell r="L4933"/>
        </row>
        <row r="4934">
          <cell r="L4934"/>
        </row>
        <row r="4935">
          <cell r="L4935"/>
        </row>
        <row r="4936">
          <cell r="L4936"/>
        </row>
        <row r="4937">
          <cell r="L4937"/>
        </row>
        <row r="4938">
          <cell r="L4938"/>
        </row>
        <row r="4939">
          <cell r="L4939"/>
        </row>
        <row r="4940">
          <cell r="L4940"/>
        </row>
        <row r="4941">
          <cell r="L4941"/>
        </row>
        <row r="4942">
          <cell r="L4942"/>
        </row>
        <row r="4943">
          <cell r="L4943"/>
        </row>
        <row r="4944">
          <cell r="L4944"/>
        </row>
        <row r="4945">
          <cell r="L4945"/>
        </row>
        <row r="4946">
          <cell r="L4946"/>
        </row>
        <row r="4947">
          <cell r="L4947"/>
        </row>
        <row r="4948">
          <cell r="L4948"/>
        </row>
        <row r="4949">
          <cell r="L4949"/>
        </row>
        <row r="4950">
          <cell r="L4950"/>
        </row>
        <row r="4951">
          <cell r="L4951"/>
        </row>
        <row r="4952">
          <cell r="L4952"/>
        </row>
        <row r="4953">
          <cell r="L4953"/>
        </row>
        <row r="4954">
          <cell r="L4954"/>
        </row>
        <row r="4955">
          <cell r="L4955"/>
        </row>
        <row r="4956">
          <cell r="L4956"/>
        </row>
        <row r="4957">
          <cell r="L4957"/>
        </row>
        <row r="4958">
          <cell r="L4958"/>
        </row>
        <row r="4959">
          <cell r="L4959"/>
        </row>
        <row r="4960">
          <cell r="L4960"/>
        </row>
        <row r="4961">
          <cell r="L4961"/>
        </row>
        <row r="4962">
          <cell r="L4962"/>
        </row>
        <row r="4963">
          <cell r="L4963"/>
        </row>
        <row r="4964">
          <cell r="L4964"/>
        </row>
        <row r="4965">
          <cell r="L4965"/>
        </row>
        <row r="4966">
          <cell r="L4966"/>
        </row>
        <row r="4967">
          <cell r="L4967"/>
        </row>
        <row r="4968">
          <cell r="L4968"/>
        </row>
        <row r="4969">
          <cell r="L4969"/>
        </row>
        <row r="4970">
          <cell r="L4970"/>
        </row>
        <row r="4971">
          <cell r="L4971"/>
        </row>
        <row r="4972">
          <cell r="L4972"/>
        </row>
        <row r="4973">
          <cell r="L4973"/>
        </row>
        <row r="4974">
          <cell r="L4974"/>
        </row>
        <row r="4975">
          <cell r="L4975"/>
        </row>
        <row r="4976">
          <cell r="L4976"/>
        </row>
        <row r="4977">
          <cell r="L4977"/>
        </row>
        <row r="4978">
          <cell r="L4978"/>
        </row>
        <row r="4979">
          <cell r="L4979"/>
        </row>
        <row r="4980">
          <cell r="L4980"/>
        </row>
        <row r="4981">
          <cell r="L4981"/>
        </row>
        <row r="4982">
          <cell r="L4982"/>
        </row>
        <row r="4983">
          <cell r="L4983"/>
        </row>
        <row r="4984">
          <cell r="L4984"/>
        </row>
        <row r="4985">
          <cell r="L4985"/>
        </row>
        <row r="4986">
          <cell r="L4986"/>
        </row>
        <row r="4987">
          <cell r="L4987"/>
        </row>
        <row r="4988">
          <cell r="L4988"/>
        </row>
        <row r="4989">
          <cell r="L4989"/>
        </row>
        <row r="4990">
          <cell r="L4990"/>
        </row>
        <row r="4991">
          <cell r="L4991"/>
        </row>
        <row r="4992">
          <cell r="L4992"/>
        </row>
        <row r="4993">
          <cell r="L4993"/>
        </row>
        <row r="4994">
          <cell r="L4994"/>
        </row>
        <row r="4995">
          <cell r="L4995"/>
        </row>
        <row r="4996">
          <cell r="L4996"/>
        </row>
        <row r="4997">
          <cell r="L4997"/>
        </row>
        <row r="4998">
          <cell r="L4998"/>
        </row>
        <row r="4999">
          <cell r="L4999"/>
        </row>
        <row r="5000">
          <cell r="L5000"/>
        </row>
        <row r="5001">
          <cell r="L5001"/>
        </row>
        <row r="5002">
          <cell r="L5002"/>
        </row>
        <row r="5003">
          <cell r="L5003"/>
        </row>
        <row r="5004">
          <cell r="L5004"/>
        </row>
        <row r="5005">
          <cell r="L5005"/>
        </row>
        <row r="5006">
          <cell r="L5006"/>
        </row>
        <row r="5007">
          <cell r="L5007"/>
        </row>
        <row r="5008">
          <cell r="L5008"/>
        </row>
        <row r="5009">
          <cell r="L5009"/>
        </row>
        <row r="5010">
          <cell r="L5010"/>
        </row>
        <row r="5011">
          <cell r="L5011"/>
        </row>
        <row r="5012">
          <cell r="L5012"/>
        </row>
        <row r="5013">
          <cell r="L5013"/>
        </row>
        <row r="5014">
          <cell r="L5014"/>
        </row>
        <row r="5015">
          <cell r="L5015"/>
        </row>
        <row r="5016">
          <cell r="L5016"/>
        </row>
        <row r="5017">
          <cell r="L5017"/>
        </row>
        <row r="5018">
          <cell r="L5018"/>
        </row>
        <row r="5019">
          <cell r="L5019"/>
        </row>
        <row r="5020">
          <cell r="L5020"/>
        </row>
        <row r="5021">
          <cell r="L5021"/>
        </row>
        <row r="5022">
          <cell r="L5022"/>
        </row>
        <row r="5023">
          <cell r="L5023"/>
        </row>
        <row r="5024">
          <cell r="L5024"/>
        </row>
        <row r="5025">
          <cell r="L5025"/>
        </row>
        <row r="5026">
          <cell r="L5026"/>
        </row>
        <row r="5027">
          <cell r="L5027"/>
        </row>
        <row r="5028">
          <cell r="L5028"/>
        </row>
        <row r="5029">
          <cell r="L5029"/>
        </row>
        <row r="5030">
          <cell r="L5030"/>
        </row>
        <row r="5031">
          <cell r="L5031"/>
        </row>
        <row r="5032">
          <cell r="L5032"/>
        </row>
        <row r="5033">
          <cell r="L5033"/>
        </row>
        <row r="5034">
          <cell r="L5034"/>
        </row>
        <row r="5035">
          <cell r="L5035"/>
        </row>
        <row r="5036">
          <cell r="L5036"/>
        </row>
        <row r="5037">
          <cell r="L5037"/>
        </row>
        <row r="5038">
          <cell r="L5038"/>
        </row>
        <row r="5039">
          <cell r="L5039"/>
        </row>
        <row r="5040">
          <cell r="L5040"/>
        </row>
        <row r="5041">
          <cell r="L5041"/>
        </row>
        <row r="5042">
          <cell r="L5042"/>
        </row>
        <row r="5043">
          <cell r="L5043"/>
        </row>
        <row r="5044">
          <cell r="L5044"/>
        </row>
        <row r="5045">
          <cell r="L5045"/>
        </row>
        <row r="5046">
          <cell r="L5046"/>
        </row>
        <row r="5047">
          <cell r="L5047"/>
        </row>
        <row r="5048">
          <cell r="L5048"/>
        </row>
        <row r="5049">
          <cell r="L5049"/>
        </row>
        <row r="5050">
          <cell r="L5050"/>
        </row>
        <row r="5051">
          <cell r="L5051"/>
        </row>
        <row r="5052">
          <cell r="L5052"/>
        </row>
        <row r="5053">
          <cell r="L5053"/>
        </row>
        <row r="5054">
          <cell r="L5054"/>
        </row>
        <row r="5055">
          <cell r="L5055"/>
        </row>
        <row r="5056">
          <cell r="L5056"/>
        </row>
        <row r="5057">
          <cell r="L5057"/>
        </row>
        <row r="5058">
          <cell r="L5058"/>
        </row>
        <row r="5059">
          <cell r="L5059"/>
        </row>
        <row r="5060">
          <cell r="L5060"/>
        </row>
        <row r="5061">
          <cell r="L5061"/>
        </row>
        <row r="5062">
          <cell r="L5062"/>
        </row>
        <row r="5063">
          <cell r="L5063"/>
        </row>
        <row r="5064">
          <cell r="L5064"/>
        </row>
        <row r="5065">
          <cell r="L5065"/>
        </row>
        <row r="5066">
          <cell r="L5066"/>
        </row>
        <row r="5067">
          <cell r="L5067"/>
        </row>
        <row r="5068">
          <cell r="L5068"/>
        </row>
        <row r="5069">
          <cell r="L5069"/>
        </row>
        <row r="5070">
          <cell r="L5070"/>
        </row>
        <row r="5071">
          <cell r="L5071"/>
        </row>
        <row r="5072">
          <cell r="L5072"/>
        </row>
        <row r="5073">
          <cell r="L5073"/>
        </row>
        <row r="5074">
          <cell r="L5074"/>
        </row>
        <row r="5075">
          <cell r="L5075"/>
        </row>
        <row r="5076">
          <cell r="L5076"/>
        </row>
        <row r="5077">
          <cell r="L5077"/>
        </row>
        <row r="5078">
          <cell r="L5078"/>
        </row>
        <row r="5079">
          <cell r="L5079"/>
        </row>
        <row r="5080">
          <cell r="L5080"/>
        </row>
        <row r="5081">
          <cell r="L5081"/>
        </row>
        <row r="5082">
          <cell r="L5082"/>
        </row>
        <row r="5083">
          <cell r="L5083"/>
        </row>
        <row r="5084">
          <cell r="L5084"/>
        </row>
        <row r="5085">
          <cell r="L5085"/>
        </row>
        <row r="5086">
          <cell r="L5086"/>
        </row>
        <row r="5087">
          <cell r="L5087"/>
        </row>
        <row r="5088">
          <cell r="L5088"/>
        </row>
        <row r="5089">
          <cell r="L5089"/>
        </row>
        <row r="5090">
          <cell r="L5090"/>
        </row>
        <row r="5091">
          <cell r="L5091"/>
        </row>
        <row r="5092">
          <cell r="L5092"/>
        </row>
        <row r="5093">
          <cell r="L5093"/>
        </row>
        <row r="5094">
          <cell r="L5094"/>
        </row>
        <row r="5095">
          <cell r="L5095"/>
        </row>
        <row r="5096">
          <cell r="L5096"/>
        </row>
        <row r="5097">
          <cell r="L5097"/>
        </row>
        <row r="5098">
          <cell r="L5098"/>
        </row>
        <row r="5099">
          <cell r="L5099"/>
        </row>
        <row r="5100">
          <cell r="L5100"/>
        </row>
        <row r="5101">
          <cell r="L5101"/>
        </row>
        <row r="5102">
          <cell r="L5102"/>
        </row>
        <row r="5103">
          <cell r="L5103"/>
        </row>
        <row r="5104">
          <cell r="L5104"/>
        </row>
        <row r="5105">
          <cell r="L5105"/>
        </row>
        <row r="5106">
          <cell r="L5106"/>
        </row>
        <row r="5107">
          <cell r="L5107"/>
        </row>
        <row r="5108">
          <cell r="L5108"/>
        </row>
        <row r="5109">
          <cell r="L5109"/>
        </row>
        <row r="5110">
          <cell r="L5110"/>
        </row>
        <row r="5111">
          <cell r="L5111"/>
        </row>
        <row r="5112">
          <cell r="L5112"/>
        </row>
        <row r="5113">
          <cell r="L5113"/>
        </row>
        <row r="5114">
          <cell r="L5114"/>
        </row>
        <row r="5115">
          <cell r="L5115"/>
        </row>
        <row r="5116">
          <cell r="L5116"/>
        </row>
        <row r="5117">
          <cell r="L5117"/>
        </row>
        <row r="5118">
          <cell r="L5118"/>
        </row>
        <row r="5119">
          <cell r="L5119"/>
        </row>
        <row r="5120">
          <cell r="L5120"/>
        </row>
        <row r="5121">
          <cell r="L5121"/>
        </row>
        <row r="5122">
          <cell r="L5122"/>
        </row>
        <row r="5123">
          <cell r="L5123"/>
        </row>
        <row r="5124">
          <cell r="L5124"/>
        </row>
        <row r="5125">
          <cell r="L5125"/>
        </row>
        <row r="5126">
          <cell r="L5126"/>
        </row>
        <row r="5127">
          <cell r="L5127"/>
        </row>
        <row r="5128">
          <cell r="L5128"/>
        </row>
        <row r="5129">
          <cell r="L5129"/>
        </row>
        <row r="5130">
          <cell r="L5130"/>
        </row>
        <row r="5131">
          <cell r="L5131"/>
        </row>
        <row r="5132">
          <cell r="L5132"/>
        </row>
        <row r="5133">
          <cell r="L5133"/>
        </row>
        <row r="5134">
          <cell r="L5134"/>
        </row>
        <row r="5135">
          <cell r="L5135"/>
        </row>
        <row r="5136">
          <cell r="L5136"/>
        </row>
        <row r="5137">
          <cell r="L5137"/>
        </row>
        <row r="5138">
          <cell r="L5138"/>
        </row>
        <row r="5139">
          <cell r="L5139"/>
        </row>
        <row r="5140">
          <cell r="L5140"/>
        </row>
        <row r="5141">
          <cell r="L5141"/>
        </row>
        <row r="5142">
          <cell r="L5142"/>
        </row>
        <row r="5143">
          <cell r="L5143"/>
        </row>
        <row r="5144">
          <cell r="L5144"/>
        </row>
        <row r="5145">
          <cell r="L5145"/>
        </row>
        <row r="5146">
          <cell r="L5146"/>
        </row>
        <row r="5147">
          <cell r="L5147"/>
        </row>
        <row r="5148">
          <cell r="L5148"/>
        </row>
        <row r="5149">
          <cell r="L5149"/>
        </row>
        <row r="5150">
          <cell r="L5150"/>
        </row>
        <row r="5151">
          <cell r="L5151"/>
        </row>
        <row r="5152">
          <cell r="L5152"/>
        </row>
        <row r="5153">
          <cell r="L5153"/>
        </row>
        <row r="5154">
          <cell r="L5154"/>
        </row>
        <row r="5155">
          <cell r="L5155"/>
        </row>
        <row r="5156">
          <cell r="L5156"/>
        </row>
        <row r="5157">
          <cell r="L5157"/>
        </row>
        <row r="5158">
          <cell r="L5158"/>
        </row>
        <row r="5159">
          <cell r="L5159"/>
        </row>
        <row r="5160">
          <cell r="L5160"/>
        </row>
        <row r="5161">
          <cell r="L5161"/>
        </row>
        <row r="5162">
          <cell r="L5162"/>
        </row>
        <row r="5163">
          <cell r="L5163"/>
        </row>
        <row r="5164">
          <cell r="L5164"/>
        </row>
        <row r="5165">
          <cell r="L5165"/>
        </row>
        <row r="5166">
          <cell r="L5166"/>
        </row>
        <row r="5167">
          <cell r="L5167"/>
        </row>
        <row r="5168">
          <cell r="L5168"/>
        </row>
        <row r="5169">
          <cell r="L5169"/>
        </row>
        <row r="5170">
          <cell r="L5170"/>
        </row>
        <row r="5171">
          <cell r="L5171"/>
        </row>
        <row r="5172">
          <cell r="L5172"/>
        </row>
        <row r="5173">
          <cell r="L5173"/>
        </row>
        <row r="5174">
          <cell r="L5174"/>
        </row>
        <row r="5175">
          <cell r="L5175"/>
        </row>
        <row r="5176">
          <cell r="L5176"/>
        </row>
        <row r="5177">
          <cell r="L5177"/>
        </row>
        <row r="5178">
          <cell r="L5178"/>
        </row>
        <row r="5179">
          <cell r="L5179"/>
        </row>
        <row r="5180">
          <cell r="L5180"/>
        </row>
        <row r="5181">
          <cell r="L5181"/>
        </row>
        <row r="5182">
          <cell r="L5182"/>
        </row>
        <row r="5183">
          <cell r="L5183"/>
        </row>
        <row r="5184">
          <cell r="L5184"/>
        </row>
        <row r="5185">
          <cell r="L5185"/>
        </row>
        <row r="5186">
          <cell r="L5186"/>
        </row>
        <row r="5187">
          <cell r="L5187"/>
        </row>
        <row r="5188">
          <cell r="L5188"/>
        </row>
        <row r="5189">
          <cell r="L5189"/>
        </row>
        <row r="5190">
          <cell r="L5190"/>
        </row>
        <row r="5191">
          <cell r="L5191"/>
        </row>
        <row r="5192">
          <cell r="L5192"/>
        </row>
        <row r="5193">
          <cell r="L5193"/>
        </row>
        <row r="5194">
          <cell r="L5194"/>
        </row>
        <row r="5195">
          <cell r="L5195"/>
        </row>
        <row r="5196">
          <cell r="L5196"/>
        </row>
        <row r="5197">
          <cell r="L5197"/>
        </row>
        <row r="5198">
          <cell r="L5198"/>
        </row>
        <row r="5199">
          <cell r="L5199"/>
        </row>
        <row r="5200">
          <cell r="L5200"/>
        </row>
        <row r="5201">
          <cell r="L5201"/>
        </row>
        <row r="5202">
          <cell r="L5202"/>
        </row>
        <row r="5203">
          <cell r="L5203"/>
        </row>
        <row r="5204">
          <cell r="L5204"/>
        </row>
        <row r="5205">
          <cell r="L5205"/>
        </row>
        <row r="5206">
          <cell r="L5206"/>
        </row>
        <row r="5207">
          <cell r="L5207"/>
        </row>
        <row r="5208">
          <cell r="L5208"/>
        </row>
        <row r="5209">
          <cell r="L5209"/>
        </row>
        <row r="5210">
          <cell r="L5210"/>
        </row>
        <row r="5211">
          <cell r="L5211"/>
        </row>
        <row r="5212">
          <cell r="L5212"/>
        </row>
        <row r="5213">
          <cell r="L5213"/>
        </row>
        <row r="5214">
          <cell r="L5214"/>
        </row>
        <row r="5215">
          <cell r="L5215"/>
        </row>
        <row r="5216">
          <cell r="L5216"/>
        </row>
        <row r="5217">
          <cell r="L5217"/>
        </row>
        <row r="5218">
          <cell r="L5218"/>
        </row>
        <row r="5219">
          <cell r="L5219"/>
        </row>
        <row r="5220">
          <cell r="L5220"/>
        </row>
        <row r="5221">
          <cell r="L5221"/>
        </row>
        <row r="5222">
          <cell r="L5222"/>
        </row>
        <row r="5223">
          <cell r="L5223"/>
        </row>
        <row r="5224">
          <cell r="L5224"/>
        </row>
        <row r="5225">
          <cell r="L5225"/>
        </row>
        <row r="5226">
          <cell r="L5226"/>
        </row>
        <row r="5227">
          <cell r="L5227"/>
        </row>
        <row r="5228">
          <cell r="L5228"/>
        </row>
        <row r="5229">
          <cell r="L5229"/>
        </row>
        <row r="5230">
          <cell r="L5230"/>
        </row>
        <row r="5231">
          <cell r="L5231"/>
        </row>
        <row r="5232">
          <cell r="L5232"/>
        </row>
        <row r="5233">
          <cell r="L5233"/>
        </row>
        <row r="5234">
          <cell r="L5234"/>
        </row>
        <row r="5235">
          <cell r="L5235"/>
        </row>
        <row r="5236">
          <cell r="L5236"/>
        </row>
        <row r="5237">
          <cell r="L5237"/>
        </row>
        <row r="5238">
          <cell r="L5238"/>
        </row>
        <row r="5239">
          <cell r="L5239"/>
        </row>
        <row r="5240">
          <cell r="L5240"/>
        </row>
        <row r="5241">
          <cell r="L5241"/>
        </row>
        <row r="5242">
          <cell r="L5242"/>
        </row>
        <row r="5243">
          <cell r="L5243"/>
        </row>
        <row r="5244">
          <cell r="L5244"/>
        </row>
        <row r="5245">
          <cell r="L5245"/>
        </row>
        <row r="5246">
          <cell r="L5246"/>
        </row>
        <row r="5247">
          <cell r="L5247"/>
        </row>
        <row r="5248">
          <cell r="L5248"/>
        </row>
        <row r="5249">
          <cell r="L5249"/>
        </row>
        <row r="5250">
          <cell r="L5250"/>
        </row>
        <row r="5251">
          <cell r="L5251"/>
        </row>
        <row r="5252">
          <cell r="L5252"/>
        </row>
        <row r="5253">
          <cell r="L5253"/>
        </row>
        <row r="5254">
          <cell r="L5254"/>
        </row>
        <row r="5255">
          <cell r="L5255"/>
        </row>
        <row r="5256">
          <cell r="L5256"/>
        </row>
        <row r="5257">
          <cell r="L5257"/>
        </row>
        <row r="5258">
          <cell r="L5258"/>
        </row>
        <row r="5259">
          <cell r="L5259"/>
        </row>
        <row r="5260">
          <cell r="L5260"/>
        </row>
        <row r="5261">
          <cell r="L5261"/>
        </row>
        <row r="5262">
          <cell r="L5262"/>
        </row>
        <row r="5263">
          <cell r="L5263"/>
        </row>
        <row r="5264">
          <cell r="L5264"/>
        </row>
        <row r="5265">
          <cell r="L5265"/>
        </row>
        <row r="5266">
          <cell r="L5266"/>
        </row>
        <row r="5267">
          <cell r="L5267"/>
        </row>
        <row r="5268">
          <cell r="L5268"/>
        </row>
        <row r="5269">
          <cell r="L5269"/>
        </row>
        <row r="5270">
          <cell r="L5270"/>
        </row>
        <row r="5271">
          <cell r="L5271"/>
        </row>
        <row r="5272">
          <cell r="L5272"/>
        </row>
        <row r="5273">
          <cell r="L5273"/>
        </row>
        <row r="5274">
          <cell r="L5274"/>
        </row>
        <row r="5275">
          <cell r="L5275"/>
        </row>
        <row r="5276">
          <cell r="L5276"/>
        </row>
        <row r="5277">
          <cell r="L5277"/>
        </row>
        <row r="5278">
          <cell r="L5278"/>
        </row>
        <row r="5279">
          <cell r="L5279"/>
        </row>
        <row r="5280">
          <cell r="L5280"/>
        </row>
        <row r="5281">
          <cell r="L5281"/>
        </row>
        <row r="5282">
          <cell r="L5282"/>
        </row>
        <row r="5283">
          <cell r="L5283"/>
        </row>
        <row r="5284">
          <cell r="L5284"/>
        </row>
        <row r="5285">
          <cell r="L5285"/>
        </row>
        <row r="5286">
          <cell r="L5286"/>
        </row>
        <row r="5287">
          <cell r="L5287"/>
        </row>
        <row r="5288">
          <cell r="L5288"/>
        </row>
        <row r="5289">
          <cell r="L5289"/>
        </row>
        <row r="5290">
          <cell r="L5290"/>
        </row>
        <row r="5291">
          <cell r="L5291"/>
        </row>
        <row r="5292">
          <cell r="L5292"/>
        </row>
        <row r="5293">
          <cell r="L5293"/>
        </row>
        <row r="5294">
          <cell r="L5294"/>
        </row>
        <row r="5295">
          <cell r="L5295"/>
        </row>
        <row r="5296">
          <cell r="L5296"/>
        </row>
        <row r="5297">
          <cell r="L5297"/>
        </row>
        <row r="5298">
          <cell r="L5298"/>
        </row>
        <row r="5299">
          <cell r="L5299"/>
        </row>
        <row r="5300">
          <cell r="L5300"/>
        </row>
        <row r="5301">
          <cell r="L5301"/>
        </row>
        <row r="5302">
          <cell r="L5302"/>
        </row>
        <row r="5303">
          <cell r="L5303"/>
        </row>
        <row r="5304">
          <cell r="L5304"/>
        </row>
        <row r="5305">
          <cell r="L5305"/>
        </row>
        <row r="5306">
          <cell r="L5306"/>
        </row>
        <row r="5307">
          <cell r="L5307"/>
        </row>
        <row r="5308">
          <cell r="L5308"/>
        </row>
        <row r="5309">
          <cell r="L5309"/>
        </row>
        <row r="5310">
          <cell r="L5310"/>
        </row>
        <row r="5311">
          <cell r="L5311"/>
        </row>
        <row r="5312">
          <cell r="L5312"/>
        </row>
        <row r="5313">
          <cell r="L5313"/>
        </row>
        <row r="5314">
          <cell r="L5314"/>
        </row>
        <row r="5315">
          <cell r="L5315"/>
        </row>
        <row r="5316">
          <cell r="L5316"/>
        </row>
        <row r="5317">
          <cell r="L5317"/>
        </row>
        <row r="5318">
          <cell r="L5318"/>
        </row>
        <row r="5319">
          <cell r="L5319"/>
        </row>
        <row r="5320">
          <cell r="L5320"/>
        </row>
        <row r="5321">
          <cell r="L5321"/>
        </row>
        <row r="5322">
          <cell r="L5322"/>
        </row>
        <row r="5323">
          <cell r="L5323"/>
        </row>
        <row r="5324">
          <cell r="L5324"/>
        </row>
        <row r="5325">
          <cell r="L5325"/>
        </row>
        <row r="5326">
          <cell r="L5326"/>
        </row>
        <row r="5327">
          <cell r="L5327"/>
        </row>
        <row r="5328">
          <cell r="L5328"/>
        </row>
        <row r="5329">
          <cell r="L5329"/>
        </row>
        <row r="5330">
          <cell r="L5330"/>
        </row>
        <row r="5331">
          <cell r="L5331"/>
        </row>
        <row r="5332">
          <cell r="L5332"/>
        </row>
        <row r="5333">
          <cell r="L5333"/>
        </row>
        <row r="5334">
          <cell r="L5334"/>
        </row>
        <row r="5335">
          <cell r="L5335"/>
        </row>
        <row r="5336">
          <cell r="L5336"/>
        </row>
        <row r="5337">
          <cell r="L5337"/>
        </row>
        <row r="5338">
          <cell r="L5338"/>
        </row>
        <row r="5339">
          <cell r="L5339"/>
        </row>
        <row r="5340">
          <cell r="L5340"/>
        </row>
        <row r="5341">
          <cell r="L5341"/>
        </row>
        <row r="5342">
          <cell r="L5342"/>
        </row>
        <row r="5343">
          <cell r="L5343"/>
        </row>
        <row r="5344">
          <cell r="L5344"/>
        </row>
        <row r="5345">
          <cell r="L5345"/>
        </row>
        <row r="5346">
          <cell r="L5346"/>
        </row>
        <row r="5347">
          <cell r="L5347"/>
        </row>
        <row r="5348">
          <cell r="L5348"/>
        </row>
        <row r="5349">
          <cell r="L5349"/>
        </row>
        <row r="5350">
          <cell r="L5350"/>
        </row>
        <row r="5351">
          <cell r="L5351"/>
        </row>
        <row r="5352">
          <cell r="L5352"/>
        </row>
        <row r="5353">
          <cell r="L5353"/>
        </row>
        <row r="5354">
          <cell r="L5354"/>
        </row>
        <row r="5355">
          <cell r="L5355"/>
        </row>
        <row r="5356">
          <cell r="L5356"/>
        </row>
        <row r="5357">
          <cell r="L5357"/>
        </row>
        <row r="5358">
          <cell r="L5358"/>
        </row>
        <row r="5359">
          <cell r="L5359"/>
        </row>
        <row r="5360">
          <cell r="L5360"/>
        </row>
        <row r="5361">
          <cell r="L5361"/>
        </row>
        <row r="5362">
          <cell r="L5362"/>
        </row>
        <row r="5363">
          <cell r="L5363"/>
        </row>
        <row r="5364">
          <cell r="L5364"/>
        </row>
        <row r="5365">
          <cell r="L5365"/>
        </row>
        <row r="5366">
          <cell r="L5366"/>
        </row>
        <row r="5367">
          <cell r="L5367"/>
        </row>
        <row r="5368">
          <cell r="L5368"/>
        </row>
        <row r="5369">
          <cell r="L5369"/>
        </row>
        <row r="5370">
          <cell r="L5370"/>
        </row>
        <row r="5371">
          <cell r="L5371"/>
        </row>
        <row r="5372">
          <cell r="L5372"/>
        </row>
        <row r="5373">
          <cell r="L5373"/>
        </row>
        <row r="5374">
          <cell r="L5374"/>
        </row>
        <row r="5375">
          <cell r="L5375"/>
        </row>
        <row r="5376">
          <cell r="L5376"/>
        </row>
        <row r="5377">
          <cell r="L5377"/>
        </row>
        <row r="5378">
          <cell r="L5378"/>
        </row>
        <row r="5379">
          <cell r="L5379"/>
        </row>
        <row r="5380">
          <cell r="L5380"/>
        </row>
        <row r="5381">
          <cell r="L5381"/>
        </row>
        <row r="5382">
          <cell r="L5382"/>
        </row>
        <row r="5383">
          <cell r="L5383"/>
        </row>
        <row r="5384">
          <cell r="L5384"/>
        </row>
        <row r="5385">
          <cell r="L5385"/>
        </row>
        <row r="5386">
          <cell r="L5386"/>
        </row>
        <row r="5387">
          <cell r="L5387"/>
        </row>
        <row r="5388">
          <cell r="L5388"/>
        </row>
        <row r="5389">
          <cell r="L5389"/>
        </row>
        <row r="5390">
          <cell r="L5390"/>
        </row>
        <row r="5391">
          <cell r="L5391"/>
        </row>
        <row r="5392">
          <cell r="L5392"/>
        </row>
        <row r="5393">
          <cell r="L5393"/>
        </row>
        <row r="5394">
          <cell r="L5394"/>
        </row>
        <row r="5395">
          <cell r="L5395"/>
        </row>
        <row r="5396">
          <cell r="L5396"/>
        </row>
        <row r="5397">
          <cell r="L5397"/>
        </row>
        <row r="5398">
          <cell r="L5398"/>
        </row>
        <row r="5399">
          <cell r="L5399"/>
        </row>
        <row r="5400">
          <cell r="L5400"/>
        </row>
        <row r="5401">
          <cell r="L5401"/>
        </row>
        <row r="5402">
          <cell r="L5402"/>
        </row>
        <row r="5403">
          <cell r="L5403"/>
        </row>
        <row r="5404">
          <cell r="L5404"/>
        </row>
        <row r="5405">
          <cell r="L5405"/>
        </row>
        <row r="5406">
          <cell r="L5406"/>
        </row>
        <row r="5407">
          <cell r="L5407"/>
        </row>
        <row r="5408">
          <cell r="L5408"/>
        </row>
        <row r="5409">
          <cell r="L5409"/>
        </row>
        <row r="5410">
          <cell r="L5410"/>
        </row>
        <row r="5411">
          <cell r="L5411"/>
        </row>
        <row r="5412">
          <cell r="L5412"/>
        </row>
        <row r="5413">
          <cell r="L5413"/>
        </row>
        <row r="5414">
          <cell r="L5414"/>
        </row>
        <row r="5415">
          <cell r="L5415"/>
        </row>
        <row r="5416">
          <cell r="L5416"/>
        </row>
        <row r="5417">
          <cell r="L5417"/>
        </row>
        <row r="5418">
          <cell r="L5418"/>
        </row>
        <row r="5419">
          <cell r="L5419"/>
        </row>
        <row r="5420">
          <cell r="L5420"/>
        </row>
        <row r="5421">
          <cell r="L5421"/>
        </row>
        <row r="5422">
          <cell r="L5422"/>
        </row>
        <row r="5423">
          <cell r="L5423"/>
        </row>
        <row r="5424">
          <cell r="L5424"/>
        </row>
        <row r="5425">
          <cell r="L5425"/>
        </row>
        <row r="5426">
          <cell r="L5426"/>
        </row>
        <row r="5427">
          <cell r="L5427"/>
        </row>
        <row r="5428">
          <cell r="L5428"/>
        </row>
        <row r="5429">
          <cell r="L5429"/>
        </row>
        <row r="5430">
          <cell r="L5430"/>
        </row>
        <row r="5431">
          <cell r="L5431"/>
        </row>
        <row r="5432">
          <cell r="L5432"/>
        </row>
        <row r="5433">
          <cell r="L5433"/>
        </row>
        <row r="5434">
          <cell r="L5434"/>
        </row>
        <row r="5435">
          <cell r="L5435"/>
        </row>
        <row r="5436">
          <cell r="L5436"/>
        </row>
        <row r="5437">
          <cell r="L5437"/>
        </row>
        <row r="5438">
          <cell r="L5438"/>
        </row>
        <row r="5439">
          <cell r="L5439"/>
        </row>
        <row r="5440">
          <cell r="L5440"/>
        </row>
        <row r="5441">
          <cell r="L5441"/>
        </row>
        <row r="5442">
          <cell r="L5442"/>
        </row>
        <row r="5443">
          <cell r="L5443"/>
        </row>
        <row r="5444">
          <cell r="L5444"/>
        </row>
        <row r="5445">
          <cell r="L5445"/>
        </row>
        <row r="5446">
          <cell r="L5446"/>
        </row>
        <row r="5447">
          <cell r="L5447"/>
        </row>
        <row r="5448">
          <cell r="L5448"/>
        </row>
        <row r="5449">
          <cell r="L5449"/>
        </row>
        <row r="5450">
          <cell r="L5450"/>
        </row>
        <row r="5451">
          <cell r="L5451"/>
        </row>
        <row r="5452">
          <cell r="L5452"/>
        </row>
        <row r="5453">
          <cell r="L5453"/>
        </row>
        <row r="5454">
          <cell r="L5454"/>
        </row>
        <row r="5455">
          <cell r="L5455"/>
        </row>
        <row r="5456">
          <cell r="L5456"/>
        </row>
        <row r="5457">
          <cell r="L5457"/>
        </row>
        <row r="5458">
          <cell r="L5458"/>
        </row>
        <row r="5459">
          <cell r="L5459"/>
        </row>
        <row r="5460">
          <cell r="L5460"/>
        </row>
        <row r="5461">
          <cell r="L5461"/>
        </row>
        <row r="5462">
          <cell r="L5462"/>
        </row>
        <row r="5463">
          <cell r="L5463"/>
        </row>
        <row r="5464">
          <cell r="L5464"/>
        </row>
        <row r="5465">
          <cell r="L5465"/>
        </row>
        <row r="5466">
          <cell r="L5466"/>
        </row>
        <row r="5467">
          <cell r="L5467"/>
        </row>
        <row r="5468">
          <cell r="L5468"/>
        </row>
        <row r="5469">
          <cell r="L5469"/>
        </row>
        <row r="5470">
          <cell r="L5470"/>
        </row>
        <row r="5471">
          <cell r="L5471"/>
        </row>
        <row r="5472">
          <cell r="L5472"/>
        </row>
        <row r="5473">
          <cell r="L5473"/>
        </row>
        <row r="5474">
          <cell r="L5474"/>
        </row>
        <row r="5475">
          <cell r="L5475"/>
        </row>
        <row r="5476">
          <cell r="L5476"/>
        </row>
        <row r="5477">
          <cell r="L5477"/>
        </row>
        <row r="5478">
          <cell r="L5478"/>
        </row>
        <row r="5479">
          <cell r="L5479"/>
        </row>
        <row r="5480">
          <cell r="L5480"/>
        </row>
        <row r="5481">
          <cell r="L5481"/>
        </row>
        <row r="5482">
          <cell r="L5482"/>
        </row>
        <row r="5483">
          <cell r="L5483"/>
        </row>
        <row r="5484">
          <cell r="L5484"/>
        </row>
        <row r="5485">
          <cell r="L5485"/>
        </row>
        <row r="5486">
          <cell r="L5486"/>
        </row>
        <row r="5487">
          <cell r="L5487"/>
        </row>
        <row r="5488">
          <cell r="L5488"/>
        </row>
        <row r="5489">
          <cell r="L5489"/>
        </row>
        <row r="5490">
          <cell r="L5490"/>
        </row>
        <row r="5491">
          <cell r="L5491"/>
        </row>
        <row r="5492">
          <cell r="L5492"/>
        </row>
        <row r="5493">
          <cell r="L5493"/>
        </row>
        <row r="5494">
          <cell r="L5494"/>
        </row>
        <row r="5495">
          <cell r="L5495"/>
        </row>
        <row r="5496">
          <cell r="L5496"/>
        </row>
        <row r="5497">
          <cell r="L5497"/>
        </row>
        <row r="5498">
          <cell r="L5498"/>
        </row>
        <row r="5499">
          <cell r="L5499"/>
        </row>
        <row r="5500">
          <cell r="L5500"/>
        </row>
        <row r="5501">
          <cell r="L5501"/>
        </row>
        <row r="5502">
          <cell r="L5502"/>
        </row>
        <row r="5503">
          <cell r="L5503"/>
        </row>
        <row r="5504">
          <cell r="L5504"/>
        </row>
        <row r="5505">
          <cell r="L5505"/>
        </row>
        <row r="5506">
          <cell r="L5506"/>
        </row>
        <row r="5507">
          <cell r="L5507"/>
        </row>
        <row r="5508">
          <cell r="L5508"/>
        </row>
        <row r="5509">
          <cell r="L5509"/>
        </row>
        <row r="5510">
          <cell r="L5510"/>
        </row>
        <row r="5511">
          <cell r="L5511"/>
        </row>
        <row r="5512">
          <cell r="L5512"/>
        </row>
        <row r="5513">
          <cell r="L5513"/>
        </row>
        <row r="5514">
          <cell r="L5514"/>
        </row>
        <row r="5515">
          <cell r="L5515"/>
        </row>
        <row r="5516">
          <cell r="L5516"/>
        </row>
        <row r="5517">
          <cell r="L5517"/>
        </row>
        <row r="5518">
          <cell r="L5518"/>
        </row>
        <row r="5519">
          <cell r="L5519"/>
        </row>
        <row r="5520">
          <cell r="L5520"/>
        </row>
        <row r="5521">
          <cell r="L5521"/>
        </row>
        <row r="5522">
          <cell r="L5522"/>
        </row>
        <row r="5523">
          <cell r="L5523"/>
        </row>
        <row r="5524">
          <cell r="L5524"/>
        </row>
        <row r="5525">
          <cell r="L5525"/>
        </row>
        <row r="5526">
          <cell r="L5526"/>
        </row>
        <row r="5527">
          <cell r="L5527"/>
        </row>
        <row r="5528">
          <cell r="L5528"/>
        </row>
        <row r="5529">
          <cell r="L5529"/>
        </row>
        <row r="5530">
          <cell r="L5530"/>
        </row>
        <row r="5531">
          <cell r="L5531"/>
        </row>
        <row r="5532">
          <cell r="L5532"/>
        </row>
        <row r="5533">
          <cell r="L5533"/>
        </row>
        <row r="5534">
          <cell r="L5534"/>
        </row>
        <row r="5535">
          <cell r="L5535"/>
        </row>
        <row r="5536">
          <cell r="L5536"/>
        </row>
        <row r="5537">
          <cell r="L5537"/>
        </row>
        <row r="5538">
          <cell r="L5538"/>
        </row>
        <row r="5539">
          <cell r="L5539"/>
        </row>
        <row r="5540">
          <cell r="L5540"/>
        </row>
        <row r="5541">
          <cell r="L5541"/>
        </row>
        <row r="5542">
          <cell r="L5542"/>
        </row>
        <row r="5543">
          <cell r="L5543"/>
        </row>
        <row r="5544">
          <cell r="L5544"/>
        </row>
        <row r="5545">
          <cell r="L5545"/>
        </row>
        <row r="5546">
          <cell r="L5546"/>
        </row>
        <row r="5547">
          <cell r="L5547"/>
        </row>
        <row r="5548">
          <cell r="L5548"/>
        </row>
        <row r="5549">
          <cell r="L5549"/>
        </row>
        <row r="5550">
          <cell r="L5550"/>
        </row>
        <row r="5551">
          <cell r="L5551"/>
        </row>
        <row r="5552">
          <cell r="L5552"/>
        </row>
        <row r="5553">
          <cell r="L5553"/>
        </row>
        <row r="5554">
          <cell r="L5554"/>
        </row>
        <row r="5555">
          <cell r="L5555"/>
        </row>
        <row r="5556">
          <cell r="L5556"/>
        </row>
        <row r="5557">
          <cell r="L5557"/>
        </row>
        <row r="5558">
          <cell r="L5558"/>
        </row>
        <row r="5559">
          <cell r="L5559"/>
        </row>
        <row r="5560">
          <cell r="L5560"/>
        </row>
        <row r="5561">
          <cell r="L5561"/>
        </row>
        <row r="5562">
          <cell r="L5562"/>
        </row>
        <row r="5563">
          <cell r="L5563"/>
        </row>
        <row r="5564">
          <cell r="L5564"/>
        </row>
        <row r="5565">
          <cell r="L5565"/>
        </row>
        <row r="5566">
          <cell r="L5566"/>
        </row>
        <row r="5567">
          <cell r="L5567"/>
        </row>
        <row r="5568">
          <cell r="L5568"/>
        </row>
        <row r="5569">
          <cell r="L5569"/>
        </row>
        <row r="5570">
          <cell r="L5570"/>
        </row>
        <row r="5571">
          <cell r="L5571"/>
        </row>
        <row r="5572">
          <cell r="L5572"/>
        </row>
        <row r="5573">
          <cell r="L5573"/>
        </row>
        <row r="5574">
          <cell r="L5574"/>
        </row>
        <row r="5575">
          <cell r="L5575"/>
        </row>
        <row r="5576">
          <cell r="L5576"/>
        </row>
        <row r="5577">
          <cell r="L5577"/>
        </row>
        <row r="5578">
          <cell r="L5578"/>
        </row>
        <row r="5579">
          <cell r="L5579"/>
        </row>
        <row r="5580">
          <cell r="L5580"/>
        </row>
        <row r="5581">
          <cell r="L5581"/>
        </row>
        <row r="5582">
          <cell r="L5582"/>
        </row>
        <row r="5583">
          <cell r="L5583"/>
        </row>
        <row r="5584">
          <cell r="L5584"/>
        </row>
        <row r="5585">
          <cell r="L5585"/>
        </row>
        <row r="5586">
          <cell r="L5586"/>
        </row>
        <row r="5587">
          <cell r="L5587"/>
        </row>
        <row r="5588">
          <cell r="L5588"/>
        </row>
        <row r="5589">
          <cell r="L5589"/>
        </row>
        <row r="5590">
          <cell r="L5590"/>
        </row>
        <row r="5591">
          <cell r="L5591"/>
        </row>
        <row r="5592">
          <cell r="L5592"/>
        </row>
        <row r="5593">
          <cell r="L5593"/>
        </row>
        <row r="5594">
          <cell r="L5594"/>
        </row>
        <row r="5595">
          <cell r="L5595"/>
        </row>
        <row r="5596">
          <cell r="L5596"/>
        </row>
        <row r="5597">
          <cell r="L5597"/>
        </row>
        <row r="5598">
          <cell r="L5598"/>
        </row>
        <row r="5599">
          <cell r="L5599"/>
        </row>
        <row r="5600">
          <cell r="L5600"/>
        </row>
        <row r="5601">
          <cell r="L5601"/>
        </row>
        <row r="5602">
          <cell r="L5602"/>
        </row>
        <row r="5603">
          <cell r="L5603"/>
        </row>
        <row r="5604">
          <cell r="L5604"/>
        </row>
        <row r="5605">
          <cell r="L5605"/>
        </row>
        <row r="5606">
          <cell r="L5606"/>
        </row>
        <row r="5607">
          <cell r="L5607"/>
        </row>
        <row r="5608">
          <cell r="L5608"/>
        </row>
        <row r="5609">
          <cell r="L5609"/>
        </row>
        <row r="5610">
          <cell r="L5610"/>
        </row>
        <row r="5611">
          <cell r="L5611"/>
        </row>
        <row r="5612">
          <cell r="L5612"/>
        </row>
        <row r="5613">
          <cell r="L5613"/>
        </row>
        <row r="5614">
          <cell r="L5614"/>
        </row>
        <row r="5615">
          <cell r="L5615"/>
        </row>
        <row r="5616">
          <cell r="L5616"/>
        </row>
        <row r="5617">
          <cell r="L5617"/>
        </row>
        <row r="5618">
          <cell r="L5618"/>
        </row>
        <row r="5619">
          <cell r="L5619"/>
        </row>
        <row r="5620">
          <cell r="L5620"/>
        </row>
        <row r="5621">
          <cell r="L5621"/>
        </row>
        <row r="5622">
          <cell r="L5622"/>
        </row>
        <row r="5623">
          <cell r="L5623"/>
        </row>
        <row r="5624">
          <cell r="L5624"/>
        </row>
        <row r="5625">
          <cell r="L5625"/>
        </row>
        <row r="5626">
          <cell r="L5626"/>
        </row>
        <row r="5627">
          <cell r="L5627"/>
        </row>
        <row r="5628">
          <cell r="L5628"/>
        </row>
        <row r="5629">
          <cell r="L5629"/>
        </row>
        <row r="5630">
          <cell r="L5630"/>
        </row>
        <row r="5631">
          <cell r="L5631"/>
        </row>
        <row r="5632">
          <cell r="L5632"/>
        </row>
        <row r="5633">
          <cell r="L5633"/>
        </row>
        <row r="5634">
          <cell r="L5634"/>
        </row>
        <row r="5635">
          <cell r="L5635"/>
        </row>
        <row r="5636">
          <cell r="L5636"/>
        </row>
        <row r="5637">
          <cell r="L5637"/>
        </row>
        <row r="5638">
          <cell r="L5638"/>
        </row>
        <row r="5639">
          <cell r="L5639"/>
        </row>
        <row r="5640">
          <cell r="L5640"/>
        </row>
        <row r="5641">
          <cell r="L5641"/>
        </row>
        <row r="5642">
          <cell r="L5642"/>
        </row>
        <row r="5643">
          <cell r="L5643"/>
        </row>
        <row r="5644">
          <cell r="L5644"/>
        </row>
        <row r="5645">
          <cell r="L5645"/>
        </row>
        <row r="5646">
          <cell r="L5646"/>
        </row>
        <row r="5647">
          <cell r="L5647"/>
        </row>
        <row r="5648">
          <cell r="L5648"/>
        </row>
        <row r="5649">
          <cell r="L5649"/>
        </row>
        <row r="5650">
          <cell r="L5650"/>
        </row>
        <row r="5651">
          <cell r="L5651"/>
        </row>
        <row r="5652">
          <cell r="L5652"/>
        </row>
        <row r="5653">
          <cell r="L5653"/>
        </row>
        <row r="5654">
          <cell r="L5654"/>
        </row>
        <row r="5655">
          <cell r="L5655"/>
        </row>
        <row r="5656">
          <cell r="L5656"/>
        </row>
        <row r="5657">
          <cell r="L5657"/>
        </row>
        <row r="5658">
          <cell r="L5658"/>
        </row>
        <row r="5659">
          <cell r="L5659"/>
        </row>
        <row r="5660">
          <cell r="L5660"/>
        </row>
        <row r="5661">
          <cell r="L5661"/>
        </row>
        <row r="5662">
          <cell r="L5662"/>
        </row>
        <row r="5663">
          <cell r="L5663"/>
        </row>
        <row r="5664">
          <cell r="L5664"/>
        </row>
        <row r="5665">
          <cell r="L5665"/>
        </row>
        <row r="5666">
          <cell r="L5666"/>
        </row>
        <row r="5667">
          <cell r="L5667"/>
        </row>
        <row r="5668">
          <cell r="L5668"/>
        </row>
        <row r="5669">
          <cell r="L5669"/>
        </row>
        <row r="5670">
          <cell r="L5670"/>
        </row>
        <row r="5671">
          <cell r="L5671"/>
        </row>
        <row r="5672">
          <cell r="L5672"/>
        </row>
        <row r="5673">
          <cell r="L5673"/>
        </row>
        <row r="5674">
          <cell r="L5674"/>
        </row>
        <row r="5675">
          <cell r="L5675"/>
        </row>
        <row r="5676">
          <cell r="L5676"/>
        </row>
        <row r="5677">
          <cell r="L5677"/>
        </row>
        <row r="5678">
          <cell r="L5678"/>
        </row>
        <row r="5679">
          <cell r="L5679"/>
        </row>
        <row r="5680">
          <cell r="L5680"/>
        </row>
        <row r="5681">
          <cell r="L5681"/>
        </row>
        <row r="5682">
          <cell r="L5682"/>
        </row>
        <row r="5683">
          <cell r="L5683"/>
        </row>
        <row r="5684">
          <cell r="L5684"/>
        </row>
        <row r="5685">
          <cell r="L5685"/>
        </row>
        <row r="5686">
          <cell r="L5686"/>
        </row>
        <row r="5687">
          <cell r="L5687"/>
        </row>
        <row r="5688">
          <cell r="L5688"/>
        </row>
        <row r="5689">
          <cell r="L5689"/>
        </row>
        <row r="5690">
          <cell r="L5690"/>
        </row>
        <row r="5691">
          <cell r="L5691"/>
        </row>
        <row r="5692">
          <cell r="L5692"/>
        </row>
        <row r="5693">
          <cell r="L5693"/>
        </row>
        <row r="5694">
          <cell r="L5694"/>
        </row>
        <row r="5695">
          <cell r="L5695"/>
        </row>
        <row r="5696">
          <cell r="L5696"/>
        </row>
        <row r="5697">
          <cell r="L5697"/>
        </row>
        <row r="5698">
          <cell r="L5698"/>
        </row>
        <row r="5699">
          <cell r="L5699"/>
        </row>
        <row r="5700">
          <cell r="L5700"/>
        </row>
        <row r="5701">
          <cell r="L5701"/>
        </row>
        <row r="5702">
          <cell r="L5702"/>
        </row>
        <row r="5703">
          <cell r="L5703"/>
        </row>
        <row r="5704">
          <cell r="L5704"/>
        </row>
        <row r="5705">
          <cell r="L5705"/>
        </row>
        <row r="5706">
          <cell r="L5706"/>
        </row>
        <row r="5707">
          <cell r="L5707"/>
        </row>
        <row r="5708">
          <cell r="L5708"/>
        </row>
        <row r="5709">
          <cell r="L5709"/>
        </row>
        <row r="5710">
          <cell r="L5710"/>
        </row>
        <row r="5711">
          <cell r="L5711"/>
        </row>
        <row r="5712">
          <cell r="L5712"/>
        </row>
        <row r="5713">
          <cell r="L5713"/>
        </row>
        <row r="5714">
          <cell r="L5714"/>
        </row>
        <row r="5715">
          <cell r="L5715"/>
        </row>
        <row r="5716">
          <cell r="L5716"/>
        </row>
        <row r="5717">
          <cell r="L5717"/>
        </row>
        <row r="5718">
          <cell r="L5718"/>
        </row>
        <row r="5719">
          <cell r="L5719"/>
        </row>
        <row r="5720">
          <cell r="L5720"/>
        </row>
        <row r="5721">
          <cell r="L5721"/>
        </row>
        <row r="5722">
          <cell r="L5722"/>
        </row>
        <row r="5723">
          <cell r="L5723"/>
        </row>
        <row r="5724">
          <cell r="L5724"/>
        </row>
        <row r="5725">
          <cell r="L5725"/>
        </row>
        <row r="5726">
          <cell r="L5726"/>
        </row>
        <row r="5727">
          <cell r="L5727"/>
        </row>
        <row r="5728">
          <cell r="L5728"/>
        </row>
        <row r="5729">
          <cell r="L5729"/>
        </row>
        <row r="5730">
          <cell r="L5730"/>
        </row>
        <row r="5731">
          <cell r="L5731"/>
        </row>
        <row r="5732">
          <cell r="L5732"/>
        </row>
        <row r="5733">
          <cell r="L5733"/>
        </row>
        <row r="5734">
          <cell r="L5734"/>
        </row>
        <row r="5735">
          <cell r="L5735"/>
        </row>
        <row r="5736">
          <cell r="L5736"/>
        </row>
        <row r="5737">
          <cell r="L5737"/>
        </row>
        <row r="5738">
          <cell r="L5738"/>
        </row>
        <row r="5739">
          <cell r="L5739"/>
        </row>
        <row r="5740">
          <cell r="L5740"/>
        </row>
        <row r="5741">
          <cell r="L5741"/>
        </row>
        <row r="5742">
          <cell r="L5742"/>
        </row>
        <row r="5743">
          <cell r="L5743"/>
        </row>
        <row r="5744">
          <cell r="L5744"/>
        </row>
        <row r="5745">
          <cell r="L5745"/>
        </row>
        <row r="5746">
          <cell r="L5746"/>
        </row>
        <row r="5747">
          <cell r="L5747"/>
        </row>
        <row r="5748">
          <cell r="L5748"/>
        </row>
        <row r="5749">
          <cell r="L5749"/>
        </row>
        <row r="5750">
          <cell r="L5750"/>
        </row>
        <row r="5751">
          <cell r="L5751"/>
        </row>
        <row r="5752">
          <cell r="L5752"/>
        </row>
        <row r="5753">
          <cell r="L5753"/>
        </row>
        <row r="5754">
          <cell r="L5754"/>
        </row>
        <row r="5755">
          <cell r="L5755"/>
        </row>
        <row r="5756">
          <cell r="L5756"/>
        </row>
        <row r="5757">
          <cell r="L5757"/>
        </row>
        <row r="5758">
          <cell r="L5758"/>
        </row>
        <row r="5759">
          <cell r="L5759"/>
        </row>
        <row r="5760">
          <cell r="L5760"/>
        </row>
        <row r="5761">
          <cell r="L5761"/>
        </row>
        <row r="5762">
          <cell r="L5762"/>
        </row>
        <row r="5763">
          <cell r="L5763"/>
        </row>
        <row r="5764">
          <cell r="L5764"/>
        </row>
        <row r="5765">
          <cell r="L5765"/>
        </row>
        <row r="5766">
          <cell r="L5766"/>
        </row>
        <row r="5767">
          <cell r="L5767"/>
        </row>
        <row r="5768">
          <cell r="L5768"/>
        </row>
        <row r="5769">
          <cell r="L5769"/>
        </row>
        <row r="5770">
          <cell r="L5770"/>
        </row>
        <row r="5771">
          <cell r="L5771"/>
        </row>
        <row r="5772">
          <cell r="L5772"/>
        </row>
        <row r="5773">
          <cell r="L5773"/>
        </row>
        <row r="5774">
          <cell r="L5774"/>
        </row>
        <row r="5775">
          <cell r="L5775"/>
        </row>
        <row r="5776">
          <cell r="L5776"/>
        </row>
        <row r="5777">
          <cell r="L5777"/>
        </row>
        <row r="5778">
          <cell r="L5778"/>
        </row>
        <row r="5779">
          <cell r="L5779"/>
        </row>
        <row r="5780">
          <cell r="L5780"/>
        </row>
        <row r="5781">
          <cell r="L5781"/>
        </row>
        <row r="5782">
          <cell r="L5782"/>
        </row>
        <row r="5783">
          <cell r="L5783"/>
        </row>
        <row r="5784">
          <cell r="L5784"/>
        </row>
        <row r="5785">
          <cell r="L5785"/>
        </row>
        <row r="5786">
          <cell r="L5786"/>
        </row>
        <row r="5787">
          <cell r="L5787"/>
        </row>
        <row r="5788">
          <cell r="L5788"/>
        </row>
        <row r="5789">
          <cell r="L5789"/>
        </row>
        <row r="5790">
          <cell r="L5790"/>
        </row>
        <row r="5791">
          <cell r="L5791"/>
        </row>
        <row r="5792">
          <cell r="L5792"/>
        </row>
        <row r="5793">
          <cell r="L5793"/>
        </row>
        <row r="5794">
          <cell r="L5794"/>
        </row>
        <row r="5795">
          <cell r="L5795"/>
        </row>
        <row r="5796">
          <cell r="L5796"/>
        </row>
        <row r="5797">
          <cell r="L5797"/>
        </row>
        <row r="5798">
          <cell r="L5798"/>
        </row>
        <row r="5799">
          <cell r="L5799"/>
        </row>
        <row r="5800">
          <cell r="L5800"/>
        </row>
        <row r="5801">
          <cell r="L5801"/>
        </row>
        <row r="5802">
          <cell r="L5802"/>
        </row>
        <row r="5803">
          <cell r="L5803"/>
        </row>
        <row r="5804">
          <cell r="L5804"/>
        </row>
        <row r="5805">
          <cell r="L5805"/>
        </row>
        <row r="5806">
          <cell r="L5806"/>
        </row>
        <row r="5807">
          <cell r="L5807"/>
        </row>
        <row r="5808">
          <cell r="L5808"/>
        </row>
        <row r="5809">
          <cell r="L5809"/>
        </row>
        <row r="5810">
          <cell r="L5810"/>
        </row>
        <row r="5811">
          <cell r="L5811"/>
        </row>
        <row r="5812">
          <cell r="L5812"/>
        </row>
        <row r="5813">
          <cell r="L5813"/>
        </row>
        <row r="5814">
          <cell r="L5814"/>
        </row>
        <row r="5815">
          <cell r="L5815"/>
        </row>
        <row r="5816">
          <cell r="L5816"/>
        </row>
        <row r="5817">
          <cell r="L5817"/>
        </row>
        <row r="5818">
          <cell r="L5818"/>
        </row>
        <row r="5819">
          <cell r="L5819"/>
        </row>
        <row r="5820">
          <cell r="L5820"/>
        </row>
        <row r="5821">
          <cell r="L5821"/>
        </row>
        <row r="5822">
          <cell r="L5822"/>
        </row>
        <row r="5823">
          <cell r="L5823"/>
        </row>
        <row r="5824">
          <cell r="L5824"/>
        </row>
        <row r="5825">
          <cell r="L5825"/>
        </row>
        <row r="5826">
          <cell r="L5826"/>
        </row>
        <row r="5827">
          <cell r="L5827"/>
        </row>
        <row r="5828">
          <cell r="L5828"/>
        </row>
        <row r="5829">
          <cell r="L5829"/>
        </row>
        <row r="5830">
          <cell r="L5830"/>
        </row>
        <row r="5831">
          <cell r="L5831"/>
        </row>
        <row r="5832">
          <cell r="L5832"/>
        </row>
        <row r="5833">
          <cell r="L5833"/>
        </row>
        <row r="5834">
          <cell r="L5834"/>
        </row>
        <row r="5835">
          <cell r="L5835"/>
        </row>
        <row r="5836">
          <cell r="L5836"/>
        </row>
        <row r="5837">
          <cell r="L5837"/>
        </row>
        <row r="5838">
          <cell r="L5838"/>
        </row>
        <row r="5839">
          <cell r="L5839"/>
        </row>
        <row r="5840">
          <cell r="L5840"/>
        </row>
        <row r="5841">
          <cell r="L5841"/>
        </row>
        <row r="5842">
          <cell r="L5842"/>
        </row>
        <row r="5843">
          <cell r="L5843"/>
        </row>
        <row r="5844">
          <cell r="L5844"/>
        </row>
        <row r="5845">
          <cell r="L5845"/>
        </row>
        <row r="5846">
          <cell r="L5846"/>
        </row>
        <row r="5847">
          <cell r="L5847"/>
        </row>
        <row r="5848">
          <cell r="L5848"/>
        </row>
        <row r="5849">
          <cell r="L5849"/>
        </row>
        <row r="5850">
          <cell r="L5850"/>
        </row>
        <row r="5851">
          <cell r="L5851"/>
        </row>
        <row r="5852">
          <cell r="L5852"/>
        </row>
        <row r="5853">
          <cell r="L5853"/>
        </row>
        <row r="5854">
          <cell r="L5854"/>
        </row>
        <row r="5855">
          <cell r="L5855"/>
        </row>
        <row r="5856">
          <cell r="L5856"/>
        </row>
        <row r="5857">
          <cell r="L5857"/>
        </row>
        <row r="5858">
          <cell r="L5858"/>
        </row>
        <row r="5859">
          <cell r="L5859"/>
        </row>
        <row r="5860">
          <cell r="L5860"/>
        </row>
        <row r="5861">
          <cell r="L5861"/>
        </row>
        <row r="5862">
          <cell r="L5862"/>
        </row>
        <row r="5863">
          <cell r="L5863"/>
        </row>
        <row r="5864">
          <cell r="L5864"/>
        </row>
        <row r="5865">
          <cell r="L5865"/>
        </row>
        <row r="5866">
          <cell r="L5866"/>
        </row>
        <row r="5867">
          <cell r="L5867"/>
        </row>
        <row r="5868">
          <cell r="L5868"/>
        </row>
        <row r="5869">
          <cell r="L5869"/>
        </row>
        <row r="5870">
          <cell r="L5870"/>
        </row>
        <row r="5871">
          <cell r="L5871"/>
        </row>
        <row r="5872">
          <cell r="L5872"/>
        </row>
        <row r="5873">
          <cell r="L5873"/>
        </row>
        <row r="5874">
          <cell r="L5874"/>
        </row>
        <row r="5875">
          <cell r="L5875"/>
        </row>
        <row r="5876">
          <cell r="L5876"/>
        </row>
        <row r="5877">
          <cell r="L5877"/>
        </row>
        <row r="5878">
          <cell r="L5878"/>
        </row>
        <row r="5879">
          <cell r="L5879"/>
        </row>
        <row r="5880">
          <cell r="L5880"/>
        </row>
        <row r="5881">
          <cell r="L5881"/>
        </row>
        <row r="5882">
          <cell r="L5882"/>
        </row>
        <row r="5883">
          <cell r="L5883"/>
        </row>
        <row r="5884">
          <cell r="L5884"/>
        </row>
        <row r="5885">
          <cell r="L5885"/>
        </row>
        <row r="5886">
          <cell r="L5886"/>
        </row>
        <row r="5887">
          <cell r="L5887"/>
        </row>
        <row r="5888">
          <cell r="L5888"/>
        </row>
        <row r="5889">
          <cell r="L5889"/>
        </row>
        <row r="5890">
          <cell r="L5890"/>
        </row>
        <row r="5891">
          <cell r="L5891"/>
        </row>
        <row r="5892">
          <cell r="L5892"/>
        </row>
        <row r="5893">
          <cell r="L5893"/>
        </row>
        <row r="5894">
          <cell r="L5894"/>
        </row>
        <row r="5895">
          <cell r="L5895"/>
        </row>
        <row r="5896">
          <cell r="L5896"/>
        </row>
        <row r="5897">
          <cell r="L5897"/>
        </row>
        <row r="5898">
          <cell r="L5898"/>
        </row>
        <row r="5899">
          <cell r="L5899"/>
        </row>
        <row r="5900">
          <cell r="L5900"/>
        </row>
        <row r="5901">
          <cell r="L5901"/>
        </row>
        <row r="5902">
          <cell r="L5902"/>
        </row>
        <row r="5903">
          <cell r="L5903"/>
        </row>
        <row r="5904">
          <cell r="L5904"/>
        </row>
        <row r="5905">
          <cell r="L5905"/>
        </row>
        <row r="5906">
          <cell r="L5906"/>
        </row>
        <row r="5907">
          <cell r="L5907"/>
        </row>
        <row r="5908">
          <cell r="L5908"/>
        </row>
        <row r="5909">
          <cell r="L5909"/>
        </row>
        <row r="5910">
          <cell r="L5910"/>
        </row>
        <row r="5911">
          <cell r="L5911"/>
        </row>
        <row r="5912">
          <cell r="L5912"/>
        </row>
        <row r="5913">
          <cell r="L5913"/>
        </row>
        <row r="5914">
          <cell r="L5914"/>
        </row>
        <row r="5915">
          <cell r="L5915"/>
        </row>
        <row r="5916">
          <cell r="L5916"/>
        </row>
        <row r="5917">
          <cell r="L5917"/>
        </row>
        <row r="5918">
          <cell r="L5918"/>
        </row>
        <row r="5919">
          <cell r="L5919"/>
        </row>
        <row r="5920">
          <cell r="L5920"/>
        </row>
        <row r="5921">
          <cell r="L5921"/>
        </row>
        <row r="5922">
          <cell r="L5922"/>
        </row>
        <row r="5923">
          <cell r="L5923"/>
        </row>
        <row r="5924">
          <cell r="L5924"/>
        </row>
        <row r="5925">
          <cell r="L5925"/>
        </row>
        <row r="5926">
          <cell r="L5926"/>
        </row>
        <row r="5927">
          <cell r="L5927"/>
        </row>
        <row r="5928">
          <cell r="L5928"/>
        </row>
        <row r="5929">
          <cell r="L5929"/>
        </row>
        <row r="5930">
          <cell r="L5930"/>
        </row>
        <row r="5931">
          <cell r="L5931"/>
        </row>
        <row r="5932">
          <cell r="L5932"/>
        </row>
        <row r="5933">
          <cell r="L5933"/>
        </row>
        <row r="5934">
          <cell r="L5934"/>
        </row>
        <row r="5935">
          <cell r="L5935"/>
        </row>
        <row r="5936">
          <cell r="L5936"/>
        </row>
        <row r="5937">
          <cell r="L5937"/>
        </row>
        <row r="5938">
          <cell r="L5938"/>
        </row>
        <row r="5939">
          <cell r="L5939"/>
        </row>
        <row r="5940">
          <cell r="L5940"/>
        </row>
        <row r="5941">
          <cell r="L5941"/>
        </row>
        <row r="5942">
          <cell r="L5942"/>
        </row>
        <row r="5943">
          <cell r="L5943"/>
        </row>
        <row r="5944">
          <cell r="L5944"/>
        </row>
        <row r="5945">
          <cell r="L5945"/>
        </row>
        <row r="5946">
          <cell r="L5946"/>
        </row>
        <row r="5947">
          <cell r="L5947"/>
        </row>
        <row r="5948">
          <cell r="L5948"/>
        </row>
        <row r="5949">
          <cell r="L5949"/>
        </row>
        <row r="5950">
          <cell r="L5950"/>
        </row>
        <row r="5951">
          <cell r="L5951"/>
        </row>
        <row r="5952">
          <cell r="L5952"/>
        </row>
        <row r="5953">
          <cell r="L5953"/>
        </row>
        <row r="5954">
          <cell r="L5954"/>
        </row>
        <row r="5955">
          <cell r="L5955"/>
        </row>
        <row r="5956">
          <cell r="L5956"/>
        </row>
        <row r="5957">
          <cell r="L5957"/>
        </row>
        <row r="5958">
          <cell r="L5958"/>
        </row>
        <row r="5959">
          <cell r="L5959"/>
        </row>
        <row r="5960">
          <cell r="L5960"/>
        </row>
        <row r="5961">
          <cell r="L5961"/>
        </row>
        <row r="5962">
          <cell r="L5962"/>
        </row>
        <row r="5963">
          <cell r="L5963"/>
        </row>
        <row r="5964">
          <cell r="L5964"/>
        </row>
        <row r="5965">
          <cell r="L5965"/>
        </row>
        <row r="5966">
          <cell r="L5966"/>
        </row>
        <row r="5967">
          <cell r="L5967"/>
        </row>
        <row r="5968">
          <cell r="L5968"/>
        </row>
        <row r="5969">
          <cell r="L5969"/>
        </row>
        <row r="5970">
          <cell r="L5970"/>
        </row>
        <row r="5971">
          <cell r="L5971"/>
        </row>
        <row r="5972">
          <cell r="L5972"/>
        </row>
        <row r="5973">
          <cell r="L5973"/>
        </row>
        <row r="5974">
          <cell r="L5974"/>
        </row>
        <row r="5975">
          <cell r="L5975"/>
        </row>
        <row r="5976">
          <cell r="L5976"/>
        </row>
        <row r="5977">
          <cell r="L5977"/>
        </row>
        <row r="5978">
          <cell r="L5978"/>
        </row>
        <row r="5979">
          <cell r="L5979"/>
        </row>
        <row r="5980">
          <cell r="L5980"/>
        </row>
        <row r="5981">
          <cell r="L5981"/>
        </row>
        <row r="5982">
          <cell r="L5982"/>
        </row>
        <row r="5983">
          <cell r="L5983"/>
        </row>
        <row r="5984">
          <cell r="L5984"/>
        </row>
        <row r="5985">
          <cell r="L5985"/>
        </row>
        <row r="5986">
          <cell r="L5986"/>
        </row>
        <row r="5987">
          <cell r="L5987"/>
        </row>
        <row r="5988">
          <cell r="L5988"/>
        </row>
        <row r="5989">
          <cell r="L5989"/>
        </row>
        <row r="5990">
          <cell r="L5990"/>
        </row>
        <row r="5991">
          <cell r="L5991"/>
        </row>
        <row r="5992">
          <cell r="L5992"/>
        </row>
        <row r="5993">
          <cell r="L5993"/>
        </row>
        <row r="5994">
          <cell r="L5994"/>
        </row>
        <row r="5995">
          <cell r="L5995"/>
        </row>
        <row r="5996">
          <cell r="L5996"/>
        </row>
        <row r="5997">
          <cell r="L5997"/>
        </row>
        <row r="5998">
          <cell r="L5998"/>
        </row>
        <row r="5999">
          <cell r="L5999"/>
        </row>
        <row r="6000">
          <cell r="L6000"/>
        </row>
        <row r="6001">
          <cell r="L6001"/>
        </row>
        <row r="6002">
          <cell r="L6002"/>
        </row>
        <row r="6003">
          <cell r="L6003"/>
        </row>
        <row r="6004">
          <cell r="L6004"/>
        </row>
        <row r="6005">
          <cell r="L6005"/>
        </row>
        <row r="6006">
          <cell r="L6006"/>
        </row>
        <row r="6007">
          <cell r="L6007"/>
        </row>
        <row r="6008">
          <cell r="L6008"/>
        </row>
        <row r="6009">
          <cell r="L6009"/>
        </row>
        <row r="6010">
          <cell r="L6010"/>
        </row>
        <row r="6011">
          <cell r="L6011"/>
        </row>
        <row r="6012">
          <cell r="L6012"/>
        </row>
        <row r="6013">
          <cell r="L6013"/>
        </row>
        <row r="6014">
          <cell r="L6014"/>
        </row>
        <row r="6015">
          <cell r="L6015"/>
        </row>
        <row r="6016">
          <cell r="L6016"/>
        </row>
        <row r="6017">
          <cell r="L6017"/>
        </row>
        <row r="6018">
          <cell r="L6018"/>
        </row>
        <row r="6019">
          <cell r="L6019"/>
        </row>
        <row r="6020">
          <cell r="L6020"/>
        </row>
        <row r="6021">
          <cell r="L6021"/>
        </row>
        <row r="6022">
          <cell r="L6022"/>
        </row>
        <row r="6023">
          <cell r="L6023"/>
        </row>
        <row r="6024">
          <cell r="L6024"/>
        </row>
        <row r="6025">
          <cell r="L6025"/>
        </row>
        <row r="6026">
          <cell r="L6026"/>
        </row>
        <row r="6027">
          <cell r="L6027"/>
        </row>
        <row r="6028">
          <cell r="L6028"/>
        </row>
        <row r="6029">
          <cell r="L6029"/>
        </row>
        <row r="6030">
          <cell r="L6030"/>
        </row>
        <row r="6031">
          <cell r="L6031"/>
        </row>
        <row r="6032">
          <cell r="L6032"/>
        </row>
        <row r="6033">
          <cell r="L6033"/>
        </row>
        <row r="6034">
          <cell r="L6034"/>
        </row>
        <row r="6035">
          <cell r="L6035"/>
        </row>
        <row r="6036">
          <cell r="L6036"/>
        </row>
        <row r="6037">
          <cell r="L6037"/>
        </row>
        <row r="6038">
          <cell r="L6038"/>
        </row>
        <row r="6039">
          <cell r="L6039"/>
        </row>
        <row r="6040">
          <cell r="L6040"/>
        </row>
        <row r="6041">
          <cell r="L6041"/>
        </row>
        <row r="6042">
          <cell r="L6042"/>
        </row>
        <row r="6043">
          <cell r="L6043"/>
        </row>
        <row r="6044">
          <cell r="L6044"/>
        </row>
        <row r="6045">
          <cell r="L6045"/>
        </row>
        <row r="6046">
          <cell r="L6046"/>
        </row>
        <row r="6047">
          <cell r="L6047"/>
        </row>
        <row r="6048">
          <cell r="L6048"/>
        </row>
        <row r="6049">
          <cell r="L6049"/>
        </row>
        <row r="6050">
          <cell r="L6050"/>
        </row>
        <row r="6051">
          <cell r="L6051"/>
        </row>
        <row r="6052">
          <cell r="L6052"/>
        </row>
        <row r="6053">
          <cell r="L6053"/>
        </row>
        <row r="6054">
          <cell r="L6054"/>
        </row>
        <row r="6055">
          <cell r="L6055"/>
        </row>
        <row r="6056">
          <cell r="L6056"/>
        </row>
        <row r="6057">
          <cell r="L6057"/>
        </row>
        <row r="6058">
          <cell r="L6058"/>
        </row>
        <row r="6059">
          <cell r="L6059"/>
        </row>
        <row r="6060">
          <cell r="L6060"/>
        </row>
        <row r="6061">
          <cell r="L6061"/>
        </row>
        <row r="6062">
          <cell r="L6062"/>
        </row>
        <row r="6063">
          <cell r="L6063"/>
        </row>
        <row r="6064">
          <cell r="L6064"/>
        </row>
        <row r="6065">
          <cell r="L6065"/>
        </row>
        <row r="6066">
          <cell r="L6066"/>
        </row>
        <row r="6067">
          <cell r="L6067"/>
        </row>
        <row r="6068">
          <cell r="L6068"/>
        </row>
        <row r="6069">
          <cell r="L6069"/>
        </row>
        <row r="6070">
          <cell r="L6070"/>
        </row>
        <row r="6071">
          <cell r="L6071"/>
        </row>
        <row r="6072">
          <cell r="L6072"/>
        </row>
        <row r="6073">
          <cell r="L6073"/>
        </row>
        <row r="6074">
          <cell r="L6074"/>
        </row>
        <row r="6075">
          <cell r="L6075"/>
        </row>
        <row r="6076">
          <cell r="L6076"/>
        </row>
        <row r="6077">
          <cell r="L6077"/>
        </row>
        <row r="6078">
          <cell r="L6078"/>
        </row>
        <row r="6079">
          <cell r="L6079"/>
        </row>
        <row r="6080">
          <cell r="L6080"/>
        </row>
        <row r="6081">
          <cell r="L6081"/>
        </row>
        <row r="6082">
          <cell r="L6082"/>
        </row>
        <row r="6083">
          <cell r="L6083"/>
        </row>
        <row r="6084">
          <cell r="L6084"/>
        </row>
        <row r="6085">
          <cell r="L6085"/>
        </row>
        <row r="6086">
          <cell r="L6086"/>
        </row>
        <row r="6087">
          <cell r="L6087"/>
        </row>
        <row r="6088">
          <cell r="L6088"/>
        </row>
        <row r="6089">
          <cell r="L6089"/>
        </row>
        <row r="6090">
          <cell r="L6090"/>
        </row>
        <row r="6091">
          <cell r="L6091"/>
        </row>
        <row r="6092">
          <cell r="L6092"/>
        </row>
        <row r="6093">
          <cell r="L6093"/>
        </row>
        <row r="6094">
          <cell r="L6094"/>
        </row>
        <row r="6095">
          <cell r="L6095"/>
        </row>
        <row r="6096">
          <cell r="L6096"/>
        </row>
        <row r="6097">
          <cell r="L6097"/>
        </row>
        <row r="6098">
          <cell r="L6098"/>
        </row>
        <row r="6099">
          <cell r="L6099"/>
        </row>
        <row r="6100">
          <cell r="L6100"/>
        </row>
        <row r="6101">
          <cell r="L6101"/>
        </row>
        <row r="6102">
          <cell r="L6102"/>
        </row>
        <row r="6103">
          <cell r="L6103"/>
        </row>
        <row r="6104">
          <cell r="L6104"/>
        </row>
        <row r="6105">
          <cell r="L6105"/>
        </row>
        <row r="6106">
          <cell r="L6106"/>
        </row>
        <row r="6107">
          <cell r="L6107"/>
        </row>
        <row r="6108">
          <cell r="L6108"/>
        </row>
        <row r="6109">
          <cell r="L6109"/>
        </row>
        <row r="6110">
          <cell r="L6110"/>
        </row>
        <row r="6111">
          <cell r="L6111"/>
        </row>
        <row r="6112">
          <cell r="L6112"/>
        </row>
        <row r="6113">
          <cell r="L6113"/>
        </row>
        <row r="6114">
          <cell r="L6114"/>
        </row>
        <row r="6115">
          <cell r="L6115"/>
        </row>
        <row r="6116">
          <cell r="L6116"/>
        </row>
        <row r="6117">
          <cell r="L6117"/>
        </row>
        <row r="6118">
          <cell r="L6118"/>
        </row>
        <row r="6119">
          <cell r="L6119"/>
        </row>
        <row r="6120">
          <cell r="L6120"/>
        </row>
        <row r="6121">
          <cell r="L6121"/>
        </row>
        <row r="6122">
          <cell r="L6122"/>
        </row>
        <row r="6123">
          <cell r="L6123"/>
        </row>
        <row r="6124">
          <cell r="L6124"/>
        </row>
        <row r="6125">
          <cell r="L6125"/>
        </row>
        <row r="6126">
          <cell r="L6126"/>
        </row>
        <row r="6127">
          <cell r="L6127"/>
        </row>
        <row r="6128">
          <cell r="L6128"/>
        </row>
        <row r="6129">
          <cell r="L6129"/>
        </row>
        <row r="6130">
          <cell r="L6130"/>
        </row>
        <row r="6131">
          <cell r="L6131"/>
        </row>
        <row r="6132">
          <cell r="L6132"/>
        </row>
        <row r="6133">
          <cell r="L6133"/>
        </row>
        <row r="6134">
          <cell r="L6134"/>
        </row>
        <row r="6135">
          <cell r="L6135"/>
        </row>
        <row r="6136">
          <cell r="L6136"/>
        </row>
        <row r="6137">
          <cell r="L6137"/>
        </row>
        <row r="6138">
          <cell r="L6138"/>
        </row>
        <row r="6139">
          <cell r="L6139"/>
        </row>
        <row r="6140">
          <cell r="L6140"/>
        </row>
        <row r="6141">
          <cell r="L6141"/>
        </row>
        <row r="6142">
          <cell r="L6142"/>
        </row>
        <row r="6143">
          <cell r="L6143"/>
        </row>
        <row r="6144">
          <cell r="L6144"/>
        </row>
        <row r="6145">
          <cell r="L6145"/>
        </row>
        <row r="6146">
          <cell r="L6146"/>
        </row>
        <row r="6147">
          <cell r="L6147"/>
        </row>
        <row r="6148">
          <cell r="L6148"/>
        </row>
        <row r="6149">
          <cell r="L6149"/>
        </row>
        <row r="6150">
          <cell r="L6150"/>
        </row>
        <row r="6151">
          <cell r="L6151"/>
        </row>
        <row r="6152">
          <cell r="L6152"/>
        </row>
        <row r="6153">
          <cell r="L6153"/>
        </row>
        <row r="6154">
          <cell r="L6154"/>
        </row>
        <row r="6155">
          <cell r="L6155"/>
        </row>
        <row r="6156">
          <cell r="L6156"/>
        </row>
        <row r="6157">
          <cell r="L6157"/>
        </row>
        <row r="6158">
          <cell r="L6158"/>
        </row>
        <row r="6159">
          <cell r="L6159"/>
        </row>
        <row r="6160">
          <cell r="L6160"/>
        </row>
        <row r="6161">
          <cell r="L6161"/>
        </row>
        <row r="6162">
          <cell r="L6162"/>
        </row>
        <row r="6163">
          <cell r="L6163"/>
        </row>
        <row r="6164">
          <cell r="L6164"/>
        </row>
        <row r="6165">
          <cell r="L6165"/>
        </row>
        <row r="6166">
          <cell r="L6166"/>
        </row>
        <row r="6167">
          <cell r="L6167"/>
        </row>
        <row r="6168">
          <cell r="L6168"/>
        </row>
        <row r="6169">
          <cell r="L6169"/>
        </row>
        <row r="6170">
          <cell r="L6170"/>
        </row>
        <row r="6171">
          <cell r="L6171"/>
        </row>
        <row r="6172">
          <cell r="L6172"/>
        </row>
        <row r="6173">
          <cell r="L6173"/>
        </row>
        <row r="6174">
          <cell r="L6174"/>
        </row>
        <row r="6175">
          <cell r="L6175"/>
        </row>
        <row r="6176">
          <cell r="L6176"/>
        </row>
        <row r="6177">
          <cell r="L6177"/>
        </row>
        <row r="6178">
          <cell r="L6178"/>
        </row>
        <row r="6179">
          <cell r="L6179"/>
        </row>
        <row r="6180">
          <cell r="L6180"/>
        </row>
        <row r="6181">
          <cell r="L6181"/>
        </row>
        <row r="6182">
          <cell r="L6182"/>
        </row>
        <row r="6183">
          <cell r="L6183"/>
        </row>
        <row r="6184">
          <cell r="L6184"/>
        </row>
        <row r="6185">
          <cell r="L6185"/>
        </row>
        <row r="6186">
          <cell r="L6186"/>
        </row>
        <row r="6187">
          <cell r="L6187"/>
        </row>
        <row r="6188">
          <cell r="L6188"/>
        </row>
        <row r="6189">
          <cell r="L6189"/>
        </row>
        <row r="6190">
          <cell r="L6190"/>
        </row>
        <row r="6191">
          <cell r="L6191"/>
        </row>
        <row r="6192">
          <cell r="L6192"/>
        </row>
        <row r="6193">
          <cell r="L6193"/>
        </row>
        <row r="6194">
          <cell r="L6194"/>
        </row>
        <row r="6195">
          <cell r="L6195"/>
        </row>
        <row r="6196">
          <cell r="L6196"/>
        </row>
        <row r="6197">
          <cell r="L6197"/>
        </row>
        <row r="6198">
          <cell r="L6198"/>
        </row>
        <row r="6199">
          <cell r="L6199"/>
        </row>
        <row r="6200">
          <cell r="L6200"/>
        </row>
        <row r="6201">
          <cell r="L6201"/>
        </row>
        <row r="6202">
          <cell r="L6202"/>
        </row>
        <row r="6203">
          <cell r="L6203"/>
        </row>
        <row r="6204">
          <cell r="L6204"/>
        </row>
        <row r="6205">
          <cell r="L6205"/>
        </row>
        <row r="6206">
          <cell r="L6206"/>
        </row>
        <row r="6207">
          <cell r="L6207"/>
        </row>
        <row r="6208">
          <cell r="L6208"/>
        </row>
        <row r="6209">
          <cell r="L6209"/>
        </row>
        <row r="6210">
          <cell r="L6210"/>
        </row>
        <row r="6211">
          <cell r="L6211"/>
        </row>
        <row r="6212">
          <cell r="L6212"/>
        </row>
        <row r="6213">
          <cell r="L6213"/>
        </row>
        <row r="6214">
          <cell r="L6214"/>
        </row>
        <row r="6215">
          <cell r="L6215"/>
        </row>
        <row r="6216">
          <cell r="L6216"/>
        </row>
        <row r="6217">
          <cell r="L6217"/>
        </row>
        <row r="6218">
          <cell r="L6218"/>
        </row>
        <row r="6219">
          <cell r="L6219"/>
        </row>
        <row r="6220">
          <cell r="L6220"/>
        </row>
        <row r="6221">
          <cell r="L6221"/>
        </row>
        <row r="6222">
          <cell r="L6222"/>
        </row>
        <row r="6223">
          <cell r="L6223"/>
        </row>
        <row r="6224">
          <cell r="L6224"/>
        </row>
        <row r="6225">
          <cell r="L6225"/>
        </row>
        <row r="6226">
          <cell r="L6226"/>
        </row>
        <row r="6227">
          <cell r="L6227"/>
        </row>
        <row r="6228">
          <cell r="L6228"/>
        </row>
        <row r="6229">
          <cell r="L6229"/>
        </row>
        <row r="6230">
          <cell r="L6230"/>
        </row>
        <row r="6231">
          <cell r="L6231"/>
        </row>
        <row r="6232">
          <cell r="L6232"/>
        </row>
        <row r="6233">
          <cell r="L6233"/>
        </row>
        <row r="6234">
          <cell r="L6234"/>
        </row>
        <row r="6235">
          <cell r="L6235"/>
        </row>
        <row r="6236">
          <cell r="L6236"/>
        </row>
        <row r="6237">
          <cell r="L6237"/>
        </row>
        <row r="6238">
          <cell r="L6238"/>
        </row>
        <row r="6239">
          <cell r="L6239"/>
        </row>
        <row r="6240">
          <cell r="L6240"/>
        </row>
        <row r="6241">
          <cell r="L6241"/>
        </row>
        <row r="6242">
          <cell r="L6242"/>
        </row>
        <row r="6243">
          <cell r="L6243"/>
        </row>
        <row r="6244">
          <cell r="L6244"/>
        </row>
        <row r="6245">
          <cell r="L6245"/>
        </row>
        <row r="6246">
          <cell r="L6246"/>
        </row>
        <row r="6247">
          <cell r="L6247"/>
        </row>
        <row r="6248">
          <cell r="L6248"/>
        </row>
        <row r="6249">
          <cell r="L6249"/>
        </row>
        <row r="6250">
          <cell r="L6250"/>
        </row>
        <row r="6251">
          <cell r="L6251"/>
        </row>
        <row r="6252">
          <cell r="L6252"/>
        </row>
        <row r="6253">
          <cell r="L6253"/>
        </row>
        <row r="6254">
          <cell r="L6254"/>
        </row>
        <row r="6255">
          <cell r="L6255"/>
        </row>
        <row r="6256">
          <cell r="L6256"/>
        </row>
        <row r="6257">
          <cell r="L6257"/>
        </row>
        <row r="6258">
          <cell r="L6258"/>
        </row>
        <row r="6259">
          <cell r="L6259"/>
        </row>
        <row r="6260">
          <cell r="L6260"/>
        </row>
        <row r="6261">
          <cell r="L6261"/>
        </row>
        <row r="6262">
          <cell r="L6262"/>
        </row>
        <row r="6263">
          <cell r="L6263"/>
        </row>
        <row r="6264">
          <cell r="L6264"/>
        </row>
        <row r="6265">
          <cell r="L6265"/>
        </row>
        <row r="6266">
          <cell r="L6266"/>
        </row>
        <row r="6267">
          <cell r="L6267"/>
        </row>
        <row r="6268">
          <cell r="L6268"/>
        </row>
        <row r="6269">
          <cell r="L6269"/>
        </row>
        <row r="6270">
          <cell r="L6270"/>
        </row>
        <row r="6271">
          <cell r="L6271"/>
        </row>
        <row r="6272">
          <cell r="L6272"/>
        </row>
        <row r="6273">
          <cell r="L6273"/>
        </row>
        <row r="6274">
          <cell r="L6274"/>
        </row>
        <row r="6275">
          <cell r="L6275"/>
        </row>
        <row r="6276">
          <cell r="L6276"/>
        </row>
        <row r="6277">
          <cell r="L6277"/>
        </row>
        <row r="6278">
          <cell r="L6278"/>
        </row>
        <row r="6279">
          <cell r="L6279"/>
        </row>
        <row r="6280">
          <cell r="L6280"/>
        </row>
        <row r="6281">
          <cell r="L6281"/>
        </row>
        <row r="6282">
          <cell r="L6282"/>
        </row>
        <row r="6283">
          <cell r="L6283"/>
        </row>
        <row r="6284">
          <cell r="L6284"/>
        </row>
        <row r="6285">
          <cell r="L6285"/>
        </row>
        <row r="6286">
          <cell r="L6286"/>
        </row>
        <row r="6287">
          <cell r="L6287"/>
        </row>
        <row r="6288">
          <cell r="L6288"/>
        </row>
        <row r="6289">
          <cell r="L6289"/>
        </row>
        <row r="6290">
          <cell r="L6290"/>
        </row>
        <row r="6291">
          <cell r="L6291"/>
        </row>
        <row r="6292">
          <cell r="L6292"/>
        </row>
        <row r="6293">
          <cell r="L6293"/>
        </row>
        <row r="6294">
          <cell r="L6294"/>
        </row>
        <row r="6295">
          <cell r="L6295"/>
        </row>
        <row r="6296">
          <cell r="L6296"/>
        </row>
        <row r="6297">
          <cell r="L6297"/>
        </row>
        <row r="6298">
          <cell r="L6298"/>
        </row>
        <row r="6299">
          <cell r="L6299"/>
        </row>
        <row r="6300">
          <cell r="L6300"/>
        </row>
        <row r="6301">
          <cell r="L6301"/>
        </row>
        <row r="6302">
          <cell r="L6302"/>
        </row>
        <row r="6303">
          <cell r="L6303"/>
        </row>
        <row r="6304">
          <cell r="L6304"/>
        </row>
        <row r="6305">
          <cell r="L6305"/>
        </row>
        <row r="6306">
          <cell r="L6306"/>
        </row>
        <row r="6307">
          <cell r="L6307"/>
        </row>
        <row r="6308">
          <cell r="L6308"/>
        </row>
        <row r="6309">
          <cell r="L6309"/>
        </row>
        <row r="6310">
          <cell r="L6310"/>
        </row>
        <row r="6311">
          <cell r="L6311"/>
        </row>
        <row r="6312">
          <cell r="L6312"/>
        </row>
        <row r="6313">
          <cell r="L6313"/>
        </row>
        <row r="6314">
          <cell r="L6314"/>
        </row>
        <row r="6315">
          <cell r="L6315"/>
        </row>
        <row r="6316">
          <cell r="L6316"/>
        </row>
        <row r="6317">
          <cell r="L6317"/>
        </row>
        <row r="6318">
          <cell r="L6318"/>
        </row>
        <row r="6319">
          <cell r="L6319"/>
        </row>
        <row r="6320">
          <cell r="L6320"/>
        </row>
        <row r="6321">
          <cell r="L6321"/>
        </row>
        <row r="6322">
          <cell r="L6322"/>
        </row>
        <row r="6323">
          <cell r="L6323"/>
        </row>
        <row r="6324">
          <cell r="L6324"/>
        </row>
        <row r="6325">
          <cell r="L6325"/>
        </row>
        <row r="6326">
          <cell r="L6326"/>
        </row>
        <row r="6327">
          <cell r="L6327"/>
        </row>
        <row r="6328">
          <cell r="L6328"/>
        </row>
        <row r="6329">
          <cell r="L6329"/>
        </row>
        <row r="6330">
          <cell r="L6330"/>
        </row>
        <row r="6331">
          <cell r="L6331"/>
        </row>
        <row r="6332">
          <cell r="L6332"/>
        </row>
        <row r="6333">
          <cell r="L6333"/>
        </row>
        <row r="6334">
          <cell r="L6334"/>
        </row>
        <row r="6335">
          <cell r="L6335"/>
        </row>
        <row r="6336">
          <cell r="L6336"/>
        </row>
        <row r="6337">
          <cell r="L6337"/>
        </row>
        <row r="6338">
          <cell r="L6338"/>
        </row>
        <row r="6339">
          <cell r="L6339"/>
        </row>
        <row r="6340">
          <cell r="L6340"/>
        </row>
        <row r="6341">
          <cell r="L6341"/>
        </row>
        <row r="6342">
          <cell r="L6342"/>
        </row>
        <row r="6343">
          <cell r="L6343"/>
        </row>
        <row r="6344">
          <cell r="L6344"/>
        </row>
        <row r="6345">
          <cell r="L6345"/>
        </row>
        <row r="6346">
          <cell r="L6346"/>
        </row>
        <row r="6347">
          <cell r="L6347"/>
        </row>
        <row r="6348">
          <cell r="L6348"/>
        </row>
        <row r="6349">
          <cell r="L6349"/>
        </row>
        <row r="6350">
          <cell r="L6350"/>
        </row>
        <row r="6351">
          <cell r="L6351"/>
        </row>
        <row r="6352">
          <cell r="L6352"/>
        </row>
        <row r="6353">
          <cell r="L6353"/>
        </row>
        <row r="6354">
          <cell r="L6354"/>
        </row>
        <row r="6355">
          <cell r="L6355"/>
        </row>
        <row r="6356">
          <cell r="L6356"/>
        </row>
        <row r="6357">
          <cell r="L6357"/>
        </row>
        <row r="6358">
          <cell r="L6358"/>
        </row>
        <row r="6359">
          <cell r="L6359"/>
        </row>
        <row r="6360">
          <cell r="L6360"/>
        </row>
        <row r="6361">
          <cell r="L6361"/>
        </row>
        <row r="6362">
          <cell r="L6362"/>
        </row>
        <row r="6363">
          <cell r="L6363"/>
        </row>
        <row r="6364">
          <cell r="L6364"/>
        </row>
        <row r="6365">
          <cell r="L6365"/>
        </row>
        <row r="6366">
          <cell r="L6366"/>
        </row>
        <row r="6367">
          <cell r="L6367"/>
        </row>
        <row r="6368">
          <cell r="L6368"/>
        </row>
        <row r="6369">
          <cell r="L6369"/>
        </row>
        <row r="6370">
          <cell r="L6370"/>
        </row>
        <row r="6371">
          <cell r="L6371"/>
        </row>
        <row r="6372">
          <cell r="L6372"/>
        </row>
        <row r="6373">
          <cell r="L6373"/>
        </row>
        <row r="6374">
          <cell r="L6374"/>
        </row>
        <row r="6375">
          <cell r="L6375"/>
        </row>
        <row r="6376">
          <cell r="L6376"/>
        </row>
        <row r="6377">
          <cell r="L6377"/>
        </row>
        <row r="6378">
          <cell r="L6378"/>
        </row>
        <row r="6379">
          <cell r="L6379"/>
        </row>
        <row r="6380">
          <cell r="L6380"/>
        </row>
        <row r="6381">
          <cell r="L6381"/>
        </row>
        <row r="6382">
          <cell r="L6382"/>
        </row>
        <row r="6383">
          <cell r="L6383"/>
        </row>
        <row r="6384">
          <cell r="L6384"/>
        </row>
        <row r="6385">
          <cell r="L6385"/>
        </row>
        <row r="6386">
          <cell r="L6386"/>
        </row>
        <row r="6387">
          <cell r="L6387"/>
        </row>
        <row r="6388">
          <cell r="L6388"/>
        </row>
        <row r="6389">
          <cell r="L6389"/>
        </row>
        <row r="6390">
          <cell r="L6390"/>
        </row>
        <row r="6391">
          <cell r="L6391"/>
        </row>
        <row r="6392">
          <cell r="L6392"/>
        </row>
        <row r="6393">
          <cell r="L6393"/>
        </row>
        <row r="6394">
          <cell r="L6394"/>
        </row>
        <row r="6395">
          <cell r="L6395"/>
        </row>
        <row r="6396">
          <cell r="L6396"/>
        </row>
        <row r="6397">
          <cell r="L6397"/>
        </row>
        <row r="6398">
          <cell r="L6398"/>
        </row>
        <row r="6399">
          <cell r="L6399"/>
        </row>
        <row r="6400">
          <cell r="L6400"/>
        </row>
        <row r="6401">
          <cell r="L6401"/>
        </row>
        <row r="6402">
          <cell r="L6402"/>
        </row>
        <row r="6403">
          <cell r="L6403"/>
        </row>
        <row r="6404">
          <cell r="L6404"/>
        </row>
        <row r="6405">
          <cell r="L6405"/>
        </row>
        <row r="6406">
          <cell r="L6406"/>
        </row>
        <row r="6407">
          <cell r="L6407"/>
        </row>
        <row r="6408">
          <cell r="L6408"/>
        </row>
        <row r="6409">
          <cell r="L6409"/>
        </row>
        <row r="6410">
          <cell r="L6410"/>
        </row>
        <row r="6411">
          <cell r="L6411"/>
        </row>
        <row r="6412">
          <cell r="L6412"/>
        </row>
        <row r="6413">
          <cell r="L6413"/>
        </row>
        <row r="6414">
          <cell r="L6414"/>
        </row>
        <row r="6415">
          <cell r="L6415"/>
        </row>
        <row r="6416">
          <cell r="L6416"/>
        </row>
        <row r="6417">
          <cell r="L6417"/>
        </row>
        <row r="6418">
          <cell r="L6418"/>
        </row>
        <row r="6419">
          <cell r="L6419"/>
        </row>
        <row r="6420">
          <cell r="L6420"/>
        </row>
        <row r="6421">
          <cell r="L6421"/>
        </row>
        <row r="6422">
          <cell r="L6422"/>
        </row>
        <row r="6423">
          <cell r="L6423"/>
        </row>
        <row r="6424">
          <cell r="L6424"/>
        </row>
        <row r="6425">
          <cell r="L6425"/>
        </row>
        <row r="6426">
          <cell r="L6426"/>
        </row>
        <row r="6427">
          <cell r="L6427"/>
        </row>
        <row r="6428">
          <cell r="L6428"/>
        </row>
        <row r="6429">
          <cell r="L6429"/>
        </row>
        <row r="6430">
          <cell r="L6430"/>
        </row>
        <row r="6431">
          <cell r="L6431"/>
        </row>
        <row r="6432">
          <cell r="L6432"/>
        </row>
        <row r="6433">
          <cell r="L6433"/>
        </row>
        <row r="6434">
          <cell r="L6434"/>
        </row>
        <row r="6435">
          <cell r="L6435"/>
        </row>
        <row r="6436">
          <cell r="L6436"/>
        </row>
        <row r="6437">
          <cell r="L6437"/>
        </row>
        <row r="6438">
          <cell r="L6438"/>
        </row>
        <row r="6439">
          <cell r="L6439"/>
        </row>
        <row r="6440">
          <cell r="L6440"/>
        </row>
        <row r="6441">
          <cell r="L6441"/>
        </row>
        <row r="6442">
          <cell r="L6442"/>
        </row>
        <row r="6443">
          <cell r="L6443"/>
        </row>
        <row r="6444">
          <cell r="L6444"/>
        </row>
        <row r="6445">
          <cell r="L6445"/>
        </row>
        <row r="6446">
          <cell r="L6446"/>
        </row>
        <row r="6447">
          <cell r="L6447"/>
        </row>
        <row r="6448">
          <cell r="L6448"/>
        </row>
        <row r="6449">
          <cell r="L6449"/>
        </row>
        <row r="6450">
          <cell r="L6450"/>
        </row>
        <row r="6451">
          <cell r="L6451"/>
        </row>
        <row r="6452">
          <cell r="L6452"/>
        </row>
        <row r="6453">
          <cell r="L6453"/>
        </row>
        <row r="6454">
          <cell r="L6454"/>
        </row>
        <row r="6455">
          <cell r="L6455"/>
        </row>
        <row r="6456">
          <cell r="L6456"/>
        </row>
        <row r="6457">
          <cell r="L6457"/>
        </row>
        <row r="6458">
          <cell r="L6458"/>
        </row>
        <row r="6459">
          <cell r="L6459"/>
        </row>
        <row r="6460">
          <cell r="L6460"/>
        </row>
        <row r="6461">
          <cell r="L6461"/>
        </row>
        <row r="6462">
          <cell r="L6462"/>
        </row>
        <row r="6463">
          <cell r="L6463"/>
        </row>
        <row r="6464">
          <cell r="L6464"/>
        </row>
        <row r="6465">
          <cell r="L6465"/>
        </row>
        <row r="6466">
          <cell r="L6466"/>
        </row>
        <row r="6467">
          <cell r="L6467"/>
        </row>
        <row r="6468">
          <cell r="L6468"/>
        </row>
        <row r="6469">
          <cell r="L6469"/>
        </row>
        <row r="6470">
          <cell r="L6470"/>
        </row>
        <row r="6471">
          <cell r="L6471"/>
        </row>
        <row r="6472">
          <cell r="L6472"/>
        </row>
        <row r="6473">
          <cell r="L6473"/>
        </row>
        <row r="6474">
          <cell r="L6474"/>
        </row>
        <row r="6475">
          <cell r="L6475"/>
        </row>
        <row r="6476">
          <cell r="L6476"/>
        </row>
        <row r="6477">
          <cell r="L6477"/>
        </row>
        <row r="6478">
          <cell r="L6478"/>
        </row>
        <row r="6479">
          <cell r="L6479"/>
        </row>
        <row r="6480">
          <cell r="L6480"/>
        </row>
        <row r="6481">
          <cell r="L6481"/>
        </row>
        <row r="6482">
          <cell r="L6482"/>
        </row>
        <row r="6483">
          <cell r="L6483"/>
        </row>
        <row r="6484">
          <cell r="L6484"/>
        </row>
        <row r="6485">
          <cell r="L6485"/>
        </row>
        <row r="6486">
          <cell r="L6486"/>
        </row>
        <row r="6487">
          <cell r="L6487"/>
        </row>
        <row r="6488">
          <cell r="L6488"/>
        </row>
        <row r="6489">
          <cell r="L6489"/>
        </row>
        <row r="6490">
          <cell r="L6490"/>
        </row>
        <row r="6491">
          <cell r="L6491"/>
        </row>
        <row r="6492">
          <cell r="L6492"/>
        </row>
        <row r="6493">
          <cell r="L6493"/>
        </row>
        <row r="6494">
          <cell r="L6494"/>
        </row>
        <row r="6495">
          <cell r="L6495"/>
        </row>
        <row r="6496">
          <cell r="L6496"/>
        </row>
        <row r="6497">
          <cell r="L6497"/>
        </row>
        <row r="6498">
          <cell r="L6498"/>
        </row>
        <row r="6499">
          <cell r="L6499"/>
        </row>
        <row r="6500">
          <cell r="L6500"/>
        </row>
        <row r="6501">
          <cell r="L6501"/>
        </row>
        <row r="6502">
          <cell r="L6502"/>
        </row>
        <row r="6503">
          <cell r="L6503"/>
        </row>
        <row r="6504">
          <cell r="L6504"/>
        </row>
        <row r="6505">
          <cell r="L6505"/>
        </row>
        <row r="6506">
          <cell r="L6506"/>
        </row>
        <row r="6507">
          <cell r="L6507"/>
        </row>
        <row r="6508">
          <cell r="L6508"/>
        </row>
        <row r="6509">
          <cell r="L6509"/>
        </row>
        <row r="6510">
          <cell r="L6510"/>
        </row>
        <row r="6511">
          <cell r="L6511"/>
        </row>
        <row r="6512">
          <cell r="L6512"/>
        </row>
        <row r="6513">
          <cell r="L6513"/>
        </row>
        <row r="6514">
          <cell r="L6514"/>
        </row>
        <row r="6515">
          <cell r="L6515"/>
        </row>
        <row r="6516">
          <cell r="L6516"/>
        </row>
        <row r="6517">
          <cell r="L6517"/>
        </row>
        <row r="6518">
          <cell r="L6518"/>
        </row>
        <row r="6519">
          <cell r="L6519"/>
        </row>
        <row r="6520">
          <cell r="L6520"/>
        </row>
        <row r="6521">
          <cell r="L6521"/>
        </row>
        <row r="6522">
          <cell r="L6522"/>
        </row>
        <row r="6523">
          <cell r="L6523"/>
        </row>
        <row r="6524">
          <cell r="L6524"/>
        </row>
        <row r="6525">
          <cell r="L6525"/>
        </row>
        <row r="6526">
          <cell r="L6526"/>
        </row>
        <row r="6527">
          <cell r="L6527"/>
        </row>
        <row r="6528">
          <cell r="L6528"/>
        </row>
        <row r="6529">
          <cell r="L6529"/>
        </row>
        <row r="6530">
          <cell r="L6530"/>
        </row>
        <row r="6531">
          <cell r="L6531"/>
        </row>
        <row r="6532">
          <cell r="L6532"/>
        </row>
        <row r="6533">
          <cell r="L6533"/>
        </row>
        <row r="6534">
          <cell r="L6534"/>
        </row>
        <row r="6535">
          <cell r="L6535"/>
        </row>
        <row r="6536">
          <cell r="L6536"/>
        </row>
        <row r="6537">
          <cell r="L6537"/>
        </row>
        <row r="6538">
          <cell r="L6538"/>
        </row>
        <row r="6539">
          <cell r="L6539"/>
        </row>
        <row r="6540">
          <cell r="L6540"/>
        </row>
        <row r="6541">
          <cell r="L6541"/>
        </row>
        <row r="6542">
          <cell r="L6542"/>
        </row>
        <row r="6543">
          <cell r="L6543"/>
        </row>
        <row r="6544">
          <cell r="L6544"/>
        </row>
        <row r="6545">
          <cell r="L6545"/>
        </row>
        <row r="6546">
          <cell r="L6546"/>
        </row>
        <row r="6547">
          <cell r="L6547"/>
        </row>
        <row r="6548">
          <cell r="L6548"/>
        </row>
        <row r="6549">
          <cell r="L6549"/>
        </row>
        <row r="6550">
          <cell r="L6550"/>
        </row>
        <row r="6551">
          <cell r="L6551"/>
        </row>
        <row r="6552">
          <cell r="L6552"/>
        </row>
        <row r="6553">
          <cell r="L6553"/>
        </row>
        <row r="6554">
          <cell r="L6554"/>
        </row>
        <row r="6555">
          <cell r="L6555"/>
        </row>
        <row r="6556">
          <cell r="L6556"/>
        </row>
        <row r="6557">
          <cell r="L6557"/>
        </row>
        <row r="6558">
          <cell r="L6558"/>
        </row>
        <row r="6559">
          <cell r="L6559"/>
        </row>
        <row r="6560">
          <cell r="L6560"/>
        </row>
        <row r="6561">
          <cell r="L6561"/>
        </row>
        <row r="6562">
          <cell r="L6562"/>
        </row>
        <row r="6563">
          <cell r="L6563"/>
        </row>
        <row r="6564">
          <cell r="L6564"/>
        </row>
        <row r="6565">
          <cell r="L6565"/>
        </row>
        <row r="6566">
          <cell r="L6566"/>
        </row>
        <row r="6567">
          <cell r="L6567"/>
        </row>
        <row r="6568">
          <cell r="L6568"/>
        </row>
        <row r="6569">
          <cell r="L6569"/>
        </row>
        <row r="6570">
          <cell r="L6570"/>
        </row>
        <row r="6571">
          <cell r="L6571"/>
        </row>
        <row r="6572">
          <cell r="L6572"/>
        </row>
        <row r="6573">
          <cell r="L6573"/>
        </row>
        <row r="6574">
          <cell r="L6574"/>
        </row>
        <row r="6575">
          <cell r="L6575"/>
        </row>
        <row r="6576">
          <cell r="L6576"/>
        </row>
        <row r="6577">
          <cell r="L6577"/>
        </row>
        <row r="6578">
          <cell r="L6578"/>
        </row>
        <row r="6579">
          <cell r="L6579"/>
        </row>
        <row r="6580">
          <cell r="L6580"/>
        </row>
        <row r="6581">
          <cell r="L6581"/>
        </row>
        <row r="6582">
          <cell r="L6582"/>
        </row>
        <row r="6583">
          <cell r="L6583"/>
        </row>
        <row r="6584">
          <cell r="L6584"/>
        </row>
        <row r="6585">
          <cell r="L6585"/>
        </row>
        <row r="6586">
          <cell r="L6586"/>
        </row>
        <row r="6587">
          <cell r="L6587"/>
        </row>
        <row r="6588">
          <cell r="L6588"/>
        </row>
        <row r="6589">
          <cell r="L6589"/>
        </row>
        <row r="6590">
          <cell r="L6590"/>
        </row>
        <row r="6591">
          <cell r="L6591"/>
        </row>
        <row r="6592">
          <cell r="L6592"/>
        </row>
        <row r="6593">
          <cell r="L6593"/>
        </row>
        <row r="6594">
          <cell r="L6594"/>
        </row>
        <row r="6595">
          <cell r="L6595"/>
        </row>
        <row r="6596">
          <cell r="L6596"/>
        </row>
        <row r="6597">
          <cell r="L6597"/>
        </row>
        <row r="6598">
          <cell r="L6598"/>
        </row>
        <row r="6599">
          <cell r="L6599"/>
        </row>
        <row r="6600">
          <cell r="L6600"/>
        </row>
        <row r="6601">
          <cell r="L6601"/>
        </row>
        <row r="6602">
          <cell r="L6602"/>
        </row>
        <row r="6603">
          <cell r="L6603"/>
        </row>
        <row r="6604">
          <cell r="L6604"/>
        </row>
        <row r="6605">
          <cell r="L6605"/>
        </row>
        <row r="6606">
          <cell r="L6606"/>
        </row>
        <row r="6607">
          <cell r="L6607"/>
        </row>
        <row r="6608">
          <cell r="L6608"/>
        </row>
        <row r="6609">
          <cell r="L6609"/>
        </row>
        <row r="6610">
          <cell r="L6610"/>
        </row>
        <row r="6611">
          <cell r="L6611"/>
        </row>
        <row r="6612">
          <cell r="L6612"/>
        </row>
        <row r="6613">
          <cell r="L6613"/>
        </row>
        <row r="6614">
          <cell r="L6614"/>
        </row>
        <row r="6615">
          <cell r="L6615"/>
        </row>
        <row r="6616">
          <cell r="L6616"/>
        </row>
        <row r="6617">
          <cell r="L6617"/>
        </row>
        <row r="6618">
          <cell r="L6618"/>
        </row>
        <row r="6619">
          <cell r="L6619"/>
        </row>
        <row r="6620">
          <cell r="L6620"/>
        </row>
        <row r="6621">
          <cell r="L6621"/>
        </row>
        <row r="6622">
          <cell r="L6622"/>
        </row>
        <row r="6623">
          <cell r="L6623"/>
        </row>
        <row r="6624">
          <cell r="L6624"/>
        </row>
        <row r="6625">
          <cell r="L6625"/>
        </row>
        <row r="6626">
          <cell r="L6626"/>
        </row>
        <row r="6627">
          <cell r="L6627"/>
        </row>
        <row r="6628">
          <cell r="L6628"/>
        </row>
        <row r="6629">
          <cell r="L6629"/>
        </row>
        <row r="6630">
          <cell r="L6630"/>
        </row>
        <row r="6631">
          <cell r="L6631"/>
        </row>
        <row r="6632">
          <cell r="L6632"/>
        </row>
        <row r="6633">
          <cell r="L6633"/>
        </row>
        <row r="6634">
          <cell r="L6634"/>
        </row>
        <row r="6635">
          <cell r="L6635"/>
        </row>
        <row r="6636">
          <cell r="L6636"/>
        </row>
        <row r="6637">
          <cell r="L6637"/>
        </row>
        <row r="6638">
          <cell r="L6638"/>
        </row>
        <row r="6639">
          <cell r="L6639"/>
        </row>
        <row r="6640">
          <cell r="L6640"/>
        </row>
        <row r="6641">
          <cell r="L6641"/>
        </row>
        <row r="6642">
          <cell r="L6642"/>
        </row>
        <row r="6643">
          <cell r="L6643"/>
        </row>
        <row r="6644">
          <cell r="L6644"/>
        </row>
        <row r="6645">
          <cell r="L6645"/>
        </row>
        <row r="6646">
          <cell r="L6646"/>
        </row>
        <row r="6647">
          <cell r="L6647"/>
        </row>
        <row r="6648">
          <cell r="L6648"/>
        </row>
        <row r="6649">
          <cell r="L6649"/>
        </row>
        <row r="6650">
          <cell r="L6650"/>
        </row>
        <row r="6651">
          <cell r="L6651"/>
        </row>
        <row r="6652">
          <cell r="L6652"/>
        </row>
        <row r="6653">
          <cell r="L6653"/>
        </row>
        <row r="6654">
          <cell r="L6654"/>
        </row>
        <row r="6655">
          <cell r="L6655"/>
        </row>
        <row r="6656">
          <cell r="L6656"/>
        </row>
        <row r="6657">
          <cell r="L6657"/>
        </row>
        <row r="6658">
          <cell r="L6658"/>
        </row>
        <row r="6659">
          <cell r="L6659"/>
        </row>
        <row r="6660">
          <cell r="L6660"/>
        </row>
        <row r="6661">
          <cell r="L6661"/>
        </row>
        <row r="6662">
          <cell r="L6662"/>
        </row>
        <row r="6663">
          <cell r="L6663"/>
        </row>
        <row r="6664">
          <cell r="L6664"/>
        </row>
        <row r="6665">
          <cell r="L6665"/>
        </row>
        <row r="6666">
          <cell r="L6666"/>
        </row>
        <row r="6667">
          <cell r="L6667"/>
        </row>
        <row r="6668">
          <cell r="L6668"/>
        </row>
        <row r="6669">
          <cell r="L6669"/>
        </row>
        <row r="6670">
          <cell r="L6670"/>
        </row>
        <row r="6671">
          <cell r="L6671"/>
        </row>
        <row r="6672">
          <cell r="L6672"/>
        </row>
        <row r="6673">
          <cell r="L6673"/>
        </row>
        <row r="6674">
          <cell r="L6674"/>
        </row>
        <row r="6675">
          <cell r="L6675"/>
        </row>
        <row r="6676">
          <cell r="L6676"/>
        </row>
        <row r="6677">
          <cell r="L6677"/>
        </row>
        <row r="6678">
          <cell r="L6678"/>
        </row>
        <row r="6679">
          <cell r="L6679"/>
        </row>
        <row r="6680">
          <cell r="L6680"/>
        </row>
        <row r="6681">
          <cell r="L6681"/>
        </row>
        <row r="6682">
          <cell r="L6682"/>
        </row>
        <row r="6683">
          <cell r="L6683"/>
        </row>
        <row r="6684">
          <cell r="L6684"/>
        </row>
        <row r="6685">
          <cell r="L6685"/>
        </row>
        <row r="6686">
          <cell r="L6686"/>
        </row>
        <row r="6687">
          <cell r="L6687"/>
        </row>
        <row r="6688">
          <cell r="L6688"/>
        </row>
        <row r="6689">
          <cell r="L6689"/>
        </row>
        <row r="6690">
          <cell r="L6690"/>
        </row>
        <row r="6691">
          <cell r="L6691"/>
        </row>
        <row r="6692">
          <cell r="L6692"/>
        </row>
        <row r="6693">
          <cell r="L6693"/>
        </row>
        <row r="6694">
          <cell r="L6694"/>
        </row>
        <row r="6695">
          <cell r="L6695"/>
        </row>
        <row r="6696">
          <cell r="L6696"/>
        </row>
        <row r="6697">
          <cell r="L6697"/>
        </row>
        <row r="6698">
          <cell r="L6698"/>
        </row>
        <row r="6699">
          <cell r="L6699"/>
        </row>
        <row r="6700">
          <cell r="L6700"/>
        </row>
        <row r="6701">
          <cell r="L6701"/>
        </row>
        <row r="6702">
          <cell r="L6702"/>
        </row>
        <row r="6703">
          <cell r="L6703"/>
        </row>
        <row r="6704">
          <cell r="L6704"/>
        </row>
        <row r="6705">
          <cell r="L6705"/>
        </row>
        <row r="6706">
          <cell r="L6706"/>
        </row>
        <row r="6707">
          <cell r="L6707"/>
        </row>
        <row r="6708">
          <cell r="L6708"/>
        </row>
        <row r="6709">
          <cell r="L6709"/>
        </row>
        <row r="6710">
          <cell r="L6710"/>
        </row>
        <row r="6711">
          <cell r="L6711"/>
        </row>
        <row r="6712">
          <cell r="L6712"/>
        </row>
        <row r="6713">
          <cell r="L6713"/>
        </row>
        <row r="6714">
          <cell r="L6714"/>
        </row>
        <row r="6715">
          <cell r="L6715"/>
        </row>
        <row r="6716">
          <cell r="L6716"/>
        </row>
        <row r="6717">
          <cell r="L6717"/>
        </row>
        <row r="6718">
          <cell r="L6718"/>
        </row>
        <row r="6719">
          <cell r="L6719"/>
        </row>
        <row r="6720">
          <cell r="L6720"/>
        </row>
        <row r="6721">
          <cell r="L6721"/>
        </row>
        <row r="6722">
          <cell r="L6722"/>
        </row>
        <row r="6723">
          <cell r="L6723"/>
        </row>
        <row r="6724">
          <cell r="L6724"/>
        </row>
        <row r="6725">
          <cell r="L6725"/>
        </row>
        <row r="6726">
          <cell r="L6726"/>
        </row>
        <row r="6727">
          <cell r="L6727"/>
        </row>
        <row r="6728">
          <cell r="L6728"/>
        </row>
        <row r="6729">
          <cell r="L6729"/>
        </row>
        <row r="6730">
          <cell r="L6730"/>
        </row>
        <row r="6731">
          <cell r="L6731"/>
        </row>
        <row r="6732">
          <cell r="L6732"/>
        </row>
        <row r="6733">
          <cell r="L6733"/>
        </row>
        <row r="6734">
          <cell r="L6734"/>
        </row>
        <row r="6735">
          <cell r="L6735"/>
        </row>
        <row r="6736">
          <cell r="L6736"/>
        </row>
        <row r="6737">
          <cell r="L6737"/>
        </row>
        <row r="6738">
          <cell r="L6738"/>
        </row>
        <row r="6739">
          <cell r="L6739"/>
        </row>
        <row r="6740">
          <cell r="L6740"/>
        </row>
        <row r="6741">
          <cell r="L6741"/>
        </row>
        <row r="6742">
          <cell r="L6742"/>
        </row>
        <row r="6743">
          <cell r="L6743"/>
        </row>
        <row r="6744">
          <cell r="L6744"/>
        </row>
        <row r="6745">
          <cell r="L6745"/>
        </row>
        <row r="6746">
          <cell r="L6746"/>
        </row>
        <row r="6747">
          <cell r="L6747"/>
        </row>
        <row r="6748">
          <cell r="L6748"/>
        </row>
        <row r="6749">
          <cell r="L6749"/>
        </row>
        <row r="6750">
          <cell r="L6750"/>
        </row>
        <row r="6751">
          <cell r="L6751"/>
        </row>
        <row r="6752">
          <cell r="L6752"/>
        </row>
        <row r="6753">
          <cell r="L6753"/>
        </row>
        <row r="6754">
          <cell r="L6754"/>
        </row>
        <row r="6755">
          <cell r="L6755"/>
        </row>
        <row r="6756">
          <cell r="L6756"/>
        </row>
        <row r="6757">
          <cell r="L6757"/>
        </row>
        <row r="6758">
          <cell r="L6758"/>
        </row>
        <row r="6759">
          <cell r="L6759"/>
        </row>
        <row r="6760">
          <cell r="L6760"/>
        </row>
        <row r="6761">
          <cell r="L6761"/>
        </row>
        <row r="6762">
          <cell r="L6762"/>
        </row>
        <row r="6763">
          <cell r="L6763"/>
        </row>
        <row r="6764">
          <cell r="L6764"/>
        </row>
        <row r="6765">
          <cell r="L6765"/>
        </row>
        <row r="6766">
          <cell r="L6766"/>
        </row>
        <row r="6767">
          <cell r="L6767"/>
        </row>
        <row r="6768">
          <cell r="L6768"/>
        </row>
        <row r="6769">
          <cell r="L6769"/>
        </row>
        <row r="6770">
          <cell r="L6770"/>
        </row>
        <row r="6771">
          <cell r="L6771"/>
        </row>
        <row r="6772">
          <cell r="L6772"/>
        </row>
        <row r="6773">
          <cell r="L6773"/>
        </row>
        <row r="6774">
          <cell r="L6774"/>
        </row>
        <row r="6775">
          <cell r="L6775"/>
        </row>
        <row r="6776">
          <cell r="L6776"/>
        </row>
        <row r="6777">
          <cell r="L6777"/>
        </row>
        <row r="6778">
          <cell r="L6778"/>
        </row>
        <row r="6779">
          <cell r="L6779"/>
        </row>
        <row r="6780">
          <cell r="L6780"/>
        </row>
        <row r="6781">
          <cell r="L6781"/>
        </row>
        <row r="6782">
          <cell r="L6782"/>
        </row>
        <row r="6783">
          <cell r="L6783"/>
        </row>
        <row r="6784">
          <cell r="L6784"/>
        </row>
        <row r="6785">
          <cell r="L6785"/>
        </row>
        <row r="6786">
          <cell r="L6786"/>
        </row>
        <row r="6787">
          <cell r="L6787"/>
        </row>
        <row r="6788">
          <cell r="L6788"/>
        </row>
        <row r="6789">
          <cell r="L6789"/>
        </row>
        <row r="6790">
          <cell r="L6790"/>
        </row>
        <row r="6791">
          <cell r="L6791"/>
        </row>
        <row r="6792">
          <cell r="L6792"/>
        </row>
        <row r="6793">
          <cell r="L6793"/>
        </row>
        <row r="6794">
          <cell r="L6794"/>
        </row>
        <row r="6795">
          <cell r="L6795"/>
        </row>
        <row r="6796">
          <cell r="L6796"/>
        </row>
        <row r="6797">
          <cell r="L6797"/>
        </row>
        <row r="6798">
          <cell r="L6798"/>
        </row>
        <row r="6799">
          <cell r="L6799"/>
        </row>
        <row r="6800">
          <cell r="L6800"/>
        </row>
        <row r="6801">
          <cell r="L6801"/>
        </row>
        <row r="6802">
          <cell r="L6802"/>
        </row>
        <row r="6803">
          <cell r="L6803"/>
        </row>
        <row r="6804">
          <cell r="L6804"/>
        </row>
        <row r="6805">
          <cell r="L6805"/>
        </row>
        <row r="6806">
          <cell r="L6806"/>
        </row>
        <row r="6807">
          <cell r="L6807"/>
        </row>
        <row r="6808">
          <cell r="L6808"/>
        </row>
        <row r="6809">
          <cell r="L6809"/>
        </row>
        <row r="6810">
          <cell r="L6810"/>
        </row>
        <row r="6811">
          <cell r="L6811"/>
        </row>
        <row r="6812">
          <cell r="L6812"/>
        </row>
        <row r="6813">
          <cell r="L6813"/>
        </row>
        <row r="6814">
          <cell r="L6814"/>
        </row>
        <row r="6815">
          <cell r="L6815"/>
        </row>
        <row r="6816">
          <cell r="L6816"/>
        </row>
        <row r="6817">
          <cell r="L6817"/>
        </row>
        <row r="6818">
          <cell r="L6818"/>
        </row>
        <row r="6819">
          <cell r="L6819"/>
        </row>
        <row r="6820">
          <cell r="L6820"/>
        </row>
        <row r="6821">
          <cell r="L6821"/>
        </row>
        <row r="6822">
          <cell r="L6822"/>
        </row>
        <row r="6823">
          <cell r="L6823"/>
        </row>
        <row r="6824">
          <cell r="L6824"/>
        </row>
        <row r="6825">
          <cell r="L6825"/>
        </row>
        <row r="6826">
          <cell r="L6826"/>
        </row>
        <row r="6827">
          <cell r="L6827"/>
        </row>
        <row r="6828">
          <cell r="L6828"/>
        </row>
        <row r="6829">
          <cell r="L6829"/>
        </row>
        <row r="6830">
          <cell r="L6830"/>
        </row>
        <row r="6831">
          <cell r="L6831"/>
        </row>
        <row r="6832">
          <cell r="L6832"/>
        </row>
        <row r="6833">
          <cell r="L6833"/>
        </row>
        <row r="6834">
          <cell r="L6834"/>
        </row>
        <row r="6835">
          <cell r="L6835"/>
        </row>
        <row r="6836">
          <cell r="L6836"/>
        </row>
        <row r="6837">
          <cell r="L6837"/>
        </row>
        <row r="6838">
          <cell r="L6838"/>
        </row>
        <row r="6839">
          <cell r="L6839"/>
        </row>
        <row r="6840">
          <cell r="L6840"/>
        </row>
        <row r="6841">
          <cell r="L6841"/>
        </row>
        <row r="6842">
          <cell r="L6842"/>
        </row>
        <row r="6843">
          <cell r="L6843"/>
        </row>
        <row r="6844">
          <cell r="L6844"/>
        </row>
        <row r="6845">
          <cell r="L6845"/>
        </row>
        <row r="6846">
          <cell r="L6846"/>
        </row>
        <row r="6847">
          <cell r="L6847"/>
        </row>
        <row r="6848">
          <cell r="L6848"/>
        </row>
        <row r="6849">
          <cell r="L6849"/>
        </row>
        <row r="6850">
          <cell r="L6850"/>
        </row>
        <row r="6851">
          <cell r="L6851"/>
        </row>
        <row r="6852">
          <cell r="L6852"/>
        </row>
        <row r="6853">
          <cell r="L6853"/>
        </row>
        <row r="6854">
          <cell r="L6854"/>
        </row>
        <row r="6855">
          <cell r="L6855"/>
        </row>
        <row r="6856">
          <cell r="L6856"/>
        </row>
        <row r="6857">
          <cell r="L6857"/>
        </row>
        <row r="6858">
          <cell r="L6858"/>
        </row>
        <row r="6859">
          <cell r="L6859"/>
        </row>
        <row r="6860">
          <cell r="L6860"/>
        </row>
        <row r="6861">
          <cell r="L6861"/>
        </row>
        <row r="6862">
          <cell r="L6862"/>
        </row>
        <row r="6863">
          <cell r="L6863"/>
        </row>
        <row r="6864">
          <cell r="L6864"/>
        </row>
        <row r="6865">
          <cell r="L6865"/>
        </row>
        <row r="6866">
          <cell r="L6866"/>
        </row>
        <row r="6867">
          <cell r="L6867"/>
        </row>
        <row r="6868">
          <cell r="L6868"/>
        </row>
        <row r="6869">
          <cell r="L6869"/>
        </row>
        <row r="6870">
          <cell r="L6870"/>
        </row>
        <row r="6871">
          <cell r="L6871"/>
        </row>
        <row r="6872">
          <cell r="L6872"/>
        </row>
        <row r="6873">
          <cell r="L6873"/>
        </row>
        <row r="6874">
          <cell r="L6874"/>
        </row>
        <row r="6875">
          <cell r="L6875"/>
        </row>
        <row r="6876">
          <cell r="L6876"/>
        </row>
        <row r="6877">
          <cell r="L6877"/>
        </row>
        <row r="6878">
          <cell r="L6878"/>
        </row>
        <row r="6879">
          <cell r="L6879"/>
        </row>
        <row r="6880">
          <cell r="L6880"/>
        </row>
        <row r="6881">
          <cell r="L6881"/>
        </row>
        <row r="6882">
          <cell r="L6882"/>
        </row>
        <row r="6883">
          <cell r="L6883"/>
        </row>
        <row r="6884">
          <cell r="L6884"/>
        </row>
        <row r="6885">
          <cell r="L6885"/>
        </row>
        <row r="6886">
          <cell r="L6886"/>
        </row>
        <row r="6887">
          <cell r="L6887"/>
        </row>
        <row r="6888">
          <cell r="L6888"/>
        </row>
        <row r="6889">
          <cell r="L6889"/>
        </row>
        <row r="6890">
          <cell r="L6890"/>
        </row>
        <row r="6891">
          <cell r="L6891"/>
        </row>
        <row r="6892">
          <cell r="L6892"/>
        </row>
        <row r="6893">
          <cell r="L6893"/>
        </row>
        <row r="6894">
          <cell r="L6894"/>
        </row>
        <row r="6895">
          <cell r="L6895"/>
        </row>
        <row r="6896">
          <cell r="L6896"/>
        </row>
        <row r="6897">
          <cell r="L6897"/>
        </row>
        <row r="6898">
          <cell r="L6898"/>
        </row>
        <row r="6899">
          <cell r="L6899"/>
        </row>
        <row r="6900">
          <cell r="L6900"/>
        </row>
        <row r="6901">
          <cell r="L6901"/>
        </row>
        <row r="6902">
          <cell r="L6902"/>
        </row>
        <row r="6903">
          <cell r="L6903"/>
        </row>
        <row r="6904">
          <cell r="L6904"/>
        </row>
        <row r="6905">
          <cell r="L6905"/>
        </row>
        <row r="6906">
          <cell r="L6906"/>
        </row>
        <row r="6907">
          <cell r="L6907"/>
        </row>
        <row r="6908">
          <cell r="L6908"/>
        </row>
        <row r="6909">
          <cell r="L6909"/>
        </row>
        <row r="6910">
          <cell r="L6910"/>
        </row>
        <row r="6911">
          <cell r="L6911"/>
        </row>
        <row r="6912">
          <cell r="L6912"/>
        </row>
        <row r="6913">
          <cell r="L6913"/>
        </row>
        <row r="6914">
          <cell r="L6914"/>
        </row>
        <row r="6915">
          <cell r="L6915"/>
        </row>
        <row r="6916">
          <cell r="L6916"/>
        </row>
        <row r="6917">
          <cell r="L6917"/>
        </row>
        <row r="6918">
          <cell r="L6918"/>
        </row>
        <row r="6919">
          <cell r="L6919"/>
        </row>
        <row r="6920">
          <cell r="L6920"/>
        </row>
        <row r="6921">
          <cell r="L6921"/>
        </row>
        <row r="6922">
          <cell r="L6922"/>
        </row>
        <row r="6923">
          <cell r="L6923"/>
        </row>
        <row r="6924">
          <cell r="L6924"/>
        </row>
        <row r="6925">
          <cell r="L6925"/>
        </row>
        <row r="6926">
          <cell r="L6926"/>
        </row>
        <row r="6927">
          <cell r="L6927"/>
        </row>
        <row r="6928">
          <cell r="L6928"/>
        </row>
        <row r="6929">
          <cell r="L6929"/>
        </row>
        <row r="6930">
          <cell r="L6930"/>
        </row>
        <row r="6931">
          <cell r="L6931"/>
        </row>
        <row r="6932">
          <cell r="L6932"/>
        </row>
        <row r="6933">
          <cell r="L6933"/>
        </row>
        <row r="6934">
          <cell r="L6934"/>
        </row>
        <row r="6935">
          <cell r="L6935"/>
        </row>
        <row r="6936">
          <cell r="L6936"/>
        </row>
        <row r="6937">
          <cell r="L6937"/>
        </row>
        <row r="6938">
          <cell r="L6938"/>
        </row>
        <row r="6939">
          <cell r="L6939"/>
        </row>
        <row r="6940">
          <cell r="L6940"/>
        </row>
        <row r="6941">
          <cell r="L6941"/>
        </row>
        <row r="6942">
          <cell r="L6942"/>
        </row>
        <row r="6943">
          <cell r="L6943"/>
        </row>
        <row r="6944">
          <cell r="L6944"/>
        </row>
        <row r="6945">
          <cell r="L6945"/>
        </row>
        <row r="6946">
          <cell r="L6946"/>
        </row>
        <row r="6947">
          <cell r="L6947"/>
        </row>
        <row r="6948">
          <cell r="L6948"/>
        </row>
        <row r="6949">
          <cell r="L6949"/>
        </row>
        <row r="6950">
          <cell r="L6950"/>
        </row>
        <row r="6951">
          <cell r="L6951"/>
        </row>
        <row r="6952">
          <cell r="L6952"/>
        </row>
        <row r="6953">
          <cell r="L6953"/>
        </row>
        <row r="6954">
          <cell r="L6954"/>
        </row>
        <row r="6955">
          <cell r="L6955"/>
        </row>
        <row r="6956">
          <cell r="L6956"/>
        </row>
        <row r="6957">
          <cell r="L6957"/>
        </row>
        <row r="6958">
          <cell r="L6958"/>
        </row>
        <row r="6959">
          <cell r="L6959"/>
        </row>
        <row r="6960">
          <cell r="L6960"/>
        </row>
        <row r="6961">
          <cell r="L6961"/>
        </row>
        <row r="6962">
          <cell r="L6962"/>
        </row>
        <row r="6963">
          <cell r="L6963"/>
        </row>
        <row r="6964">
          <cell r="L6964"/>
        </row>
        <row r="6965">
          <cell r="L6965"/>
        </row>
        <row r="6966">
          <cell r="L6966"/>
        </row>
        <row r="6967">
          <cell r="L6967"/>
        </row>
        <row r="6968">
          <cell r="L6968"/>
        </row>
        <row r="6969">
          <cell r="L6969"/>
        </row>
        <row r="6970">
          <cell r="L6970"/>
        </row>
        <row r="6971">
          <cell r="L6971"/>
        </row>
        <row r="6972">
          <cell r="L6972"/>
        </row>
        <row r="6973">
          <cell r="L6973"/>
        </row>
        <row r="6974">
          <cell r="L6974"/>
        </row>
        <row r="6975">
          <cell r="L6975"/>
        </row>
        <row r="6976">
          <cell r="L6976"/>
        </row>
        <row r="6977">
          <cell r="L6977"/>
        </row>
        <row r="6978">
          <cell r="L6978"/>
        </row>
        <row r="6979">
          <cell r="L6979"/>
        </row>
        <row r="6980">
          <cell r="L6980"/>
        </row>
        <row r="6981">
          <cell r="L6981"/>
        </row>
        <row r="6982">
          <cell r="L6982"/>
        </row>
        <row r="6983">
          <cell r="L6983"/>
        </row>
        <row r="6984">
          <cell r="L6984"/>
        </row>
        <row r="6985">
          <cell r="L6985"/>
        </row>
        <row r="6986">
          <cell r="L6986"/>
        </row>
        <row r="6987">
          <cell r="L6987"/>
        </row>
        <row r="6988">
          <cell r="L6988"/>
        </row>
        <row r="6989">
          <cell r="L6989"/>
        </row>
        <row r="6990">
          <cell r="L6990"/>
        </row>
        <row r="6991">
          <cell r="L6991"/>
        </row>
        <row r="6992">
          <cell r="L6992"/>
        </row>
        <row r="6993">
          <cell r="L6993"/>
        </row>
        <row r="6994">
          <cell r="L6994"/>
        </row>
        <row r="6995">
          <cell r="L6995"/>
        </row>
        <row r="6996">
          <cell r="L6996"/>
        </row>
        <row r="6997">
          <cell r="L6997"/>
        </row>
        <row r="6998">
          <cell r="L6998"/>
        </row>
        <row r="6999">
          <cell r="L6999"/>
        </row>
        <row r="7000">
          <cell r="L7000"/>
        </row>
        <row r="7001">
          <cell r="L7001"/>
        </row>
        <row r="7002">
          <cell r="L7002"/>
        </row>
        <row r="7003">
          <cell r="L7003"/>
        </row>
        <row r="7004">
          <cell r="L7004"/>
        </row>
        <row r="7005">
          <cell r="L7005"/>
        </row>
        <row r="7006">
          <cell r="L7006"/>
        </row>
        <row r="7007">
          <cell r="L7007"/>
        </row>
        <row r="7008">
          <cell r="L7008"/>
        </row>
        <row r="7009">
          <cell r="L7009"/>
        </row>
        <row r="7010">
          <cell r="L7010"/>
        </row>
        <row r="7011">
          <cell r="L7011"/>
        </row>
        <row r="7012">
          <cell r="L7012"/>
        </row>
        <row r="7013">
          <cell r="L7013"/>
        </row>
        <row r="7014">
          <cell r="L7014"/>
        </row>
        <row r="7015">
          <cell r="L7015"/>
        </row>
        <row r="7016">
          <cell r="L7016"/>
        </row>
        <row r="7017">
          <cell r="L7017"/>
        </row>
        <row r="7018">
          <cell r="L7018"/>
        </row>
        <row r="7019">
          <cell r="L7019"/>
        </row>
        <row r="7020">
          <cell r="L7020"/>
        </row>
        <row r="7021">
          <cell r="L7021"/>
        </row>
        <row r="7022">
          <cell r="L7022"/>
        </row>
        <row r="7023">
          <cell r="L7023"/>
        </row>
        <row r="7024">
          <cell r="L7024"/>
        </row>
        <row r="7025">
          <cell r="L7025"/>
        </row>
        <row r="7026">
          <cell r="L7026"/>
        </row>
        <row r="7027">
          <cell r="L7027"/>
        </row>
        <row r="7028">
          <cell r="L7028"/>
        </row>
        <row r="7029">
          <cell r="L7029"/>
        </row>
        <row r="7030">
          <cell r="L7030"/>
        </row>
        <row r="7031">
          <cell r="L7031"/>
        </row>
        <row r="7032">
          <cell r="L7032"/>
        </row>
        <row r="7033">
          <cell r="L7033"/>
        </row>
        <row r="7034">
          <cell r="L7034"/>
        </row>
        <row r="7035">
          <cell r="L7035"/>
        </row>
        <row r="7036">
          <cell r="L7036"/>
        </row>
        <row r="7037">
          <cell r="L7037"/>
        </row>
        <row r="7038">
          <cell r="L7038"/>
        </row>
        <row r="7039">
          <cell r="L7039"/>
        </row>
        <row r="7040">
          <cell r="L7040"/>
        </row>
        <row r="7041">
          <cell r="L7041"/>
        </row>
        <row r="7042">
          <cell r="L7042"/>
        </row>
        <row r="7043">
          <cell r="L7043"/>
        </row>
        <row r="7044">
          <cell r="L7044"/>
        </row>
        <row r="7045">
          <cell r="L7045"/>
        </row>
        <row r="7046">
          <cell r="L7046"/>
        </row>
        <row r="7047">
          <cell r="L7047"/>
        </row>
        <row r="7048">
          <cell r="L7048"/>
        </row>
        <row r="7049">
          <cell r="L7049"/>
        </row>
        <row r="7050">
          <cell r="L7050"/>
        </row>
        <row r="7051">
          <cell r="L7051"/>
        </row>
        <row r="7052">
          <cell r="L7052"/>
        </row>
        <row r="7053">
          <cell r="L7053"/>
        </row>
        <row r="7054">
          <cell r="L7054"/>
        </row>
        <row r="7055">
          <cell r="L7055"/>
        </row>
        <row r="7056">
          <cell r="L7056"/>
        </row>
        <row r="7057">
          <cell r="L7057"/>
        </row>
        <row r="7058">
          <cell r="L7058"/>
        </row>
        <row r="7059">
          <cell r="L7059"/>
        </row>
        <row r="7060">
          <cell r="L7060"/>
        </row>
        <row r="7061">
          <cell r="L7061"/>
        </row>
        <row r="7062">
          <cell r="L7062"/>
        </row>
        <row r="7063">
          <cell r="L7063"/>
        </row>
        <row r="7064">
          <cell r="L7064"/>
        </row>
        <row r="7065">
          <cell r="L7065"/>
        </row>
        <row r="7066">
          <cell r="L7066"/>
        </row>
        <row r="7067">
          <cell r="L7067"/>
        </row>
        <row r="7068">
          <cell r="L7068"/>
        </row>
        <row r="7069">
          <cell r="L7069"/>
        </row>
        <row r="7070">
          <cell r="L7070"/>
        </row>
        <row r="7071">
          <cell r="L7071"/>
        </row>
        <row r="7072">
          <cell r="L7072"/>
        </row>
        <row r="7073">
          <cell r="L7073"/>
        </row>
        <row r="7074">
          <cell r="L7074"/>
        </row>
        <row r="7075">
          <cell r="L7075"/>
        </row>
        <row r="7076">
          <cell r="L7076"/>
        </row>
        <row r="7077">
          <cell r="L7077"/>
        </row>
        <row r="7078">
          <cell r="L7078"/>
        </row>
        <row r="7079">
          <cell r="L7079"/>
        </row>
        <row r="7080">
          <cell r="L7080"/>
        </row>
        <row r="7081">
          <cell r="L7081"/>
        </row>
        <row r="7082">
          <cell r="L7082"/>
        </row>
        <row r="7083">
          <cell r="L7083"/>
        </row>
        <row r="7084">
          <cell r="L7084"/>
        </row>
        <row r="7085">
          <cell r="L7085"/>
        </row>
        <row r="7086">
          <cell r="L7086"/>
        </row>
        <row r="7087">
          <cell r="L7087"/>
        </row>
        <row r="7088">
          <cell r="L7088"/>
        </row>
        <row r="7089">
          <cell r="L7089"/>
        </row>
        <row r="7090">
          <cell r="L7090"/>
        </row>
        <row r="7091">
          <cell r="L7091"/>
        </row>
        <row r="7092">
          <cell r="L7092"/>
        </row>
        <row r="7093">
          <cell r="L7093"/>
        </row>
        <row r="7094">
          <cell r="L7094"/>
        </row>
        <row r="7095">
          <cell r="L7095"/>
        </row>
        <row r="7096">
          <cell r="L7096"/>
        </row>
        <row r="7097">
          <cell r="L7097"/>
        </row>
        <row r="7098">
          <cell r="L7098"/>
        </row>
        <row r="7099">
          <cell r="L7099"/>
        </row>
        <row r="7100">
          <cell r="L7100"/>
        </row>
        <row r="7101">
          <cell r="L7101"/>
        </row>
        <row r="7102">
          <cell r="L7102"/>
        </row>
        <row r="7103">
          <cell r="L7103"/>
        </row>
        <row r="7104">
          <cell r="L7104"/>
        </row>
        <row r="7105">
          <cell r="L7105"/>
        </row>
        <row r="7106">
          <cell r="L7106"/>
        </row>
        <row r="7107">
          <cell r="L7107"/>
        </row>
        <row r="7108">
          <cell r="L7108"/>
        </row>
        <row r="7109">
          <cell r="L7109"/>
        </row>
        <row r="7110">
          <cell r="L7110"/>
        </row>
        <row r="7111">
          <cell r="L7111"/>
        </row>
        <row r="7112">
          <cell r="L7112"/>
        </row>
        <row r="7113">
          <cell r="L7113"/>
        </row>
        <row r="7114">
          <cell r="L7114"/>
        </row>
        <row r="7115">
          <cell r="L7115"/>
        </row>
        <row r="7116">
          <cell r="L7116"/>
        </row>
        <row r="7117">
          <cell r="L7117"/>
        </row>
        <row r="7118">
          <cell r="L7118"/>
        </row>
        <row r="7119">
          <cell r="L7119"/>
        </row>
        <row r="7120">
          <cell r="L7120"/>
        </row>
        <row r="7121">
          <cell r="L7121"/>
        </row>
        <row r="7122">
          <cell r="L7122"/>
        </row>
        <row r="7123">
          <cell r="L7123"/>
        </row>
        <row r="7124">
          <cell r="L7124"/>
        </row>
        <row r="7125">
          <cell r="L7125"/>
        </row>
        <row r="7126">
          <cell r="L7126"/>
        </row>
        <row r="7127">
          <cell r="L7127"/>
        </row>
        <row r="7128">
          <cell r="L7128"/>
        </row>
        <row r="7129">
          <cell r="L7129"/>
        </row>
        <row r="7130">
          <cell r="L7130"/>
        </row>
        <row r="7131">
          <cell r="L7131"/>
        </row>
        <row r="7132">
          <cell r="L7132"/>
        </row>
        <row r="7133">
          <cell r="L7133"/>
        </row>
        <row r="7134">
          <cell r="L7134"/>
        </row>
        <row r="7135">
          <cell r="L7135"/>
        </row>
        <row r="7136">
          <cell r="L7136"/>
        </row>
        <row r="7137">
          <cell r="L7137"/>
        </row>
        <row r="7138">
          <cell r="L7138"/>
        </row>
        <row r="7139">
          <cell r="L7139"/>
        </row>
        <row r="7140">
          <cell r="L7140"/>
        </row>
        <row r="7141">
          <cell r="L7141"/>
        </row>
        <row r="7142">
          <cell r="L7142"/>
        </row>
        <row r="7143">
          <cell r="L7143"/>
        </row>
        <row r="7144">
          <cell r="L7144"/>
        </row>
        <row r="7145">
          <cell r="L7145"/>
        </row>
        <row r="7146">
          <cell r="L7146"/>
        </row>
        <row r="7147">
          <cell r="L7147"/>
        </row>
        <row r="7148">
          <cell r="L7148"/>
        </row>
        <row r="7149">
          <cell r="L7149"/>
        </row>
        <row r="7150">
          <cell r="L7150"/>
        </row>
        <row r="7151">
          <cell r="L7151"/>
        </row>
        <row r="7152">
          <cell r="L7152"/>
        </row>
        <row r="7153">
          <cell r="L7153"/>
        </row>
        <row r="7154">
          <cell r="L7154"/>
        </row>
        <row r="7155">
          <cell r="L7155"/>
        </row>
        <row r="7156">
          <cell r="L7156"/>
        </row>
        <row r="7157">
          <cell r="L7157"/>
        </row>
        <row r="7158">
          <cell r="L7158"/>
        </row>
        <row r="7159">
          <cell r="L7159"/>
        </row>
        <row r="7160">
          <cell r="L7160"/>
        </row>
        <row r="7161">
          <cell r="L7161"/>
        </row>
        <row r="7162">
          <cell r="L7162"/>
        </row>
        <row r="7163">
          <cell r="L7163"/>
        </row>
        <row r="7164">
          <cell r="L7164"/>
        </row>
        <row r="7165">
          <cell r="L7165"/>
        </row>
        <row r="7166">
          <cell r="L7166"/>
        </row>
        <row r="7167">
          <cell r="L7167"/>
        </row>
        <row r="7168">
          <cell r="L7168"/>
        </row>
        <row r="7169">
          <cell r="L7169"/>
        </row>
        <row r="7170">
          <cell r="L7170"/>
        </row>
        <row r="7171">
          <cell r="L7171"/>
        </row>
        <row r="7172">
          <cell r="L7172"/>
        </row>
        <row r="7173">
          <cell r="L7173"/>
        </row>
        <row r="7174">
          <cell r="L7174"/>
        </row>
        <row r="7175">
          <cell r="L7175"/>
        </row>
        <row r="7176">
          <cell r="L7176"/>
        </row>
        <row r="7177">
          <cell r="L7177"/>
        </row>
        <row r="7178">
          <cell r="L7178"/>
        </row>
        <row r="7179">
          <cell r="L7179"/>
        </row>
        <row r="7180">
          <cell r="L7180"/>
        </row>
        <row r="7181">
          <cell r="L7181"/>
        </row>
        <row r="7182">
          <cell r="L7182"/>
        </row>
        <row r="7183">
          <cell r="L7183"/>
        </row>
        <row r="7184">
          <cell r="L7184"/>
        </row>
        <row r="7185">
          <cell r="L7185"/>
        </row>
        <row r="7186">
          <cell r="L7186"/>
        </row>
        <row r="7187">
          <cell r="L7187"/>
        </row>
        <row r="7188">
          <cell r="L7188"/>
        </row>
        <row r="7189">
          <cell r="L7189"/>
        </row>
        <row r="7190">
          <cell r="L7190"/>
        </row>
        <row r="7191">
          <cell r="L7191"/>
        </row>
        <row r="7192">
          <cell r="L7192"/>
        </row>
        <row r="7193">
          <cell r="L7193"/>
        </row>
        <row r="7194">
          <cell r="L7194"/>
        </row>
        <row r="7195">
          <cell r="L7195"/>
        </row>
        <row r="7196">
          <cell r="L7196"/>
        </row>
        <row r="7197">
          <cell r="L7197"/>
        </row>
        <row r="7198">
          <cell r="L7198"/>
        </row>
        <row r="7199">
          <cell r="L7199"/>
        </row>
        <row r="7200">
          <cell r="L7200"/>
        </row>
        <row r="7201">
          <cell r="L7201"/>
        </row>
        <row r="7202">
          <cell r="L7202"/>
        </row>
        <row r="7203">
          <cell r="L7203"/>
        </row>
        <row r="7204">
          <cell r="L7204"/>
        </row>
        <row r="7205">
          <cell r="L7205"/>
        </row>
        <row r="7206">
          <cell r="L7206"/>
        </row>
        <row r="7207">
          <cell r="L7207"/>
        </row>
        <row r="7208">
          <cell r="L7208"/>
        </row>
        <row r="7209">
          <cell r="L7209"/>
        </row>
        <row r="7210">
          <cell r="L7210"/>
        </row>
        <row r="7211">
          <cell r="L7211"/>
        </row>
        <row r="7212">
          <cell r="L7212"/>
        </row>
        <row r="7213">
          <cell r="L7213"/>
        </row>
        <row r="7214">
          <cell r="L7214"/>
        </row>
        <row r="7215">
          <cell r="L7215"/>
        </row>
        <row r="7216">
          <cell r="L7216"/>
        </row>
        <row r="7217">
          <cell r="L7217"/>
        </row>
        <row r="7218">
          <cell r="L7218"/>
        </row>
        <row r="7219">
          <cell r="L7219"/>
        </row>
        <row r="7220">
          <cell r="L7220"/>
        </row>
        <row r="7221">
          <cell r="L7221"/>
        </row>
        <row r="7222">
          <cell r="L7222"/>
        </row>
        <row r="7223">
          <cell r="L7223"/>
        </row>
        <row r="7224">
          <cell r="L7224"/>
        </row>
        <row r="7225">
          <cell r="L7225"/>
        </row>
        <row r="7226">
          <cell r="L7226"/>
        </row>
        <row r="7227">
          <cell r="L7227"/>
        </row>
        <row r="7228">
          <cell r="L7228"/>
        </row>
        <row r="7229">
          <cell r="L7229"/>
        </row>
        <row r="7230">
          <cell r="L7230"/>
        </row>
        <row r="7231">
          <cell r="L7231"/>
        </row>
        <row r="7232">
          <cell r="L7232"/>
        </row>
        <row r="7233">
          <cell r="L7233"/>
        </row>
        <row r="7234">
          <cell r="L7234"/>
        </row>
        <row r="7235">
          <cell r="L7235"/>
        </row>
        <row r="7236">
          <cell r="L7236"/>
        </row>
        <row r="7237">
          <cell r="L7237"/>
        </row>
        <row r="7238">
          <cell r="L7238"/>
        </row>
        <row r="7239">
          <cell r="L7239"/>
        </row>
        <row r="7240">
          <cell r="L7240"/>
        </row>
        <row r="7241">
          <cell r="L7241"/>
        </row>
        <row r="7242">
          <cell r="L7242"/>
        </row>
        <row r="7243">
          <cell r="L7243"/>
        </row>
        <row r="7244">
          <cell r="L7244"/>
        </row>
        <row r="7245">
          <cell r="L7245"/>
        </row>
        <row r="7246">
          <cell r="L7246"/>
        </row>
        <row r="7247">
          <cell r="L7247"/>
        </row>
        <row r="7248">
          <cell r="L7248"/>
        </row>
        <row r="7249">
          <cell r="L7249"/>
        </row>
        <row r="7250">
          <cell r="L7250"/>
        </row>
        <row r="7251">
          <cell r="L7251"/>
        </row>
        <row r="7252">
          <cell r="L7252"/>
        </row>
        <row r="7253">
          <cell r="L7253"/>
        </row>
        <row r="7254">
          <cell r="L7254"/>
        </row>
        <row r="7255">
          <cell r="L7255"/>
        </row>
        <row r="7256">
          <cell r="L7256"/>
        </row>
        <row r="7257">
          <cell r="L7257"/>
        </row>
        <row r="7258">
          <cell r="L7258"/>
        </row>
        <row r="7259">
          <cell r="L7259"/>
        </row>
        <row r="7260">
          <cell r="L7260"/>
        </row>
        <row r="7261">
          <cell r="L7261"/>
        </row>
        <row r="7262">
          <cell r="L7262"/>
        </row>
        <row r="7263">
          <cell r="L7263"/>
        </row>
        <row r="7264">
          <cell r="L7264"/>
        </row>
        <row r="7265">
          <cell r="L7265"/>
        </row>
        <row r="7266">
          <cell r="L7266"/>
        </row>
        <row r="7267">
          <cell r="L7267"/>
        </row>
        <row r="7268">
          <cell r="L7268"/>
        </row>
        <row r="7269">
          <cell r="L7269"/>
        </row>
        <row r="7270">
          <cell r="L7270"/>
        </row>
        <row r="7271">
          <cell r="L7271"/>
        </row>
        <row r="7272">
          <cell r="L7272"/>
        </row>
        <row r="7273">
          <cell r="L7273"/>
        </row>
        <row r="7274">
          <cell r="L7274"/>
        </row>
        <row r="7275">
          <cell r="L7275"/>
        </row>
        <row r="7276">
          <cell r="L7276"/>
        </row>
        <row r="7277">
          <cell r="L7277"/>
        </row>
        <row r="7278">
          <cell r="L7278"/>
        </row>
        <row r="7279">
          <cell r="L7279"/>
        </row>
        <row r="7280">
          <cell r="L7280"/>
        </row>
        <row r="7281">
          <cell r="L7281"/>
        </row>
        <row r="7282">
          <cell r="L7282"/>
        </row>
        <row r="7283">
          <cell r="L7283"/>
        </row>
        <row r="7284">
          <cell r="L7284"/>
        </row>
        <row r="7285">
          <cell r="L7285"/>
        </row>
        <row r="7286">
          <cell r="L7286"/>
        </row>
        <row r="7287">
          <cell r="L7287"/>
        </row>
        <row r="7288">
          <cell r="L7288"/>
        </row>
        <row r="7289">
          <cell r="L7289"/>
        </row>
        <row r="7290">
          <cell r="L7290"/>
        </row>
        <row r="7291">
          <cell r="L7291"/>
        </row>
        <row r="7292">
          <cell r="L7292"/>
        </row>
        <row r="7293">
          <cell r="L7293"/>
        </row>
        <row r="7294">
          <cell r="L7294"/>
        </row>
        <row r="7295">
          <cell r="L7295"/>
        </row>
        <row r="7296">
          <cell r="L7296"/>
        </row>
        <row r="7297">
          <cell r="L7297"/>
        </row>
        <row r="7298">
          <cell r="L7298"/>
        </row>
        <row r="7299">
          <cell r="L7299"/>
        </row>
        <row r="7300">
          <cell r="L7300"/>
        </row>
        <row r="7301">
          <cell r="L7301"/>
        </row>
        <row r="7302">
          <cell r="L7302"/>
        </row>
        <row r="7303">
          <cell r="L7303"/>
        </row>
        <row r="7304">
          <cell r="L7304"/>
        </row>
        <row r="7305">
          <cell r="L7305"/>
        </row>
        <row r="7306">
          <cell r="L7306"/>
        </row>
        <row r="7307">
          <cell r="L7307"/>
        </row>
        <row r="7308">
          <cell r="L7308"/>
        </row>
        <row r="7309">
          <cell r="L7309"/>
        </row>
        <row r="7310">
          <cell r="L7310"/>
        </row>
        <row r="7311">
          <cell r="L7311"/>
        </row>
        <row r="7312">
          <cell r="L7312"/>
        </row>
        <row r="7313">
          <cell r="L7313"/>
        </row>
        <row r="7314">
          <cell r="L7314"/>
        </row>
        <row r="7315">
          <cell r="L7315"/>
        </row>
        <row r="7316">
          <cell r="L7316"/>
        </row>
        <row r="7317">
          <cell r="L7317"/>
        </row>
        <row r="7318">
          <cell r="L7318"/>
        </row>
        <row r="7319">
          <cell r="L7319"/>
        </row>
        <row r="7320">
          <cell r="L7320"/>
        </row>
        <row r="7321">
          <cell r="L7321"/>
        </row>
        <row r="7322">
          <cell r="L7322"/>
        </row>
        <row r="7323">
          <cell r="L7323"/>
        </row>
        <row r="7324">
          <cell r="L7324"/>
        </row>
        <row r="7325">
          <cell r="L7325"/>
        </row>
        <row r="7326">
          <cell r="L7326"/>
        </row>
        <row r="7327">
          <cell r="L7327"/>
        </row>
        <row r="7328">
          <cell r="L7328"/>
        </row>
        <row r="7329">
          <cell r="L7329"/>
        </row>
        <row r="7330">
          <cell r="L7330"/>
        </row>
        <row r="7331">
          <cell r="L7331"/>
        </row>
        <row r="7332">
          <cell r="L7332"/>
        </row>
        <row r="7333">
          <cell r="L7333"/>
        </row>
        <row r="7334">
          <cell r="L7334"/>
        </row>
        <row r="7335">
          <cell r="L7335"/>
        </row>
        <row r="7336">
          <cell r="L7336"/>
        </row>
        <row r="7337">
          <cell r="L7337"/>
        </row>
        <row r="7338">
          <cell r="L7338"/>
        </row>
        <row r="7339">
          <cell r="L7339"/>
        </row>
        <row r="7340">
          <cell r="L7340"/>
        </row>
        <row r="7341">
          <cell r="L7341"/>
        </row>
        <row r="7342">
          <cell r="L7342"/>
        </row>
        <row r="7343">
          <cell r="L7343"/>
        </row>
        <row r="7344">
          <cell r="L7344"/>
        </row>
        <row r="7345">
          <cell r="L7345"/>
        </row>
        <row r="7346">
          <cell r="L7346"/>
        </row>
        <row r="7347">
          <cell r="L7347"/>
        </row>
        <row r="7348">
          <cell r="L7348"/>
        </row>
        <row r="7349">
          <cell r="L7349"/>
        </row>
        <row r="7350">
          <cell r="L7350"/>
        </row>
        <row r="7351">
          <cell r="L7351"/>
        </row>
        <row r="7352">
          <cell r="L7352"/>
        </row>
        <row r="7353">
          <cell r="L7353"/>
        </row>
        <row r="7354">
          <cell r="L7354"/>
        </row>
        <row r="7355">
          <cell r="L7355"/>
        </row>
        <row r="7356">
          <cell r="L7356"/>
        </row>
        <row r="7357">
          <cell r="L7357"/>
        </row>
        <row r="7358">
          <cell r="L7358"/>
        </row>
        <row r="7359">
          <cell r="L7359"/>
        </row>
        <row r="7360">
          <cell r="L7360"/>
        </row>
        <row r="7361">
          <cell r="L7361"/>
        </row>
        <row r="7362">
          <cell r="L7362"/>
        </row>
        <row r="7363">
          <cell r="L7363"/>
        </row>
        <row r="7364">
          <cell r="L7364"/>
        </row>
        <row r="7365">
          <cell r="L7365"/>
        </row>
        <row r="7366">
          <cell r="L7366"/>
        </row>
        <row r="7367">
          <cell r="L7367"/>
        </row>
        <row r="7368">
          <cell r="L7368"/>
        </row>
        <row r="7369">
          <cell r="L7369"/>
        </row>
        <row r="7370">
          <cell r="L7370"/>
        </row>
        <row r="7371">
          <cell r="L7371"/>
        </row>
        <row r="7372">
          <cell r="L7372"/>
        </row>
        <row r="7373">
          <cell r="L7373"/>
        </row>
        <row r="7374">
          <cell r="L7374"/>
        </row>
        <row r="7375">
          <cell r="L7375"/>
        </row>
        <row r="7376">
          <cell r="L7376"/>
        </row>
        <row r="7377">
          <cell r="L7377"/>
        </row>
        <row r="7378">
          <cell r="L7378"/>
        </row>
        <row r="7379">
          <cell r="L7379"/>
        </row>
        <row r="7380">
          <cell r="L7380"/>
        </row>
        <row r="7381">
          <cell r="L7381"/>
        </row>
        <row r="7382">
          <cell r="L7382"/>
        </row>
        <row r="7383">
          <cell r="L7383"/>
        </row>
        <row r="7384">
          <cell r="L7384"/>
        </row>
        <row r="7385">
          <cell r="L7385"/>
        </row>
        <row r="7386">
          <cell r="L7386"/>
        </row>
        <row r="7387">
          <cell r="L7387"/>
        </row>
        <row r="7388">
          <cell r="L7388"/>
        </row>
        <row r="7389">
          <cell r="L7389"/>
        </row>
        <row r="7390">
          <cell r="L7390"/>
        </row>
        <row r="7391">
          <cell r="L7391"/>
        </row>
        <row r="7392">
          <cell r="L7392"/>
        </row>
        <row r="7393">
          <cell r="L7393"/>
        </row>
        <row r="7394">
          <cell r="L7394"/>
        </row>
        <row r="7395">
          <cell r="L7395"/>
        </row>
        <row r="7396">
          <cell r="L7396"/>
        </row>
        <row r="7397">
          <cell r="L7397"/>
        </row>
        <row r="7398">
          <cell r="L7398"/>
        </row>
        <row r="7399">
          <cell r="L7399"/>
        </row>
        <row r="7400">
          <cell r="L7400"/>
        </row>
        <row r="7401">
          <cell r="L7401"/>
        </row>
        <row r="7402">
          <cell r="L7402"/>
        </row>
        <row r="7403">
          <cell r="L7403"/>
        </row>
        <row r="7404">
          <cell r="L7404"/>
        </row>
        <row r="7405">
          <cell r="L7405"/>
        </row>
        <row r="7406">
          <cell r="L7406"/>
        </row>
        <row r="7407">
          <cell r="L7407"/>
        </row>
        <row r="7408">
          <cell r="L7408"/>
        </row>
        <row r="7409">
          <cell r="L7409"/>
        </row>
        <row r="7410">
          <cell r="L7410"/>
        </row>
        <row r="7411">
          <cell r="L7411"/>
        </row>
        <row r="7412">
          <cell r="L7412"/>
        </row>
        <row r="7413">
          <cell r="L7413"/>
        </row>
        <row r="7414">
          <cell r="L7414"/>
        </row>
        <row r="7415">
          <cell r="L7415"/>
        </row>
        <row r="7416">
          <cell r="L7416"/>
        </row>
        <row r="7417">
          <cell r="L7417"/>
        </row>
        <row r="7418">
          <cell r="L7418"/>
        </row>
        <row r="7419">
          <cell r="L7419"/>
        </row>
        <row r="7420">
          <cell r="L7420"/>
        </row>
        <row r="7421">
          <cell r="L7421"/>
        </row>
        <row r="7422">
          <cell r="L7422"/>
        </row>
        <row r="7423">
          <cell r="L7423"/>
        </row>
        <row r="7424">
          <cell r="L7424"/>
        </row>
        <row r="7425">
          <cell r="L7425"/>
        </row>
        <row r="7426">
          <cell r="L7426"/>
        </row>
        <row r="7427">
          <cell r="L7427"/>
        </row>
        <row r="7428">
          <cell r="L7428"/>
        </row>
        <row r="7429">
          <cell r="L7429"/>
        </row>
        <row r="7430">
          <cell r="L7430"/>
        </row>
        <row r="7431">
          <cell r="L7431"/>
        </row>
        <row r="7432">
          <cell r="L7432"/>
        </row>
        <row r="7433">
          <cell r="L7433"/>
        </row>
        <row r="7434">
          <cell r="L7434"/>
        </row>
        <row r="7435">
          <cell r="L7435"/>
        </row>
        <row r="7436">
          <cell r="L7436"/>
        </row>
        <row r="7437">
          <cell r="L7437"/>
        </row>
        <row r="7438">
          <cell r="L7438"/>
        </row>
        <row r="7439">
          <cell r="L7439"/>
        </row>
        <row r="7440">
          <cell r="L7440"/>
        </row>
        <row r="7441">
          <cell r="L7441"/>
        </row>
        <row r="7442">
          <cell r="L7442"/>
        </row>
        <row r="7443">
          <cell r="L7443"/>
        </row>
        <row r="7444">
          <cell r="L7444"/>
        </row>
        <row r="7445">
          <cell r="L7445"/>
        </row>
        <row r="7446">
          <cell r="L7446"/>
        </row>
        <row r="7447">
          <cell r="L7447"/>
        </row>
        <row r="7448">
          <cell r="L7448"/>
        </row>
        <row r="7449">
          <cell r="L7449"/>
        </row>
        <row r="7450">
          <cell r="L7450"/>
        </row>
        <row r="7451">
          <cell r="L7451"/>
        </row>
        <row r="7452">
          <cell r="L7452"/>
        </row>
        <row r="7453">
          <cell r="L7453"/>
        </row>
        <row r="7454">
          <cell r="L7454"/>
        </row>
        <row r="7455">
          <cell r="L7455"/>
        </row>
        <row r="7456">
          <cell r="L7456"/>
        </row>
        <row r="7457">
          <cell r="L7457"/>
        </row>
        <row r="7458">
          <cell r="L7458"/>
        </row>
        <row r="7459">
          <cell r="L7459"/>
        </row>
        <row r="7460">
          <cell r="L7460"/>
        </row>
        <row r="7461">
          <cell r="L7461"/>
        </row>
        <row r="7462">
          <cell r="L7462"/>
        </row>
        <row r="7463">
          <cell r="L7463"/>
        </row>
        <row r="7464">
          <cell r="L7464"/>
        </row>
        <row r="7465">
          <cell r="L7465"/>
        </row>
        <row r="7466">
          <cell r="L7466"/>
        </row>
        <row r="7467">
          <cell r="L7467"/>
        </row>
        <row r="7468">
          <cell r="L7468"/>
        </row>
        <row r="7469">
          <cell r="L7469"/>
        </row>
        <row r="7470">
          <cell r="L7470"/>
        </row>
        <row r="7471">
          <cell r="L7471"/>
        </row>
        <row r="7472">
          <cell r="L7472"/>
        </row>
        <row r="7473">
          <cell r="L7473"/>
        </row>
        <row r="7474">
          <cell r="L7474"/>
        </row>
        <row r="7475">
          <cell r="L7475"/>
        </row>
        <row r="7476">
          <cell r="L7476"/>
        </row>
        <row r="7477">
          <cell r="L7477"/>
        </row>
        <row r="7478">
          <cell r="L7478"/>
        </row>
        <row r="7479">
          <cell r="L7479"/>
        </row>
        <row r="7480">
          <cell r="L7480"/>
        </row>
        <row r="7481">
          <cell r="L7481"/>
        </row>
        <row r="7482">
          <cell r="L7482"/>
        </row>
        <row r="7483">
          <cell r="L7483"/>
        </row>
        <row r="7484">
          <cell r="L7484"/>
        </row>
        <row r="7485">
          <cell r="L7485"/>
        </row>
        <row r="7486">
          <cell r="L7486"/>
        </row>
        <row r="7487">
          <cell r="L7487"/>
        </row>
        <row r="7488">
          <cell r="L7488"/>
        </row>
        <row r="7489">
          <cell r="L7489"/>
        </row>
        <row r="7490">
          <cell r="L7490"/>
        </row>
        <row r="7491">
          <cell r="L7491"/>
        </row>
        <row r="7492">
          <cell r="L7492"/>
        </row>
        <row r="7493">
          <cell r="L7493"/>
        </row>
        <row r="7494">
          <cell r="L7494"/>
        </row>
        <row r="7495">
          <cell r="L7495"/>
        </row>
        <row r="7496">
          <cell r="L7496"/>
        </row>
        <row r="7497">
          <cell r="L7497"/>
        </row>
        <row r="7498">
          <cell r="L7498"/>
        </row>
        <row r="7499">
          <cell r="L7499"/>
        </row>
        <row r="7500">
          <cell r="L7500"/>
        </row>
        <row r="7501">
          <cell r="L7501"/>
        </row>
        <row r="7502">
          <cell r="L7502"/>
        </row>
        <row r="7503">
          <cell r="L7503"/>
        </row>
        <row r="7504">
          <cell r="L7504"/>
        </row>
        <row r="7505">
          <cell r="L7505"/>
        </row>
        <row r="7506">
          <cell r="L7506"/>
        </row>
        <row r="7507">
          <cell r="L7507"/>
        </row>
        <row r="7508">
          <cell r="L7508"/>
        </row>
        <row r="7509">
          <cell r="L7509"/>
        </row>
        <row r="7510">
          <cell r="L7510"/>
        </row>
        <row r="7511">
          <cell r="L7511"/>
        </row>
        <row r="7512">
          <cell r="L7512"/>
        </row>
        <row r="7513">
          <cell r="L7513"/>
        </row>
        <row r="7514">
          <cell r="L7514"/>
        </row>
        <row r="7515">
          <cell r="L7515"/>
        </row>
        <row r="7516">
          <cell r="L7516"/>
        </row>
        <row r="7517">
          <cell r="L7517"/>
        </row>
        <row r="7518">
          <cell r="L7518"/>
        </row>
        <row r="7519">
          <cell r="L7519"/>
        </row>
        <row r="7520">
          <cell r="L7520"/>
        </row>
        <row r="7521">
          <cell r="L7521"/>
        </row>
        <row r="7522">
          <cell r="L7522"/>
        </row>
        <row r="7523">
          <cell r="L7523"/>
        </row>
        <row r="7524">
          <cell r="L7524"/>
        </row>
        <row r="7525">
          <cell r="L7525"/>
        </row>
        <row r="7526">
          <cell r="L7526"/>
        </row>
        <row r="7527">
          <cell r="L7527"/>
        </row>
        <row r="7528">
          <cell r="L7528"/>
        </row>
        <row r="7529">
          <cell r="L7529"/>
        </row>
        <row r="7530">
          <cell r="L7530"/>
        </row>
        <row r="7531">
          <cell r="L7531"/>
        </row>
        <row r="7532">
          <cell r="L7532"/>
        </row>
        <row r="7533">
          <cell r="L7533"/>
        </row>
        <row r="7534">
          <cell r="L7534"/>
        </row>
        <row r="7535">
          <cell r="L7535"/>
        </row>
        <row r="7536">
          <cell r="L7536"/>
        </row>
        <row r="7537">
          <cell r="L7537"/>
        </row>
        <row r="7538">
          <cell r="L7538"/>
        </row>
        <row r="7539">
          <cell r="L7539"/>
        </row>
        <row r="7540">
          <cell r="L7540"/>
        </row>
        <row r="7541">
          <cell r="L7541"/>
        </row>
        <row r="7542">
          <cell r="L7542"/>
        </row>
        <row r="7543">
          <cell r="L7543"/>
        </row>
        <row r="7544">
          <cell r="L7544"/>
        </row>
        <row r="7545">
          <cell r="L7545"/>
        </row>
        <row r="7546">
          <cell r="L7546"/>
        </row>
        <row r="7547">
          <cell r="L7547"/>
        </row>
        <row r="7548">
          <cell r="L7548"/>
        </row>
        <row r="7549">
          <cell r="L7549"/>
        </row>
        <row r="7550">
          <cell r="L7550"/>
        </row>
        <row r="7551">
          <cell r="L7551"/>
        </row>
        <row r="7552">
          <cell r="L7552"/>
        </row>
        <row r="7553">
          <cell r="L7553"/>
        </row>
        <row r="7554">
          <cell r="L7554"/>
        </row>
        <row r="7555">
          <cell r="L7555"/>
        </row>
        <row r="7556">
          <cell r="L7556"/>
        </row>
        <row r="7557">
          <cell r="L7557"/>
        </row>
        <row r="7558">
          <cell r="L7558"/>
        </row>
        <row r="7559">
          <cell r="L7559"/>
        </row>
        <row r="7560">
          <cell r="L7560"/>
        </row>
        <row r="7561">
          <cell r="L7561"/>
        </row>
        <row r="7562">
          <cell r="L7562"/>
        </row>
        <row r="7563">
          <cell r="L7563"/>
        </row>
        <row r="7564">
          <cell r="L7564"/>
        </row>
        <row r="7565">
          <cell r="L7565"/>
        </row>
        <row r="7566">
          <cell r="L7566"/>
        </row>
        <row r="7567">
          <cell r="L7567"/>
        </row>
        <row r="7568">
          <cell r="L7568"/>
        </row>
        <row r="7569">
          <cell r="L7569"/>
        </row>
        <row r="7570">
          <cell r="L7570"/>
        </row>
        <row r="7571">
          <cell r="L7571"/>
        </row>
        <row r="7572">
          <cell r="L7572"/>
        </row>
        <row r="7573">
          <cell r="L7573"/>
        </row>
        <row r="7574">
          <cell r="L7574"/>
        </row>
        <row r="7575">
          <cell r="L7575"/>
        </row>
        <row r="7576">
          <cell r="L7576"/>
        </row>
        <row r="7577">
          <cell r="L7577"/>
        </row>
        <row r="7578">
          <cell r="L7578"/>
        </row>
        <row r="7579">
          <cell r="L7579"/>
        </row>
        <row r="7580">
          <cell r="L7580"/>
        </row>
        <row r="7581">
          <cell r="L7581"/>
        </row>
        <row r="7582">
          <cell r="L7582"/>
        </row>
        <row r="7583">
          <cell r="L7583"/>
        </row>
        <row r="7584">
          <cell r="L7584"/>
        </row>
        <row r="7585">
          <cell r="L7585"/>
        </row>
        <row r="7586">
          <cell r="L7586"/>
        </row>
        <row r="7587">
          <cell r="L7587"/>
        </row>
        <row r="7588">
          <cell r="L7588"/>
        </row>
        <row r="7589">
          <cell r="L7589"/>
        </row>
        <row r="7590">
          <cell r="L7590"/>
        </row>
        <row r="7591">
          <cell r="L7591"/>
        </row>
        <row r="7592">
          <cell r="L7592"/>
        </row>
        <row r="7593">
          <cell r="L7593"/>
        </row>
        <row r="7594">
          <cell r="L7594"/>
        </row>
        <row r="7595">
          <cell r="L7595"/>
        </row>
        <row r="7596">
          <cell r="L7596"/>
        </row>
        <row r="7597">
          <cell r="L7597"/>
        </row>
        <row r="7598">
          <cell r="L7598"/>
        </row>
        <row r="7599">
          <cell r="L7599"/>
        </row>
        <row r="7600">
          <cell r="L7600"/>
        </row>
        <row r="7601">
          <cell r="L7601"/>
        </row>
        <row r="7602">
          <cell r="L7602"/>
        </row>
        <row r="7603">
          <cell r="L7603"/>
        </row>
        <row r="7604">
          <cell r="L7604"/>
        </row>
        <row r="7605">
          <cell r="L7605"/>
        </row>
        <row r="7606">
          <cell r="L7606"/>
        </row>
        <row r="7607">
          <cell r="L7607"/>
        </row>
        <row r="7608">
          <cell r="L7608"/>
        </row>
        <row r="7609">
          <cell r="L7609"/>
        </row>
        <row r="7610">
          <cell r="L7610"/>
        </row>
        <row r="7611">
          <cell r="L7611"/>
        </row>
        <row r="7612">
          <cell r="L7612"/>
        </row>
        <row r="7613">
          <cell r="L7613"/>
        </row>
        <row r="7614">
          <cell r="L7614"/>
        </row>
        <row r="7615">
          <cell r="L7615"/>
        </row>
        <row r="7616">
          <cell r="L7616"/>
        </row>
        <row r="7617">
          <cell r="L7617"/>
        </row>
        <row r="7618">
          <cell r="L7618"/>
        </row>
        <row r="7619">
          <cell r="L7619"/>
        </row>
        <row r="7620">
          <cell r="L7620"/>
        </row>
        <row r="7621">
          <cell r="L7621"/>
        </row>
        <row r="7622">
          <cell r="L7622"/>
        </row>
        <row r="7623">
          <cell r="L7623"/>
        </row>
        <row r="7624">
          <cell r="L7624"/>
        </row>
        <row r="7625">
          <cell r="L7625"/>
        </row>
        <row r="7626">
          <cell r="L7626"/>
        </row>
        <row r="7627">
          <cell r="L7627"/>
        </row>
        <row r="7628">
          <cell r="L7628"/>
        </row>
        <row r="7629">
          <cell r="L7629"/>
        </row>
        <row r="7630">
          <cell r="L7630"/>
        </row>
        <row r="7631">
          <cell r="L7631"/>
        </row>
        <row r="7632">
          <cell r="L7632"/>
        </row>
        <row r="7633">
          <cell r="L7633"/>
        </row>
        <row r="7634">
          <cell r="L7634"/>
        </row>
        <row r="7635">
          <cell r="L7635"/>
        </row>
        <row r="7636">
          <cell r="L7636"/>
        </row>
        <row r="7637">
          <cell r="L7637"/>
        </row>
        <row r="7638">
          <cell r="L7638"/>
        </row>
        <row r="7639">
          <cell r="L7639"/>
        </row>
        <row r="7640">
          <cell r="L7640"/>
        </row>
        <row r="7641">
          <cell r="L7641"/>
        </row>
        <row r="7642">
          <cell r="L7642"/>
        </row>
        <row r="7643">
          <cell r="L7643"/>
        </row>
        <row r="7644">
          <cell r="L7644"/>
        </row>
        <row r="7645">
          <cell r="L7645"/>
        </row>
        <row r="7646">
          <cell r="L7646"/>
        </row>
        <row r="7647">
          <cell r="L7647"/>
        </row>
        <row r="7648">
          <cell r="L7648"/>
        </row>
        <row r="7649">
          <cell r="L7649"/>
        </row>
        <row r="7650">
          <cell r="L7650"/>
        </row>
        <row r="7651">
          <cell r="L7651"/>
        </row>
        <row r="7652">
          <cell r="L7652"/>
        </row>
        <row r="7653">
          <cell r="L7653"/>
        </row>
        <row r="7654">
          <cell r="L7654"/>
        </row>
        <row r="7655">
          <cell r="L7655"/>
        </row>
        <row r="7656">
          <cell r="L7656"/>
        </row>
        <row r="7657">
          <cell r="L7657"/>
        </row>
        <row r="7658">
          <cell r="L7658"/>
        </row>
        <row r="7659">
          <cell r="L7659"/>
        </row>
        <row r="7660">
          <cell r="L7660"/>
        </row>
        <row r="7661">
          <cell r="L7661"/>
        </row>
        <row r="7662">
          <cell r="L7662"/>
        </row>
        <row r="7663">
          <cell r="L7663"/>
        </row>
        <row r="7664">
          <cell r="L7664"/>
        </row>
        <row r="7665">
          <cell r="L7665"/>
        </row>
        <row r="7666">
          <cell r="L7666"/>
        </row>
        <row r="7667">
          <cell r="L7667"/>
        </row>
        <row r="7668">
          <cell r="L7668"/>
        </row>
        <row r="7669">
          <cell r="L7669"/>
        </row>
        <row r="7670">
          <cell r="L7670"/>
        </row>
        <row r="7671">
          <cell r="L7671"/>
        </row>
        <row r="7672">
          <cell r="L7672"/>
        </row>
        <row r="7673">
          <cell r="L7673"/>
        </row>
        <row r="7674">
          <cell r="L7674"/>
        </row>
        <row r="7675">
          <cell r="L7675"/>
        </row>
        <row r="7676">
          <cell r="L7676"/>
        </row>
        <row r="7677">
          <cell r="L7677"/>
        </row>
        <row r="7678">
          <cell r="L7678"/>
        </row>
        <row r="7679">
          <cell r="L7679"/>
        </row>
        <row r="7680">
          <cell r="L7680"/>
        </row>
        <row r="7681">
          <cell r="L7681"/>
        </row>
        <row r="7682">
          <cell r="L7682"/>
        </row>
        <row r="7683">
          <cell r="L7683"/>
        </row>
        <row r="7684">
          <cell r="L7684"/>
        </row>
        <row r="7685">
          <cell r="L7685"/>
        </row>
        <row r="7686">
          <cell r="L7686"/>
        </row>
        <row r="7687">
          <cell r="L7687"/>
        </row>
        <row r="7688">
          <cell r="L7688"/>
        </row>
        <row r="7689">
          <cell r="L7689"/>
        </row>
        <row r="7690">
          <cell r="L7690"/>
        </row>
        <row r="7691">
          <cell r="L7691"/>
        </row>
        <row r="7692">
          <cell r="L7692"/>
        </row>
        <row r="7693">
          <cell r="L7693"/>
        </row>
        <row r="7694">
          <cell r="L7694"/>
        </row>
        <row r="7695">
          <cell r="L7695"/>
        </row>
        <row r="7696">
          <cell r="L7696"/>
        </row>
        <row r="7697">
          <cell r="L7697"/>
        </row>
        <row r="7698">
          <cell r="L7698"/>
        </row>
        <row r="7699">
          <cell r="L7699"/>
        </row>
        <row r="7700">
          <cell r="L7700"/>
        </row>
        <row r="7701">
          <cell r="L7701"/>
        </row>
        <row r="7702">
          <cell r="L7702"/>
        </row>
        <row r="7703">
          <cell r="L7703"/>
        </row>
        <row r="7704">
          <cell r="L7704"/>
        </row>
        <row r="7705">
          <cell r="L7705"/>
        </row>
        <row r="7706">
          <cell r="L7706"/>
        </row>
        <row r="7707">
          <cell r="L7707"/>
        </row>
        <row r="7708">
          <cell r="L7708"/>
        </row>
        <row r="7709">
          <cell r="L7709"/>
        </row>
        <row r="7710">
          <cell r="L7710"/>
        </row>
        <row r="7711">
          <cell r="L7711"/>
        </row>
        <row r="7712">
          <cell r="L7712"/>
        </row>
        <row r="7713">
          <cell r="L7713"/>
        </row>
        <row r="7714">
          <cell r="L7714"/>
        </row>
        <row r="7715">
          <cell r="L7715"/>
        </row>
        <row r="7716">
          <cell r="L7716"/>
        </row>
        <row r="7717">
          <cell r="L7717"/>
        </row>
        <row r="7718">
          <cell r="L7718"/>
        </row>
        <row r="7719">
          <cell r="L7719"/>
        </row>
        <row r="7720">
          <cell r="L7720"/>
        </row>
        <row r="7721">
          <cell r="L7721"/>
        </row>
        <row r="7722">
          <cell r="L7722"/>
        </row>
        <row r="7723">
          <cell r="L7723"/>
        </row>
        <row r="7724">
          <cell r="L7724"/>
        </row>
        <row r="7725">
          <cell r="L7725"/>
        </row>
        <row r="7726">
          <cell r="L7726"/>
        </row>
        <row r="7727">
          <cell r="L7727"/>
        </row>
        <row r="7728">
          <cell r="L7728"/>
        </row>
        <row r="7729">
          <cell r="L7729"/>
        </row>
        <row r="7730">
          <cell r="L7730"/>
        </row>
        <row r="7731">
          <cell r="L7731"/>
        </row>
        <row r="7732">
          <cell r="L7732"/>
        </row>
        <row r="7733">
          <cell r="L7733"/>
        </row>
        <row r="7734">
          <cell r="L7734"/>
        </row>
        <row r="7735">
          <cell r="L7735"/>
        </row>
        <row r="7736">
          <cell r="L7736"/>
        </row>
        <row r="7737">
          <cell r="L7737"/>
        </row>
        <row r="7738">
          <cell r="L7738"/>
        </row>
        <row r="7739">
          <cell r="L7739"/>
        </row>
        <row r="7740">
          <cell r="L7740"/>
        </row>
        <row r="7741">
          <cell r="L7741"/>
        </row>
        <row r="7742">
          <cell r="L7742"/>
        </row>
        <row r="7743">
          <cell r="L7743"/>
        </row>
        <row r="7744">
          <cell r="L7744"/>
        </row>
        <row r="7745">
          <cell r="L7745"/>
        </row>
        <row r="7746">
          <cell r="L7746"/>
        </row>
        <row r="7747">
          <cell r="L7747"/>
        </row>
        <row r="7748">
          <cell r="L7748"/>
        </row>
        <row r="7749">
          <cell r="L7749"/>
        </row>
        <row r="7750">
          <cell r="L7750"/>
        </row>
        <row r="7751">
          <cell r="L7751"/>
        </row>
        <row r="7752">
          <cell r="L7752"/>
        </row>
        <row r="7753">
          <cell r="L7753"/>
        </row>
        <row r="7754">
          <cell r="L7754"/>
        </row>
        <row r="7755">
          <cell r="L7755"/>
        </row>
        <row r="7756">
          <cell r="L7756"/>
        </row>
        <row r="7757">
          <cell r="L7757"/>
        </row>
        <row r="7758">
          <cell r="L7758"/>
        </row>
        <row r="7759">
          <cell r="L7759"/>
        </row>
        <row r="7760">
          <cell r="L7760"/>
        </row>
        <row r="7761">
          <cell r="L7761"/>
        </row>
        <row r="7762">
          <cell r="L7762"/>
        </row>
        <row r="7763">
          <cell r="L7763"/>
        </row>
        <row r="7764">
          <cell r="L7764"/>
        </row>
        <row r="7765">
          <cell r="L7765"/>
        </row>
        <row r="7766">
          <cell r="L7766"/>
        </row>
        <row r="7767">
          <cell r="L7767"/>
        </row>
        <row r="7768">
          <cell r="L7768"/>
        </row>
        <row r="7769">
          <cell r="L7769"/>
        </row>
        <row r="7770">
          <cell r="L7770"/>
        </row>
        <row r="7771">
          <cell r="L7771"/>
        </row>
        <row r="7772">
          <cell r="L7772"/>
        </row>
        <row r="7773">
          <cell r="L7773"/>
        </row>
        <row r="7774">
          <cell r="L7774"/>
        </row>
        <row r="7775">
          <cell r="L7775"/>
        </row>
        <row r="7776">
          <cell r="L7776"/>
        </row>
        <row r="7777">
          <cell r="L7777"/>
        </row>
        <row r="7778">
          <cell r="L7778"/>
        </row>
        <row r="7779">
          <cell r="L7779"/>
        </row>
        <row r="7780">
          <cell r="L7780"/>
        </row>
        <row r="7781">
          <cell r="L7781"/>
        </row>
        <row r="7782">
          <cell r="L7782"/>
        </row>
        <row r="7783">
          <cell r="L7783"/>
        </row>
        <row r="7784">
          <cell r="L7784"/>
        </row>
        <row r="7785">
          <cell r="L7785"/>
        </row>
        <row r="7786">
          <cell r="L7786"/>
        </row>
        <row r="7787">
          <cell r="L7787"/>
        </row>
        <row r="7788">
          <cell r="L7788"/>
        </row>
        <row r="7789">
          <cell r="L7789"/>
        </row>
        <row r="7790">
          <cell r="L7790"/>
        </row>
        <row r="7791">
          <cell r="L7791"/>
        </row>
        <row r="7792">
          <cell r="L7792"/>
        </row>
        <row r="7793">
          <cell r="L7793"/>
        </row>
        <row r="7794">
          <cell r="L7794"/>
        </row>
        <row r="7795">
          <cell r="L7795"/>
        </row>
        <row r="7796">
          <cell r="L7796"/>
        </row>
        <row r="7797">
          <cell r="L7797"/>
        </row>
        <row r="7798">
          <cell r="L7798"/>
        </row>
        <row r="7799">
          <cell r="L7799"/>
        </row>
        <row r="7800">
          <cell r="L7800"/>
        </row>
        <row r="7801">
          <cell r="L7801"/>
        </row>
        <row r="7802">
          <cell r="L7802"/>
        </row>
        <row r="7803">
          <cell r="L7803"/>
        </row>
        <row r="7804">
          <cell r="L7804"/>
        </row>
        <row r="7805">
          <cell r="L7805"/>
        </row>
        <row r="7806">
          <cell r="L7806"/>
        </row>
        <row r="7807">
          <cell r="L7807"/>
        </row>
        <row r="7808">
          <cell r="L7808"/>
        </row>
        <row r="7809">
          <cell r="L7809"/>
        </row>
        <row r="7810">
          <cell r="L7810"/>
        </row>
        <row r="7811">
          <cell r="L7811"/>
        </row>
        <row r="7812">
          <cell r="L7812"/>
        </row>
        <row r="7813">
          <cell r="L7813"/>
        </row>
        <row r="7814">
          <cell r="L7814"/>
        </row>
        <row r="7815">
          <cell r="L7815"/>
        </row>
        <row r="7816">
          <cell r="L7816"/>
        </row>
        <row r="7817">
          <cell r="L7817"/>
        </row>
        <row r="7818">
          <cell r="L7818"/>
        </row>
        <row r="7819">
          <cell r="L7819"/>
        </row>
        <row r="7820">
          <cell r="L7820"/>
        </row>
        <row r="7821">
          <cell r="L7821"/>
        </row>
        <row r="7822">
          <cell r="L7822"/>
        </row>
        <row r="7823">
          <cell r="L7823"/>
        </row>
        <row r="7824">
          <cell r="L7824"/>
        </row>
        <row r="7825">
          <cell r="L7825"/>
        </row>
        <row r="7826">
          <cell r="L7826"/>
        </row>
        <row r="7827">
          <cell r="L7827"/>
        </row>
        <row r="7828">
          <cell r="L7828"/>
        </row>
        <row r="7829">
          <cell r="L7829"/>
        </row>
        <row r="7830">
          <cell r="L7830"/>
        </row>
        <row r="7831">
          <cell r="L7831"/>
        </row>
        <row r="7832">
          <cell r="L7832"/>
        </row>
        <row r="7833">
          <cell r="L7833"/>
        </row>
        <row r="7834">
          <cell r="L7834"/>
        </row>
        <row r="7835">
          <cell r="L7835"/>
        </row>
        <row r="7836">
          <cell r="L7836"/>
        </row>
        <row r="7837">
          <cell r="L7837"/>
        </row>
        <row r="7838">
          <cell r="L7838"/>
        </row>
        <row r="7839">
          <cell r="L7839"/>
        </row>
        <row r="7840">
          <cell r="L7840"/>
        </row>
        <row r="7841">
          <cell r="L7841"/>
        </row>
        <row r="7842">
          <cell r="L7842"/>
        </row>
        <row r="7843">
          <cell r="L7843"/>
        </row>
        <row r="7844">
          <cell r="L7844"/>
        </row>
        <row r="7845">
          <cell r="L7845"/>
        </row>
        <row r="7846">
          <cell r="L7846"/>
        </row>
        <row r="7847">
          <cell r="L7847"/>
        </row>
        <row r="7848">
          <cell r="L7848"/>
        </row>
        <row r="7849">
          <cell r="L7849"/>
        </row>
        <row r="7850">
          <cell r="L7850"/>
        </row>
        <row r="7851">
          <cell r="L7851"/>
        </row>
        <row r="7852">
          <cell r="L7852"/>
        </row>
        <row r="7853">
          <cell r="L7853"/>
        </row>
        <row r="7854">
          <cell r="L7854"/>
        </row>
        <row r="7855">
          <cell r="L7855"/>
        </row>
        <row r="7856">
          <cell r="L7856"/>
        </row>
        <row r="7857">
          <cell r="L7857"/>
        </row>
        <row r="7858">
          <cell r="L7858"/>
        </row>
        <row r="7859">
          <cell r="L7859"/>
        </row>
        <row r="7860">
          <cell r="L7860"/>
        </row>
        <row r="7861">
          <cell r="L7861"/>
        </row>
        <row r="7862">
          <cell r="L7862"/>
        </row>
        <row r="7863">
          <cell r="L7863"/>
        </row>
        <row r="7864">
          <cell r="L7864"/>
        </row>
        <row r="7865">
          <cell r="L7865"/>
        </row>
        <row r="7866">
          <cell r="L7866"/>
        </row>
        <row r="7867">
          <cell r="L7867"/>
        </row>
        <row r="7868">
          <cell r="L7868"/>
        </row>
        <row r="7869">
          <cell r="L7869"/>
        </row>
        <row r="7870">
          <cell r="L7870"/>
        </row>
        <row r="7871">
          <cell r="L7871"/>
        </row>
        <row r="7872">
          <cell r="L7872"/>
        </row>
        <row r="7873">
          <cell r="L7873"/>
        </row>
        <row r="7874">
          <cell r="L7874"/>
        </row>
        <row r="7875">
          <cell r="L7875"/>
        </row>
        <row r="7876">
          <cell r="L7876"/>
        </row>
        <row r="7877">
          <cell r="L7877"/>
        </row>
        <row r="7878">
          <cell r="L7878"/>
        </row>
        <row r="7879">
          <cell r="L7879"/>
        </row>
        <row r="7880">
          <cell r="L7880"/>
        </row>
        <row r="7881">
          <cell r="L7881"/>
        </row>
        <row r="7882">
          <cell r="L7882"/>
        </row>
        <row r="7883">
          <cell r="L7883"/>
        </row>
        <row r="7884">
          <cell r="L7884"/>
        </row>
        <row r="7885">
          <cell r="L7885"/>
        </row>
        <row r="7886">
          <cell r="L7886"/>
        </row>
        <row r="7887">
          <cell r="L7887"/>
        </row>
        <row r="7888">
          <cell r="L7888"/>
        </row>
        <row r="7889">
          <cell r="L7889"/>
        </row>
        <row r="7890">
          <cell r="L7890"/>
        </row>
        <row r="7891">
          <cell r="L7891"/>
        </row>
        <row r="7892">
          <cell r="L7892"/>
        </row>
        <row r="7893">
          <cell r="L7893"/>
        </row>
        <row r="7894">
          <cell r="L7894"/>
        </row>
        <row r="7895">
          <cell r="L7895"/>
        </row>
        <row r="7896">
          <cell r="L7896"/>
        </row>
        <row r="7897">
          <cell r="L7897"/>
        </row>
        <row r="7898">
          <cell r="L7898"/>
        </row>
        <row r="7899">
          <cell r="L7899"/>
        </row>
        <row r="7900">
          <cell r="L7900"/>
        </row>
        <row r="7901">
          <cell r="L7901"/>
        </row>
        <row r="7902">
          <cell r="L7902"/>
        </row>
        <row r="7903">
          <cell r="L7903"/>
        </row>
        <row r="7904">
          <cell r="L7904"/>
        </row>
        <row r="7905">
          <cell r="L7905"/>
        </row>
        <row r="7906">
          <cell r="L7906"/>
        </row>
        <row r="7907">
          <cell r="L7907"/>
        </row>
        <row r="7908">
          <cell r="L7908"/>
        </row>
        <row r="7909">
          <cell r="L7909"/>
        </row>
        <row r="7910">
          <cell r="L7910"/>
        </row>
        <row r="7911">
          <cell r="L7911"/>
        </row>
        <row r="7912">
          <cell r="L7912"/>
        </row>
        <row r="7913">
          <cell r="L7913"/>
        </row>
        <row r="7914">
          <cell r="L7914"/>
        </row>
        <row r="7915">
          <cell r="L7915"/>
        </row>
        <row r="7916">
          <cell r="L7916"/>
        </row>
        <row r="7917">
          <cell r="L7917"/>
        </row>
        <row r="7918">
          <cell r="L7918"/>
        </row>
        <row r="7919">
          <cell r="L7919"/>
        </row>
        <row r="7920">
          <cell r="L7920"/>
        </row>
        <row r="7921">
          <cell r="L7921"/>
        </row>
        <row r="7922">
          <cell r="L7922"/>
        </row>
        <row r="7923">
          <cell r="L7923"/>
        </row>
        <row r="7924">
          <cell r="L7924"/>
        </row>
        <row r="7925">
          <cell r="L7925"/>
        </row>
        <row r="7926">
          <cell r="L7926"/>
        </row>
        <row r="7927">
          <cell r="L7927"/>
        </row>
        <row r="7928">
          <cell r="L7928"/>
        </row>
        <row r="7929">
          <cell r="L7929"/>
        </row>
        <row r="7930">
          <cell r="L7930"/>
        </row>
        <row r="7931">
          <cell r="L7931"/>
        </row>
        <row r="7932">
          <cell r="L7932"/>
        </row>
        <row r="7933">
          <cell r="L7933"/>
        </row>
        <row r="7934">
          <cell r="L7934"/>
        </row>
        <row r="7935">
          <cell r="L7935"/>
        </row>
        <row r="7936">
          <cell r="L7936"/>
        </row>
        <row r="7937">
          <cell r="L7937"/>
        </row>
        <row r="7938">
          <cell r="L7938"/>
        </row>
        <row r="7939">
          <cell r="L7939"/>
        </row>
        <row r="7940">
          <cell r="L7940"/>
        </row>
        <row r="7941">
          <cell r="L7941"/>
        </row>
        <row r="7942">
          <cell r="L7942"/>
        </row>
        <row r="7943">
          <cell r="L7943"/>
        </row>
        <row r="7944">
          <cell r="L7944"/>
        </row>
        <row r="7945">
          <cell r="L7945"/>
        </row>
        <row r="7946">
          <cell r="L7946"/>
        </row>
        <row r="7947">
          <cell r="L7947"/>
        </row>
        <row r="7948">
          <cell r="L7948"/>
        </row>
        <row r="7949">
          <cell r="L7949"/>
        </row>
        <row r="7950">
          <cell r="L7950"/>
        </row>
        <row r="7951">
          <cell r="L7951"/>
        </row>
        <row r="7952">
          <cell r="L7952"/>
        </row>
        <row r="7953">
          <cell r="L7953"/>
        </row>
        <row r="7954">
          <cell r="L7954"/>
        </row>
        <row r="7955">
          <cell r="L7955"/>
        </row>
        <row r="7956">
          <cell r="L7956"/>
        </row>
        <row r="7957">
          <cell r="L7957"/>
        </row>
        <row r="7958">
          <cell r="L7958"/>
        </row>
        <row r="7959">
          <cell r="L7959"/>
        </row>
        <row r="7960">
          <cell r="L7960"/>
        </row>
        <row r="7961">
          <cell r="L7961"/>
        </row>
        <row r="7962">
          <cell r="L7962"/>
        </row>
        <row r="7963">
          <cell r="L7963"/>
        </row>
        <row r="7964">
          <cell r="L7964"/>
        </row>
        <row r="7965">
          <cell r="L7965"/>
        </row>
        <row r="7966">
          <cell r="L7966"/>
        </row>
        <row r="7967">
          <cell r="L7967"/>
        </row>
        <row r="7968">
          <cell r="L7968"/>
        </row>
        <row r="7969">
          <cell r="L7969"/>
        </row>
        <row r="7970">
          <cell r="L7970"/>
        </row>
        <row r="7971">
          <cell r="L7971"/>
        </row>
        <row r="7972">
          <cell r="L7972"/>
        </row>
        <row r="7973">
          <cell r="L7973"/>
        </row>
        <row r="7974">
          <cell r="L7974"/>
        </row>
        <row r="7975">
          <cell r="L7975"/>
        </row>
        <row r="7976">
          <cell r="L7976"/>
        </row>
        <row r="7977">
          <cell r="L7977"/>
        </row>
        <row r="7978">
          <cell r="L7978"/>
        </row>
        <row r="7979">
          <cell r="L7979"/>
        </row>
        <row r="7980">
          <cell r="L7980"/>
        </row>
        <row r="7981">
          <cell r="L7981"/>
        </row>
        <row r="7982">
          <cell r="L7982"/>
        </row>
        <row r="7983">
          <cell r="L7983"/>
        </row>
        <row r="7984">
          <cell r="L7984"/>
        </row>
        <row r="7985">
          <cell r="L7985"/>
        </row>
        <row r="7986">
          <cell r="L7986"/>
        </row>
        <row r="7987">
          <cell r="L7987"/>
        </row>
        <row r="7988">
          <cell r="L7988"/>
        </row>
        <row r="7989">
          <cell r="L7989"/>
        </row>
        <row r="7990">
          <cell r="L7990"/>
        </row>
        <row r="7991">
          <cell r="L7991"/>
        </row>
        <row r="7992">
          <cell r="L7992"/>
        </row>
        <row r="7993">
          <cell r="L7993"/>
        </row>
        <row r="7994">
          <cell r="L7994"/>
        </row>
        <row r="7995">
          <cell r="L7995"/>
        </row>
        <row r="7996">
          <cell r="L7996"/>
        </row>
        <row r="7997">
          <cell r="L7997"/>
        </row>
        <row r="7998">
          <cell r="L7998"/>
        </row>
        <row r="7999">
          <cell r="L7999"/>
        </row>
        <row r="8000">
          <cell r="L8000"/>
        </row>
        <row r="8001">
          <cell r="L8001"/>
        </row>
        <row r="8002">
          <cell r="L8002"/>
        </row>
        <row r="8003">
          <cell r="L8003"/>
        </row>
        <row r="8004">
          <cell r="L8004"/>
        </row>
        <row r="8005">
          <cell r="L8005"/>
        </row>
        <row r="8006">
          <cell r="L8006"/>
        </row>
        <row r="8007">
          <cell r="L8007"/>
        </row>
        <row r="8008">
          <cell r="L8008"/>
        </row>
        <row r="8009">
          <cell r="L8009"/>
        </row>
        <row r="8010">
          <cell r="L8010"/>
        </row>
        <row r="8011">
          <cell r="L8011"/>
        </row>
        <row r="8012">
          <cell r="L8012"/>
        </row>
        <row r="8013">
          <cell r="L8013"/>
        </row>
        <row r="8014">
          <cell r="L8014"/>
        </row>
        <row r="8015">
          <cell r="L8015"/>
        </row>
        <row r="8016">
          <cell r="L8016"/>
        </row>
        <row r="8017">
          <cell r="L8017"/>
        </row>
        <row r="8018">
          <cell r="L8018"/>
        </row>
        <row r="8019">
          <cell r="L8019"/>
        </row>
        <row r="8020">
          <cell r="L8020"/>
        </row>
        <row r="8021">
          <cell r="L8021"/>
        </row>
        <row r="8022">
          <cell r="L8022"/>
        </row>
        <row r="8023">
          <cell r="L8023"/>
        </row>
        <row r="8024">
          <cell r="L8024"/>
        </row>
        <row r="8025">
          <cell r="L8025"/>
        </row>
        <row r="8026">
          <cell r="L8026"/>
        </row>
        <row r="8027">
          <cell r="L8027"/>
        </row>
        <row r="8028">
          <cell r="L8028"/>
        </row>
        <row r="8029">
          <cell r="L8029"/>
        </row>
        <row r="8030">
          <cell r="L8030"/>
        </row>
        <row r="8031">
          <cell r="L8031"/>
        </row>
        <row r="8032">
          <cell r="L8032"/>
        </row>
        <row r="8033">
          <cell r="L8033"/>
        </row>
        <row r="8034">
          <cell r="L8034"/>
        </row>
        <row r="8035">
          <cell r="L8035"/>
        </row>
        <row r="8036">
          <cell r="L8036"/>
        </row>
        <row r="8037">
          <cell r="L8037"/>
        </row>
        <row r="8038">
          <cell r="L8038"/>
        </row>
        <row r="8039">
          <cell r="L8039"/>
        </row>
        <row r="8040">
          <cell r="L8040"/>
        </row>
        <row r="8041">
          <cell r="L8041"/>
        </row>
        <row r="8042">
          <cell r="L8042"/>
        </row>
        <row r="8043">
          <cell r="L8043"/>
        </row>
        <row r="8044">
          <cell r="L8044"/>
        </row>
        <row r="8045">
          <cell r="L8045"/>
        </row>
        <row r="8046">
          <cell r="L8046"/>
        </row>
        <row r="8047">
          <cell r="L8047"/>
        </row>
        <row r="8048">
          <cell r="L8048"/>
        </row>
        <row r="8049">
          <cell r="L8049"/>
        </row>
        <row r="8050">
          <cell r="L8050"/>
        </row>
        <row r="8051">
          <cell r="L8051"/>
        </row>
        <row r="8052">
          <cell r="L8052"/>
        </row>
        <row r="8053">
          <cell r="L8053"/>
        </row>
        <row r="8054">
          <cell r="L8054"/>
        </row>
        <row r="8055">
          <cell r="L8055"/>
        </row>
        <row r="8056">
          <cell r="L8056"/>
        </row>
        <row r="8057">
          <cell r="L8057"/>
        </row>
        <row r="8058">
          <cell r="L8058"/>
        </row>
        <row r="8059">
          <cell r="L8059"/>
        </row>
        <row r="8060">
          <cell r="L8060"/>
        </row>
        <row r="8061">
          <cell r="L8061"/>
        </row>
        <row r="8062">
          <cell r="L8062"/>
        </row>
        <row r="8063">
          <cell r="L8063"/>
        </row>
        <row r="8064">
          <cell r="L8064"/>
        </row>
        <row r="8065">
          <cell r="L8065"/>
        </row>
        <row r="8066">
          <cell r="L8066"/>
        </row>
        <row r="8067">
          <cell r="L8067"/>
        </row>
        <row r="8068">
          <cell r="L8068"/>
        </row>
        <row r="8069">
          <cell r="L8069"/>
        </row>
        <row r="8070">
          <cell r="L8070"/>
        </row>
        <row r="8071">
          <cell r="L8071"/>
        </row>
        <row r="8072">
          <cell r="L8072"/>
        </row>
        <row r="8073">
          <cell r="L8073"/>
        </row>
        <row r="8074">
          <cell r="L8074"/>
        </row>
        <row r="8075">
          <cell r="L8075"/>
        </row>
        <row r="8076">
          <cell r="L8076"/>
        </row>
        <row r="8077">
          <cell r="L8077"/>
        </row>
        <row r="8078">
          <cell r="L8078"/>
        </row>
        <row r="8079">
          <cell r="L8079"/>
        </row>
        <row r="8080">
          <cell r="L8080"/>
        </row>
        <row r="8081">
          <cell r="L8081"/>
        </row>
        <row r="8082">
          <cell r="L8082"/>
        </row>
        <row r="8083">
          <cell r="L8083"/>
        </row>
        <row r="8084">
          <cell r="L8084"/>
        </row>
        <row r="8085">
          <cell r="L8085"/>
        </row>
        <row r="8086">
          <cell r="L8086"/>
        </row>
        <row r="8087">
          <cell r="L8087"/>
        </row>
        <row r="8088">
          <cell r="L8088"/>
        </row>
        <row r="8089">
          <cell r="L8089"/>
        </row>
        <row r="8090">
          <cell r="L8090"/>
        </row>
        <row r="8091">
          <cell r="L8091"/>
        </row>
        <row r="8092">
          <cell r="L8092"/>
        </row>
        <row r="8093">
          <cell r="L8093"/>
        </row>
        <row r="8094">
          <cell r="L8094"/>
        </row>
        <row r="8095">
          <cell r="L8095"/>
        </row>
        <row r="8096">
          <cell r="L8096"/>
        </row>
        <row r="8097">
          <cell r="L8097"/>
        </row>
        <row r="8098">
          <cell r="L8098"/>
        </row>
        <row r="8099">
          <cell r="L8099"/>
        </row>
        <row r="8100">
          <cell r="L8100"/>
        </row>
        <row r="8101">
          <cell r="L8101"/>
        </row>
        <row r="8102">
          <cell r="L8102"/>
        </row>
        <row r="8103">
          <cell r="L8103"/>
        </row>
        <row r="8104">
          <cell r="L8104"/>
        </row>
        <row r="8105">
          <cell r="L8105"/>
        </row>
        <row r="8106">
          <cell r="L8106"/>
        </row>
        <row r="8107">
          <cell r="L8107"/>
        </row>
        <row r="8108">
          <cell r="L8108"/>
        </row>
        <row r="8109">
          <cell r="L8109"/>
        </row>
        <row r="8110">
          <cell r="L8110"/>
        </row>
        <row r="8111">
          <cell r="L8111"/>
        </row>
        <row r="8112">
          <cell r="L8112"/>
        </row>
        <row r="8113">
          <cell r="L8113"/>
        </row>
        <row r="8114">
          <cell r="L8114"/>
        </row>
        <row r="8115">
          <cell r="L8115"/>
        </row>
        <row r="8116">
          <cell r="L8116"/>
        </row>
        <row r="8117">
          <cell r="L8117"/>
        </row>
        <row r="8118">
          <cell r="L8118"/>
        </row>
        <row r="8119">
          <cell r="L8119"/>
        </row>
        <row r="8120">
          <cell r="L8120"/>
        </row>
        <row r="8121">
          <cell r="L8121"/>
        </row>
        <row r="8122">
          <cell r="L8122"/>
        </row>
        <row r="8123">
          <cell r="L8123"/>
        </row>
        <row r="8124">
          <cell r="L8124"/>
        </row>
        <row r="8125">
          <cell r="L8125"/>
        </row>
        <row r="8126">
          <cell r="L8126"/>
        </row>
        <row r="8127">
          <cell r="L8127"/>
        </row>
        <row r="8128">
          <cell r="L8128"/>
        </row>
        <row r="8129">
          <cell r="L8129"/>
        </row>
        <row r="8130">
          <cell r="L8130"/>
        </row>
        <row r="8131">
          <cell r="L8131"/>
        </row>
        <row r="8132">
          <cell r="L8132"/>
        </row>
        <row r="8133">
          <cell r="L8133"/>
        </row>
        <row r="8134">
          <cell r="L8134"/>
        </row>
        <row r="8135">
          <cell r="L8135"/>
        </row>
        <row r="8136">
          <cell r="L8136"/>
        </row>
        <row r="8137">
          <cell r="L8137"/>
        </row>
        <row r="8138">
          <cell r="L8138"/>
        </row>
        <row r="8139">
          <cell r="L8139"/>
        </row>
        <row r="8140">
          <cell r="L8140"/>
        </row>
        <row r="8141">
          <cell r="L8141"/>
        </row>
        <row r="8142">
          <cell r="L8142"/>
        </row>
        <row r="8143">
          <cell r="L8143"/>
        </row>
        <row r="8144">
          <cell r="L8144"/>
        </row>
        <row r="8145">
          <cell r="L8145"/>
        </row>
        <row r="8146">
          <cell r="L8146"/>
        </row>
        <row r="8147">
          <cell r="L8147"/>
        </row>
        <row r="8148">
          <cell r="L8148"/>
        </row>
        <row r="8149">
          <cell r="L8149"/>
        </row>
        <row r="8150">
          <cell r="L8150"/>
        </row>
        <row r="8151">
          <cell r="L8151"/>
        </row>
        <row r="8152">
          <cell r="L8152"/>
        </row>
        <row r="8153">
          <cell r="L8153"/>
        </row>
        <row r="8154">
          <cell r="L8154"/>
        </row>
        <row r="8155">
          <cell r="L8155"/>
        </row>
        <row r="8156">
          <cell r="L8156"/>
        </row>
        <row r="8157">
          <cell r="L8157"/>
        </row>
        <row r="8158">
          <cell r="L8158"/>
        </row>
        <row r="8159">
          <cell r="L8159"/>
        </row>
        <row r="8160">
          <cell r="L8160"/>
        </row>
        <row r="8161">
          <cell r="L8161"/>
        </row>
        <row r="8162">
          <cell r="L8162"/>
        </row>
        <row r="8163">
          <cell r="L8163"/>
        </row>
        <row r="8164">
          <cell r="L8164"/>
        </row>
        <row r="8165">
          <cell r="L8165"/>
        </row>
        <row r="8166">
          <cell r="L8166"/>
        </row>
        <row r="8167">
          <cell r="L8167"/>
        </row>
        <row r="8168">
          <cell r="L8168"/>
        </row>
        <row r="8169">
          <cell r="L8169"/>
        </row>
        <row r="8170">
          <cell r="L8170"/>
        </row>
        <row r="8171">
          <cell r="L8171"/>
        </row>
        <row r="8172">
          <cell r="L8172"/>
        </row>
        <row r="8173">
          <cell r="L8173"/>
        </row>
        <row r="8174">
          <cell r="L8174"/>
        </row>
        <row r="8175">
          <cell r="L8175"/>
        </row>
        <row r="8176">
          <cell r="L8176"/>
        </row>
        <row r="8177">
          <cell r="L8177"/>
        </row>
        <row r="8178">
          <cell r="L8178"/>
        </row>
        <row r="8179">
          <cell r="L8179"/>
        </row>
        <row r="8180">
          <cell r="L8180"/>
        </row>
        <row r="8181">
          <cell r="L8181"/>
        </row>
        <row r="8182">
          <cell r="L8182"/>
        </row>
        <row r="8183">
          <cell r="L8183"/>
        </row>
        <row r="8184">
          <cell r="L8184"/>
        </row>
        <row r="8185">
          <cell r="L8185"/>
        </row>
        <row r="8186">
          <cell r="L8186"/>
        </row>
        <row r="8187">
          <cell r="L8187"/>
        </row>
        <row r="8188">
          <cell r="L8188"/>
        </row>
        <row r="8189">
          <cell r="L8189"/>
        </row>
        <row r="8190">
          <cell r="L8190"/>
        </row>
        <row r="8191">
          <cell r="L8191"/>
        </row>
        <row r="8192">
          <cell r="L8192"/>
        </row>
        <row r="8193">
          <cell r="L8193"/>
        </row>
        <row r="8194">
          <cell r="L8194"/>
        </row>
        <row r="8195">
          <cell r="L8195"/>
        </row>
        <row r="8196">
          <cell r="L8196"/>
        </row>
        <row r="8197">
          <cell r="L8197"/>
        </row>
        <row r="8198">
          <cell r="L8198"/>
        </row>
        <row r="8199">
          <cell r="L8199"/>
        </row>
        <row r="8200">
          <cell r="L8200"/>
        </row>
        <row r="8201">
          <cell r="L8201"/>
        </row>
        <row r="8202">
          <cell r="L8202"/>
        </row>
        <row r="8203">
          <cell r="L8203"/>
        </row>
        <row r="8204">
          <cell r="L8204"/>
        </row>
        <row r="8205">
          <cell r="L8205"/>
        </row>
        <row r="8206">
          <cell r="L8206"/>
        </row>
        <row r="8207">
          <cell r="L8207"/>
        </row>
        <row r="8208">
          <cell r="L8208"/>
        </row>
        <row r="8209">
          <cell r="L8209"/>
        </row>
        <row r="8210">
          <cell r="L8210"/>
        </row>
        <row r="8211">
          <cell r="L8211"/>
        </row>
        <row r="8212">
          <cell r="L8212"/>
        </row>
        <row r="8213">
          <cell r="L8213"/>
        </row>
        <row r="8214">
          <cell r="L8214"/>
        </row>
        <row r="8215">
          <cell r="L8215"/>
        </row>
        <row r="8216">
          <cell r="L8216"/>
        </row>
        <row r="8217">
          <cell r="L8217"/>
        </row>
        <row r="8218">
          <cell r="L8218"/>
        </row>
        <row r="8219">
          <cell r="L8219"/>
        </row>
        <row r="8220">
          <cell r="L8220"/>
        </row>
        <row r="8221">
          <cell r="L8221"/>
        </row>
        <row r="8222">
          <cell r="L8222"/>
        </row>
        <row r="8223">
          <cell r="L8223"/>
        </row>
        <row r="8224">
          <cell r="L8224"/>
        </row>
        <row r="8225">
          <cell r="L8225"/>
        </row>
        <row r="8226">
          <cell r="L8226"/>
        </row>
        <row r="8227">
          <cell r="L8227"/>
        </row>
        <row r="8228">
          <cell r="L8228"/>
        </row>
        <row r="8229">
          <cell r="L8229"/>
        </row>
        <row r="8230">
          <cell r="L8230"/>
        </row>
        <row r="8231">
          <cell r="L8231"/>
        </row>
        <row r="8232">
          <cell r="L8232"/>
        </row>
        <row r="8233">
          <cell r="L8233"/>
        </row>
        <row r="8234">
          <cell r="L8234"/>
        </row>
        <row r="8235">
          <cell r="L8235"/>
        </row>
        <row r="8236">
          <cell r="L8236"/>
        </row>
        <row r="8237">
          <cell r="L8237"/>
        </row>
        <row r="8238">
          <cell r="L8238"/>
        </row>
        <row r="8239">
          <cell r="L8239"/>
        </row>
        <row r="8240">
          <cell r="L8240"/>
        </row>
        <row r="8241">
          <cell r="L8241"/>
        </row>
        <row r="8242">
          <cell r="L8242"/>
        </row>
        <row r="8243">
          <cell r="L8243"/>
        </row>
        <row r="8244">
          <cell r="L8244"/>
        </row>
        <row r="8245">
          <cell r="L8245"/>
        </row>
        <row r="8246">
          <cell r="L8246"/>
        </row>
        <row r="8247">
          <cell r="L8247"/>
        </row>
        <row r="8248">
          <cell r="L8248"/>
        </row>
        <row r="8249">
          <cell r="L8249"/>
        </row>
        <row r="8250">
          <cell r="L8250"/>
        </row>
        <row r="8251">
          <cell r="L8251"/>
        </row>
        <row r="8252">
          <cell r="L8252"/>
        </row>
        <row r="8253">
          <cell r="L8253"/>
        </row>
        <row r="8254">
          <cell r="L8254"/>
        </row>
        <row r="8255">
          <cell r="L8255"/>
        </row>
        <row r="8256">
          <cell r="L8256"/>
        </row>
        <row r="8257">
          <cell r="L8257"/>
        </row>
        <row r="8258">
          <cell r="L8258"/>
        </row>
        <row r="8259">
          <cell r="L8259"/>
        </row>
        <row r="8260">
          <cell r="L8260"/>
        </row>
        <row r="8261">
          <cell r="L8261"/>
        </row>
        <row r="8262">
          <cell r="L8262"/>
        </row>
        <row r="8263">
          <cell r="L8263"/>
        </row>
        <row r="8264">
          <cell r="L8264"/>
        </row>
        <row r="8265">
          <cell r="L8265"/>
        </row>
        <row r="8266">
          <cell r="L8266"/>
        </row>
        <row r="8267">
          <cell r="L8267"/>
        </row>
        <row r="8268">
          <cell r="L8268"/>
        </row>
        <row r="8269">
          <cell r="L8269"/>
        </row>
        <row r="8270">
          <cell r="L8270"/>
        </row>
        <row r="8271">
          <cell r="L8271"/>
        </row>
        <row r="8272">
          <cell r="L8272"/>
        </row>
        <row r="8273">
          <cell r="L8273"/>
        </row>
        <row r="8274">
          <cell r="L8274"/>
        </row>
        <row r="8275">
          <cell r="L8275"/>
        </row>
        <row r="8276">
          <cell r="L8276"/>
        </row>
        <row r="8277">
          <cell r="L8277"/>
        </row>
        <row r="8278">
          <cell r="L8278"/>
        </row>
        <row r="8279">
          <cell r="L8279"/>
        </row>
        <row r="8280">
          <cell r="L8280"/>
        </row>
        <row r="8281">
          <cell r="L8281"/>
        </row>
        <row r="8282">
          <cell r="L8282"/>
        </row>
        <row r="8283">
          <cell r="L8283"/>
        </row>
        <row r="8284">
          <cell r="L8284"/>
        </row>
        <row r="8285">
          <cell r="L8285"/>
        </row>
        <row r="8286">
          <cell r="L8286"/>
        </row>
        <row r="8287">
          <cell r="L8287"/>
        </row>
        <row r="8288">
          <cell r="L8288"/>
        </row>
        <row r="8289">
          <cell r="L8289"/>
        </row>
        <row r="8290">
          <cell r="L8290"/>
        </row>
        <row r="8291">
          <cell r="L8291"/>
        </row>
        <row r="8292">
          <cell r="L8292"/>
        </row>
        <row r="8293">
          <cell r="L8293"/>
        </row>
        <row r="8294">
          <cell r="L8294"/>
        </row>
        <row r="8295">
          <cell r="L8295"/>
        </row>
        <row r="8296">
          <cell r="L8296"/>
        </row>
        <row r="8297">
          <cell r="L8297"/>
        </row>
        <row r="8298">
          <cell r="L8298"/>
        </row>
        <row r="8299">
          <cell r="L8299"/>
        </row>
        <row r="8300">
          <cell r="L8300"/>
        </row>
        <row r="8301">
          <cell r="L8301"/>
        </row>
        <row r="8302">
          <cell r="L8302"/>
        </row>
        <row r="8303">
          <cell r="L8303"/>
        </row>
        <row r="8304">
          <cell r="L8304"/>
        </row>
        <row r="8305">
          <cell r="L8305"/>
        </row>
        <row r="8306">
          <cell r="L8306"/>
        </row>
        <row r="8307">
          <cell r="L8307"/>
        </row>
        <row r="8308">
          <cell r="L8308"/>
        </row>
        <row r="8309">
          <cell r="L8309"/>
        </row>
        <row r="8310">
          <cell r="L8310"/>
        </row>
        <row r="8311">
          <cell r="L8311"/>
        </row>
        <row r="8312">
          <cell r="L8312"/>
        </row>
        <row r="8313">
          <cell r="L8313"/>
        </row>
        <row r="8314">
          <cell r="L8314"/>
        </row>
        <row r="8315">
          <cell r="L8315"/>
        </row>
        <row r="8316">
          <cell r="L8316"/>
        </row>
        <row r="8317">
          <cell r="L8317"/>
        </row>
        <row r="8318">
          <cell r="L8318"/>
        </row>
        <row r="8319">
          <cell r="L8319"/>
        </row>
        <row r="8320">
          <cell r="L8320"/>
        </row>
        <row r="8321">
          <cell r="L8321"/>
        </row>
        <row r="8322">
          <cell r="L8322"/>
        </row>
        <row r="8323">
          <cell r="L8323"/>
        </row>
        <row r="8324">
          <cell r="L8324"/>
        </row>
        <row r="8325">
          <cell r="L8325"/>
        </row>
        <row r="8326">
          <cell r="L8326"/>
        </row>
        <row r="8327">
          <cell r="L8327"/>
        </row>
        <row r="8328">
          <cell r="L8328"/>
        </row>
        <row r="8329">
          <cell r="L8329"/>
        </row>
        <row r="8330">
          <cell r="L8330"/>
        </row>
        <row r="8331">
          <cell r="L8331"/>
        </row>
        <row r="8332">
          <cell r="L8332"/>
        </row>
        <row r="8333">
          <cell r="L8333"/>
        </row>
        <row r="8334">
          <cell r="L8334"/>
        </row>
        <row r="8335">
          <cell r="L8335"/>
        </row>
        <row r="8336">
          <cell r="L8336"/>
        </row>
        <row r="8337">
          <cell r="L8337"/>
        </row>
        <row r="8338">
          <cell r="L8338"/>
        </row>
        <row r="8339">
          <cell r="L8339"/>
        </row>
        <row r="8340">
          <cell r="L8340"/>
        </row>
        <row r="8341">
          <cell r="L8341"/>
        </row>
        <row r="8342">
          <cell r="L8342"/>
        </row>
        <row r="8343">
          <cell r="L8343"/>
        </row>
        <row r="8344">
          <cell r="L8344"/>
        </row>
        <row r="8345">
          <cell r="L8345"/>
        </row>
        <row r="8346">
          <cell r="L8346"/>
        </row>
        <row r="8347">
          <cell r="L8347"/>
        </row>
        <row r="8348">
          <cell r="L8348"/>
        </row>
        <row r="8349">
          <cell r="L8349"/>
        </row>
        <row r="8350">
          <cell r="L8350"/>
        </row>
        <row r="8351">
          <cell r="L8351"/>
        </row>
        <row r="8352">
          <cell r="L8352"/>
        </row>
        <row r="8353">
          <cell r="L8353"/>
        </row>
        <row r="8354">
          <cell r="L8354"/>
        </row>
        <row r="8355">
          <cell r="L8355"/>
        </row>
        <row r="8356">
          <cell r="L8356"/>
        </row>
        <row r="8357">
          <cell r="L8357"/>
        </row>
        <row r="8358">
          <cell r="L8358"/>
        </row>
        <row r="8359">
          <cell r="L8359"/>
        </row>
        <row r="8360">
          <cell r="L8360"/>
        </row>
        <row r="8361">
          <cell r="L8361"/>
        </row>
        <row r="8362">
          <cell r="L8362"/>
        </row>
        <row r="8363">
          <cell r="L8363"/>
        </row>
        <row r="8364">
          <cell r="L8364"/>
        </row>
        <row r="8365">
          <cell r="L8365"/>
        </row>
        <row r="8366">
          <cell r="L8366"/>
        </row>
        <row r="8367">
          <cell r="L8367"/>
        </row>
        <row r="8368">
          <cell r="L8368"/>
        </row>
        <row r="8369">
          <cell r="L8369"/>
        </row>
        <row r="8370">
          <cell r="L8370"/>
        </row>
        <row r="8371">
          <cell r="L8371"/>
        </row>
        <row r="8372">
          <cell r="L8372"/>
        </row>
        <row r="8373">
          <cell r="L8373"/>
        </row>
        <row r="8374">
          <cell r="L8374"/>
        </row>
        <row r="8375">
          <cell r="L8375"/>
        </row>
        <row r="8376">
          <cell r="L8376"/>
        </row>
        <row r="8377">
          <cell r="L8377"/>
        </row>
        <row r="8378">
          <cell r="L8378"/>
        </row>
        <row r="8379">
          <cell r="L8379"/>
        </row>
        <row r="8380">
          <cell r="L8380"/>
        </row>
        <row r="8381">
          <cell r="L8381"/>
        </row>
        <row r="8382">
          <cell r="L8382"/>
        </row>
        <row r="8383">
          <cell r="L8383"/>
        </row>
        <row r="8384">
          <cell r="L8384"/>
        </row>
        <row r="8385">
          <cell r="L8385"/>
        </row>
        <row r="8386">
          <cell r="L8386"/>
        </row>
        <row r="8387">
          <cell r="L8387"/>
        </row>
        <row r="8388">
          <cell r="L8388"/>
        </row>
        <row r="8389">
          <cell r="L8389"/>
        </row>
        <row r="8390">
          <cell r="L8390"/>
        </row>
        <row r="8391">
          <cell r="L8391"/>
        </row>
        <row r="8392">
          <cell r="L8392"/>
        </row>
        <row r="8393">
          <cell r="L8393"/>
        </row>
        <row r="8394">
          <cell r="L8394"/>
        </row>
        <row r="8395">
          <cell r="L8395"/>
        </row>
        <row r="8396">
          <cell r="L8396"/>
        </row>
        <row r="8397">
          <cell r="L8397"/>
        </row>
        <row r="8398">
          <cell r="L8398"/>
        </row>
        <row r="8399">
          <cell r="L8399"/>
        </row>
        <row r="8400">
          <cell r="L8400"/>
        </row>
        <row r="8401">
          <cell r="L8401"/>
        </row>
        <row r="8402">
          <cell r="L8402"/>
        </row>
        <row r="8403">
          <cell r="L8403"/>
        </row>
        <row r="8404">
          <cell r="L8404"/>
        </row>
        <row r="8405">
          <cell r="L8405"/>
        </row>
        <row r="8406">
          <cell r="L8406"/>
        </row>
        <row r="8407">
          <cell r="L8407"/>
        </row>
        <row r="8408">
          <cell r="L8408"/>
        </row>
        <row r="8409">
          <cell r="L8409"/>
        </row>
        <row r="8410">
          <cell r="L8410"/>
        </row>
        <row r="8411">
          <cell r="L8411"/>
        </row>
        <row r="8412">
          <cell r="L8412"/>
        </row>
        <row r="8413">
          <cell r="L8413"/>
        </row>
        <row r="8414">
          <cell r="L8414"/>
        </row>
        <row r="8415">
          <cell r="L8415"/>
        </row>
        <row r="8416">
          <cell r="L8416"/>
        </row>
        <row r="8417">
          <cell r="L8417"/>
        </row>
        <row r="8418">
          <cell r="L8418"/>
        </row>
        <row r="8419">
          <cell r="L8419"/>
        </row>
        <row r="8420">
          <cell r="L8420"/>
        </row>
        <row r="8421">
          <cell r="L8421"/>
        </row>
        <row r="8422">
          <cell r="L8422"/>
        </row>
        <row r="8423">
          <cell r="L8423"/>
        </row>
        <row r="8424">
          <cell r="L8424"/>
        </row>
        <row r="8425">
          <cell r="L8425"/>
        </row>
        <row r="8426">
          <cell r="L8426"/>
        </row>
        <row r="8427">
          <cell r="L8427"/>
        </row>
        <row r="8428">
          <cell r="L8428"/>
        </row>
        <row r="8429">
          <cell r="L8429"/>
        </row>
        <row r="8430">
          <cell r="L8430"/>
        </row>
        <row r="8431">
          <cell r="L8431"/>
        </row>
        <row r="8432">
          <cell r="L8432"/>
        </row>
        <row r="8433">
          <cell r="L8433"/>
        </row>
        <row r="8434">
          <cell r="L8434"/>
        </row>
        <row r="8435">
          <cell r="L8435"/>
        </row>
        <row r="8436">
          <cell r="L8436"/>
        </row>
        <row r="8437">
          <cell r="L8437"/>
        </row>
        <row r="8438">
          <cell r="L8438"/>
        </row>
        <row r="8439">
          <cell r="L8439"/>
        </row>
        <row r="8440">
          <cell r="L8440"/>
        </row>
        <row r="8441">
          <cell r="L8441"/>
        </row>
        <row r="8442">
          <cell r="L8442"/>
        </row>
        <row r="8443">
          <cell r="L8443"/>
        </row>
        <row r="8444">
          <cell r="L8444"/>
        </row>
        <row r="8445">
          <cell r="L8445"/>
        </row>
        <row r="8446">
          <cell r="L8446"/>
        </row>
        <row r="8447">
          <cell r="L8447"/>
        </row>
        <row r="8448">
          <cell r="L8448"/>
        </row>
        <row r="8449">
          <cell r="L8449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dicion" xr10:uid="{27ECF9A2-B45C-462E-8016-1A3A8350DFFD}" sourceName="Condicion">
  <extLst>
    <x:ext xmlns:x15="http://schemas.microsoft.com/office/spreadsheetml/2010/11/main" uri="{2F2917AC-EB37-4324-AD4E-5DD8C200BD13}">
      <x15:tableSlicerCache tableId="5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lanta_de_Fabricacion1" xr10:uid="{DBBE1477-EE72-4E37-B011-11ECE3A9C5C7}" sourceName="Planta de Fabricacion">
  <extLst>
    <x:ext xmlns:x15="http://schemas.microsoft.com/office/spreadsheetml/2010/11/main" uri="{2F2917AC-EB37-4324-AD4E-5DD8C200BD13}">
      <x15:tableSlicerCache tableId="5" column="18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ase_de_Producto" xr10:uid="{50FC6A94-96C6-4163-90F1-48BA4693A7B0}" sourceName="Clase de Producto">
  <extLst>
    <x:ext xmlns:x15="http://schemas.microsoft.com/office/spreadsheetml/2010/11/main" uri="{2F2917AC-EB37-4324-AD4E-5DD8C200BD13}">
      <x15:tableSlicerCache tableId="5" column="2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asif_de_Producto" xr10:uid="{1C931954-6EF5-4CF8-8CA1-1D9540A873DB}" sourceName="Clasif de Producto">
  <extLst>
    <x:ext xmlns:x15="http://schemas.microsoft.com/office/spreadsheetml/2010/11/main" uri="{2F2917AC-EB37-4324-AD4E-5DD8C200BD13}">
      <x15:tableSlicerCache tableId="5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TATUS1" xr10:uid="{6CBA3E2E-564E-439E-85EC-02EF01C8889A}" sourceName="STATUS">
  <extLst>
    <x:ext xmlns:x15="http://schemas.microsoft.com/office/spreadsheetml/2010/11/main" uri="{2F2917AC-EB37-4324-AD4E-5DD8C200BD13}">
      <x15:tableSlicerCache tableId="5" column="1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ndicion" xr10:uid="{01D3851B-B4A6-4FAF-8ECD-8DE88CE9282B}" cache="SegmentaciónDeDatos_Condicion" caption="Condicion" rowHeight="234950"/>
  <slicer name="Planta de Fabricacion 1" xr10:uid="{754AA2F6-4D71-4951-8000-9436962241C0}" cache="SegmentaciónDeDatos_Planta_de_Fabricacion1" caption="Planta de Fabricacion" columnCount="2" rowHeight="234950"/>
  <slicer name="Clase de Producto" xr10:uid="{D7C144F2-C7C1-41D2-B2BE-6E6A27A6FE07}" cache="SegmentaciónDeDatos_Clase_de_Producto" caption="Clase de Producto" columnCount="3" rowHeight="234950"/>
  <slicer name="Clasif de Producto" xr10:uid="{659B9D16-EFB0-440B-818E-C0BCFC56CB1D}" cache="SegmentaciónDeDatos_Clasif_de_Producto" caption="Clasif de Producto" columnCount="2" rowHeight="234950"/>
  <slicer name="STATUS 1" xr10:uid="{E14EAAE3-7FA5-4BEA-8C39-FF909F82D8F0}" cache="SegmentaciónDeDatos_STATUS1" caption="STATUS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9770E-7AE5-4333-A374-F8A7C608E0D5}" name="Tabla4" displayName="Tabla4" ref="D9:L104" totalsRowShown="0" headerRowDxfId="138" headerRowBorderDxfId="137">
  <autoFilter ref="D9:L104" xr:uid="{1F39770E-7AE5-4333-A374-F8A7C608E0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795D9F7-E932-4EEF-B998-9BDFE0791ABB}" name="Insumo" dataDxfId="136"/>
    <tableColumn id="2" xr3:uid="{4286B8F2-8DEF-4ABE-8F3C-F44BD28D0FBA}" name="Inv. Inicial (Adempiere)" dataDxfId="135"/>
    <tableColumn id="3" xr3:uid="{80CE02E5-9477-4E60-87CE-A8ABF22B573D}" name="Inventario Final (Fisico)" dataDxfId="134"/>
    <tableColumn id="4" xr3:uid="{D960906B-D44E-4C83-8FE3-4A77981F032D}" name="Cantidad Teorica (Cajas prod)" dataDxfId="133"/>
    <tableColumn id="5" xr3:uid="{81F08B9F-3BCB-4FE8-8865-CFFB346DE56D}" name="Consumo" dataDxfId="132">
      <calculatedColumnFormula>+E10-F10</calculatedColumnFormula>
    </tableColumn>
    <tableColumn id="6" xr3:uid="{0444E2AC-82FA-40BD-B98D-992A822D3435}" name="Perdida" dataDxfId="131">
      <calculatedColumnFormula>+H10-G10</calculatedColumnFormula>
    </tableColumn>
    <tableColumn id="7" xr3:uid="{FCCC4006-7926-446A-8E5B-5849086CD105}" name="% de Perdida" dataDxfId="130">
      <calculatedColumnFormula>IF(H10&gt;0,I10/H10,"")</calculatedColumnFormula>
    </tableColumn>
    <tableColumn id="8" xr3:uid="{C5256C87-999B-484A-A23D-95F60594A2F3}" name="Columna1"/>
    <tableColumn id="9" xr3:uid="{C90BC39C-6C2D-4A2A-A9E4-3E75A6E7CF7C}" name="Columna2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A8BBA0-B47D-4AD3-9713-C656088F027A}" name="Tabla1" displayName="Tabla1" ref="D4:K13" totalsRowShown="0" headerRowDxfId="129" headerRowBorderDxfId="128" tableBorderDxfId="127" totalsRowBorderDxfId="126">
  <autoFilter ref="D4:K13" xr:uid="{A9A8BBA0-B47D-4AD3-9713-C656088F027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B5D443E-48E9-44C4-B988-FFFE2CEC8067}" name="Mes" dataDxfId="125"/>
    <tableColumn id="2" xr3:uid="{08BE7DCC-4126-4A28-B974-57C91FA71426}" name="Total H" dataDxfId="124"/>
    <tableColumn id="7" xr3:uid="{DBED57A2-20C5-4401-ACA7-BB4FBBD24FE4}" name="Litros Totales" dataDxfId="123">
      <calculatedColumnFormula>+Tabla1[[#This Row],[Litros2]]</calculatedColumnFormula>
    </tableColumn>
    <tableColumn id="3" xr3:uid="{BEC674E0-BF60-4BAE-8571-E53206D20CD4}" name="Horas Mtto" dataDxfId="122">
      <calculatedColumnFormula>+E5*0.6</calculatedColumnFormula>
    </tableColumn>
    <tableColumn id="8" xr3:uid="{6529DD6F-F93A-4494-ACE9-4CF6F3A9D2ED}" name="Litros Mtto" dataDxfId="121">
      <calculatedColumnFormula>+Tabla1[[#This Row],[Litros Totales]]*0.6</calculatedColumnFormula>
    </tableColumn>
    <tableColumn id="4" xr3:uid="{898CBECF-3794-4F4A-82ED-BEA7627AC18F}" name="Horas Prod" dataDxfId="120">
      <calculatedColumnFormula>+E5-G5</calculatedColumnFormula>
    </tableColumn>
    <tableColumn id="9" xr3:uid="{CE1B16AB-CF5A-489D-B77C-2D73ED68C442}" name="Litros P" dataDxfId="119">
      <calculatedColumnFormula>+Tabla1[[#This Row],[Litros Totales]]-Tabla1[[#This Row],[Litros Mtto]]</calculatedColumnFormula>
    </tableColumn>
    <tableColumn id="5" xr3:uid="{8BC4AE5F-3D0F-4768-A18D-5DA09FB56232}" name="Litros2">
      <calculatedColumnFormula>+Tabla1[[#This Row],[Total H]]*8000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FAE19-B50E-499D-A234-8372D9DD73F5}" name="Tabla2" displayName="Tabla2" ref="D16:K25" totalsRowShown="0" headerRowDxfId="118" headerRowBorderDxfId="117" tableBorderDxfId="116" totalsRowBorderDxfId="115">
  <autoFilter ref="D16:K25" xr:uid="{EB3FAE19-B50E-499D-A234-8372D9DD73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2C1819-AD51-445A-A82F-539DC0D4B594}" name="Mes" dataDxfId="114"/>
    <tableColumn id="2" xr3:uid="{33277626-CA95-47F2-B4FF-C2750184CA18}" name="Total H" dataDxfId="113"/>
    <tableColumn id="6" xr3:uid="{98D9761D-326F-4010-B59F-FDAE9EFACDF0}" name="Litros Totales" dataDxfId="112">
      <calculatedColumnFormula>+Tabla2[[#This Row],[Litros]]</calculatedColumnFormula>
    </tableColumn>
    <tableColumn id="3" xr3:uid="{7EEAFCDC-C858-4CD7-8383-0D8062F7F16A}" name="Horas Mtto" dataDxfId="111">
      <calculatedColumnFormula>+E17*0.6</calculatedColumnFormula>
    </tableColumn>
    <tableColumn id="8" xr3:uid="{43E9B3E0-0ED0-4169-96F4-4222C3A06F28}" name="Litros Mtto" dataDxfId="110">
      <calculatedColumnFormula>+Tabla2[[#This Row],[Litros Totales]]*0.6</calculatedColumnFormula>
    </tableColumn>
    <tableColumn id="4" xr3:uid="{3FD38832-5279-4CDB-BFD1-7F94015F032A}" name="Litros Prod." dataDxfId="109">
      <calculatedColumnFormula>+E17-G17</calculatedColumnFormula>
    </tableColumn>
    <tableColumn id="11" xr3:uid="{2A845E55-F92C-412F-A6D3-69EA6DF19965}" name="Litros P" dataDxfId="108">
      <calculatedColumnFormula>+Tabla2[[#This Row],[Litros Totales]]-Tabla2[[#This Row],[Litros Mtto]]</calculatedColumnFormula>
    </tableColumn>
    <tableColumn id="5" xr3:uid="{ACB4A00C-051B-4CBD-8EFD-AF1903CD4312}" name="Litros" dataDxfId="107">
      <calculatedColumnFormula>+Tabla2[[#This Row],[Total H]]*1875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00FAA9-3408-4DCD-AC2E-7540E16A2865}" name="Tabla3" displayName="Tabla3" ref="D28:K37" totalsRowShown="0" headerRowDxfId="106" dataDxfId="104" headerRowBorderDxfId="105" tableBorderDxfId="103" totalsRowBorderDxfId="102">
  <autoFilter ref="D28:K37" xr:uid="{4A00FAA9-3408-4DCD-AC2E-7540E16A28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D10EEF4-3436-43B6-AF88-A876724F8DA7}" name="Mes" dataDxfId="101"/>
    <tableColumn id="2" xr3:uid="{84A25761-3599-43B7-861E-9196283B57D4}" name="Total H" dataDxfId="100"/>
    <tableColumn id="6" xr3:uid="{BF47EF44-F048-4AEF-A9B6-3D4A729A6E2A}" name="Litros Totales" dataDxfId="99">
      <calculatedColumnFormula>+Tabla3[[#This Row],[Litros]]</calculatedColumnFormula>
    </tableColumn>
    <tableColumn id="3" xr3:uid="{B984D7DB-2B6B-4A47-A012-F511052A057C}" name="Horas Mtto" dataDxfId="98">
      <calculatedColumnFormula>+E29*0.6</calculatedColumnFormula>
    </tableColumn>
    <tableColumn id="7" xr3:uid="{A4896CD7-8222-4494-92A8-D291658707C7}" name="Litros Mtto" dataDxfId="97">
      <calculatedColumnFormula>+Tabla3[[#This Row],[Litros Totales]]*0.6</calculatedColumnFormula>
    </tableColumn>
    <tableColumn id="4" xr3:uid="{404AC429-11AD-4FAD-9CB3-E93E7354FFD6}" name="Horas Prod." dataDxfId="96">
      <calculatedColumnFormula>+E29-G29</calculatedColumnFormula>
    </tableColumn>
    <tableColumn id="8" xr3:uid="{008601FE-CB39-4787-A745-1371CA1FA01F}" name="Litros Prod." dataDxfId="95">
      <calculatedColumnFormula>+Tabla3[[#This Row],[Litros Totales]]-Tabla3[[#This Row],[Litros Mtto]]</calculatedColumnFormula>
    </tableColumn>
    <tableColumn id="5" xr3:uid="{AEFC67A4-36AD-4D93-9F36-59B2909757D5}" name="Litros" dataDxfId="94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B00555-CC1D-4489-8B6A-0030562D86C6}" name="Tabla16" displayName="Tabla16" ref="A7:V197" totalsRowCount="1" headerRowDxfId="46" headerRowBorderDxfId="45" tableBorderDxfId="44" headerRowCellStyle="20% - Énfasis1">
  <autoFilter ref="A7:V196" xr:uid="{A2FAA9F4-C8DF-46F2-A80D-ECF4BB321E34}">
    <filterColumn colId="0">
      <filters>
        <filter val="ACTIVO"/>
      </filters>
    </filterColumn>
    <filterColumn colId="1">
      <filters>
        <filter val="PLANTA CABUDARE"/>
      </filters>
    </filterColumn>
  </autoFilter>
  <tableColumns count="22">
    <tableColumn id="1" xr3:uid="{CDCAD044-356B-4448-8BE3-0978719AC041}" name="Condicion" dataDxfId="43" totalsRowDxfId="42"/>
    <tableColumn id="18" xr3:uid="{5A917E05-6010-458D-8922-DA21F41148B2}" name="Planta de Fabricacion" dataDxfId="41" totalsRowDxfId="40"/>
    <tableColumn id="2" xr3:uid="{7C5395DB-027D-4263-AFAD-5A816733009C}" name="Clase de Producto" dataDxfId="39" totalsRowDxfId="38"/>
    <tableColumn id="3" xr3:uid="{BF8FC0BC-DFEF-4D73-BF59-2708AAE65096}" name="Clasif de Producto" dataDxfId="37" totalsRowDxfId="36"/>
    <tableColumn id="4" xr3:uid="{4AB2E337-F785-42E2-9713-A6FF8E990554}" name="Código" dataDxfId="35" totalsRowDxfId="34"/>
    <tableColumn id="5" xr3:uid="{9EB3D089-F19A-4FE0-91F5-76CDE7DE3D34}" name="Nombre" dataDxfId="33" totalsRowDxfId="32"/>
    <tableColumn id="6" xr3:uid="{C086DD4D-9BA6-4A38-AF1F-D63E36C3C056}" name="FORECAST  FEBRERO 2026" totalsRowFunction="sum" dataDxfId="31" totalsRowDxfId="30" dataCellStyle="Millares"/>
    <tableColumn id="23" xr3:uid="{26D8E478-EF17-41E7-B6AD-5898FCF718E2}" name="FORECAST OP  2025" totalsRowFunction="sum" dataDxfId="29" totalsRowDxfId="28" dataCellStyle="Millares"/>
    <tableColumn id="7" xr3:uid="{932FC023-1FDC-44B1-B427-500829E9F567}" name="VENTA / DIA" totalsRowFunction="sum" dataDxfId="27" totalsRowDxfId="26" dataCellStyle="Millares"/>
    <tableColumn id="8" xr3:uid="{4D859E34-5EA4-4E57-95ED-B0CE5E2FF7A6}" name="MINIMO 7 DIAS" totalsRowFunction="sum" dataDxfId="25" totalsRowDxfId="24" dataCellStyle="Millares">
      <calculatedColumnFormula>+I8*$J$6+I8*$J$6*0.2</calculatedColumnFormula>
    </tableColumn>
    <tableColumn id="21" xr3:uid="{DE3A169D-9552-4510-877F-1C188CBA577F}" name="MEDIO" totalsRowFunction="sum" dataDxfId="23" totalsRowDxfId="22" dataCellStyle="Millares">
      <calculatedColumnFormula>+I8*$K$6</calculatedColumnFormula>
    </tableColumn>
    <tableColumn id="9" xr3:uid="{6CD611A7-FB0C-4A58-BEDF-07B3B9E48E3C}" name="MAXIMO 20 DIAS" totalsRowFunction="sum" dataDxfId="21" totalsRowDxfId="20" dataCellStyle="Millares">
      <calculatedColumnFormula>+I8*$L$6</calculatedColumnFormula>
    </tableColumn>
    <tableColumn id="10" xr3:uid="{633E2236-9355-47BC-86C8-6B2D69F3B06C}" name="INVENTARIO INICIAL" totalsRowFunction="sum" dataDxfId="19" totalsRowDxfId="18" dataCellStyle="Millares">
      <calculatedColumnFormula>IFERROR(VLOOKUP($E$8:$E$196,'[1]INF GENERAL'!$B$2:$D$135,3,0),0)</calculatedColumnFormula>
    </tableColumn>
    <tableColumn id="11" xr3:uid="{81E6AA11-055F-4669-A1FA-17ABE76A9AE5}" name="ENTRADAS (PROD)" totalsRowFunction="sum" dataDxfId="17" totalsRowDxfId="16" dataCellStyle="Millares">
      <calculatedColumnFormula>IFERROR(VLOOKUP($E$8:$E$196,'[1]INF GENERAL'!$F$2:$H$80,3,0),0)</calculatedColumnFormula>
    </tableColumn>
    <tableColumn id="12" xr3:uid="{DEFDD597-8A7A-4F28-9FF3-55182092D8C4}" name="SALIDAS (VENTA TOTAL)" totalsRowFunction="sum" dataDxfId="15" totalsRowDxfId="14" dataCellStyle="Millares"/>
    <tableColumn id="15" xr3:uid="{5680328E-1BCC-42C4-8F8C-A6D47DFD07DD}" name="SALIDAS (VENTA FARMATODO)" totalsRowFunction="sum" dataDxfId="13" totalsRowDxfId="12" dataCellStyle="Millares">
      <calculatedColumnFormula>IFERROR(VLOOKUP($E$8:$E$196,'[1]INF GENERAL'!$V$2:$X$119,3,0),0)</calculatedColumnFormula>
    </tableColumn>
    <tableColumn id="13" xr3:uid="{A7235C99-E2F7-4C87-A615-DE742ED83E45}" name="INVENTARIO FINAL" totalsRowFunction="sum" dataDxfId="11" totalsRowDxfId="10" dataCellStyle="Millares"/>
    <tableColumn id="22" xr3:uid="{2B4DBBC7-85DE-4418-91F4-F92F146CBDBD}" name="INVENTARIO FINAL (FARMATODO)" totalsRowFunction="sum" dataDxfId="9" totalsRowDxfId="8" dataCellStyle="Millares">
      <calculatedColumnFormula>IFERROR(VLOOKUP($E$8:$E$196,'[1]INF GENERAL'!$R$2:$T$119,3,0),0)</calculatedColumnFormula>
    </tableColumn>
    <tableColumn id="16" xr3:uid="{944DDA2A-D762-4A0B-B786-771DA45BC951}" name="VENTA PENDIENTE" totalsRowFunction="sum" dataDxfId="7" totalsRowDxfId="6" dataCellStyle="Millares">
      <calculatedColumnFormula>+Tabla16[[#This Row],[ENTRADAS (PROD)]]</calculatedColumnFormula>
    </tableColumn>
    <tableColumn id="17" xr3:uid="{318E98F3-AC8A-4817-8C84-7A33599D3BA0}" name="PRODUCCION PENDIENTE" totalsRowFunction="sum" dataDxfId="5" totalsRowDxfId="4" dataCellStyle="Millares">
      <calculatedColumnFormula>IF(G8=0,0,(G8-(Q8+O8)))</calculatedColumnFormula>
    </tableColumn>
    <tableColumn id="20" xr3:uid="{E0591B45-17CD-4064-A687-BF5140DF4936}" name="DIAS DE INVENTARIOS PARA LA VENTA" totalsRowFunction="custom" dataDxfId="3" totalsRowDxfId="2" dataCellStyle="Millares">
      <calculatedColumnFormula>IF(G8=0,0,(Q8/I8))</calculatedColumnFormula>
      <totalsRowFormula>+AVERAGE(U14:U196)</totalsRowFormula>
    </tableColumn>
    <tableColumn id="14" xr3:uid="{1015F922-2C2B-4A39-B8BD-C4D8B8E40757}" name="STATUS" dataDxfId="1" totalsRowDxfId="0">
      <calculatedColumnFormula>IF((Q8)&lt;J8,"QUIEBRE",IF((Q8)&lt;L8,"VIGILAR","NO CRITICO"))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Relationship Id="rId4" Type="http://schemas.microsoft.com/office/2007/relationships/slicer" Target="../slicers/slicer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AA51"/>
  <sheetViews>
    <sheetView workbookViewId="0">
      <selection activeCell="A3" sqref="A3"/>
    </sheetView>
  </sheetViews>
  <sheetFormatPr baseColWidth="10" defaultColWidth="11" defaultRowHeight="15"/>
  <sheetData>
    <row r="1" spans="1:27" ht="15.75">
      <c r="E1" s="7"/>
      <c r="F1" s="8"/>
    </row>
    <row r="2" spans="1:27" ht="15.75">
      <c r="B2" s="1205" t="s">
        <v>0</v>
      </c>
      <c r="C2" s="1206"/>
      <c r="D2" s="1206"/>
      <c r="E2" s="1206"/>
      <c r="F2" s="1207"/>
      <c r="H2" s="1208" t="s">
        <v>1</v>
      </c>
      <c r="I2" s="1227"/>
      <c r="J2" s="1227"/>
      <c r="K2" s="1227"/>
      <c r="L2" s="1227"/>
      <c r="M2" s="1228"/>
    </row>
    <row r="3" spans="1:27">
      <c r="A3" s="9"/>
      <c r="B3" s="10"/>
      <c r="C3" s="10"/>
      <c r="D3" s="11"/>
      <c r="E3" s="12"/>
    </row>
    <row r="4" spans="1:27" ht="15.75">
      <c r="B4" s="1209" t="s">
        <v>2</v>
      </c>
      <c r="C4" s="1210"/>
      <c r="D4" s="1211" t="s">
        <v>3</v>
      </c>
      <c r="E4" s="1212" t="s">
        <v>4</v>
      </c>
      <c r="H4" s="1213"/>
      <c r="I4" s="1229" t="s">
        <v>5</v>
      </c>
      <c r="J4" s="1230" t="s">
        <v>6</v>
      </c>
      <c r="K4" s="1230" t="s">
        <v>7</v>
      </c>
      <c r="L4" s="89" t="s">
        <v>8</v>
      </c>
      <c r="M4" s="1230" t="s">
        <v>9</v>
      </c>
      <c r="N4" s="1230" t="s">
        <v>10</v>
      </c>
      <c r="O4" s="1213" t="s">
        <v>11</v>
      </c>
      <c r="P4" s="1231" t="s">
        <v>12</v>
      </c>
      <c r="Q4" s="1213" t="s">
        <v>13</v>
      </c>
      <c r="R4" s="1213" t="s">
        <v>14</v>
      </c>
      <c r="S4" s="1213" t="s">
        <v>15</v>
      </c>
      <c r="T4" s="1255" t="s">
        <v>16</v>
      </c>
      <c r="U4" s="1213" t="s">
        <v>17</v>
      </c>
      <c r="V4" s="1256" t="s">
        <v>18</v>
      </c>
    </row>
    <row r="5" spans="1:27" ht="15.75">
      <c r="B5" s="1214"/>
      <c r="C5" s="1215"/>
      <c r="D5" s="16" t="s">
        <v>7</v>
      </c>
      <c r="E5" s="17">
        <v>6</v>
      </c>
      <c r="G5" s="8"/>
      <c r="H5" s="186" t="s">
        <v>19</v>
      </c>
      <c r="I5" s="1232"/>
      <c r="J5" s="50"/>
      <c r="K5" s="50"/>
      <c r="L5" s="92"/>
      <c r="M5" s="50"/>
      <c r="N5" s="50"/>
      <c r="O5" s="50"/>
      <c r="P5" s="50"/>
      <c r="Q5" s="92"/>
      <c r="R5" s="50"/>
      <c r="S5" s="50"/>
      <c r="T5" s="51"/>
      <c r="U5" s="113"/>
      <c r="V5" s="50"/>
    </row>
    <row r="6" spans="1:27" ht="15.75">
      <c r="A6" s="6" t="s">
        <v>20</v>
      </c>
      <c r="B6" s="1216" t="s">
        <v>21</v>
      </c>
      <c r="C6" s="1217"/>
      <c r="D6" s="1218" t="s">
        <v>22</v>
      </c>
      <c r="E6" s="1219">
        <v>0</v>
      </c>
      <c r="F6" s="1220" t="s">
        <v>23</v>
      </c>
      <c r="H6" s="187" t="s">
        <v>24</v>
      </c>
      <c r="I6" s="1233"/>
      <c r="J6" s="66">
        <v>150</v>
      </c>
      <c r="K6" s="66">
        <v>150</v>
      </c>
      <c r="L6" s="93"/>
      <c r="M6" s="66"/>
      <c r="N6" s="66"/>
      <c r="O6" s="66"/>
      <c r="P6" s="66"/>
      <c r="Q6" s="93"/>
      <c r="R6" s="66"/>
      <c r="S6" s="66"/>
      <c r="T6" s="166"/>
      <c r="U6" s="113"/>
      <c r="V6" s="66"/>
      <c r="Z6" s="6">
        <f>25*2710</f>
        <v>67750</v>
      </c>
    </row>
    <row r="7" spans="1:27" ht="15.75">
      <c r="B7" s="188" t="s">
        <v>25</v>
      </c>
      <c r="C7" s="189"/>
      <c r="D7" s="1221">
        <f>+IF($D$5=$I$4,I6,IF($D$5=$J$4,J6,IF($D$5=$K$4,K6,IF($D$5=$L$4,L6,IF($D$5=$M$4,M6,IF($D$5=$N$4,N6,IF($D$5=$O$4,O6,IF($D$5=$P$4,P6,IF($D$5=$Q$4,Q6,IF($D$5=$R$4,R6,IF($D$5=$S$4,S6,IF($D$5=$T$4,T6,IF($D$5=$U$4,U6,IF($D$5=$T$4,T6,IF($D$5=$V$4,V6,0)))))))))))))))*$E$5</f>
        <v>900</v>
      </c>
      <c r="E7" s="191"/>
      <c r="F7" s="192">
        <f>D7+E7</f>
        <v>900</v>
      </c>
      <c r="G7" s="8"/>
      <c r="H7" s="187" t="s">
        <v>26</v>
      </c>
      <c r="I7" s="1234"/>
      <c r="J7" s="67">
        <v>3.7</v>
      </c>
      <c r="K7" s="67">
        <v>4.2</v>
      </c>
      <c r="L7" s="94"/>
      <c r="M7" s="67"/>
      <c r="N7" s="66"/>
      <c r="O7" s="66"/>
      <c r="P7" s="66"/>
      <c r="Q7" s="93"/>
      <c r="R7" s="66"/>
      <c r="S7" s="66"/>
      <c r="T7" s="166"/>
      <c r="U7" s="113"/>
      <c r="V7" s="66"/>
      <c r="Z7" s="6">
        <f>7*3547</f>
        <v>24829</v>
      </c>
    </row>
    <row r="8" spans="1:27" ht="15.75">
      <c r="B8" s="22" t="s">
        <v>27</v>
      </c>
      <c r="C8" s="23"/>
      <c r="D8" s="161">
        <f t="shared" ref="D8:D16" si="0">+IF($D$5=$I$4,I7,IF($D$5=$J$4,J7,IF($D$5=$K$4,K7,IF($D$5=$L$4,L7,IF($D$5=$M$4,M7,IF($D$5=$N$4,N7,IF($D$5=$O$4,O7,IF($D$5=$P$4,P7,IF($D$5=$Q$4,Q7,IF($D$5=$R$4,R7,IF($D$5=$S$4,S7,IF($D$5=$T$4,T7,IF($D$5=$U$4,U7,IF($D$5=$T$4,T7,IF($D$5=$V$4,V7,0)))))))))))))))*$E$5</f>
        <v>25.200000000000003</v>
      </c>
      <c r="E8" s="193"/>
      <c r="F8" s="194">
        <f t="shared" ref="F8:F16" si="1">D8+E8</f>
        <v>25.200000000000003</v>
      </c>
      <c r="H8" s="187" t="s">
        <v>28</v>
      </c>
      <c r="I8" s="1234"/>
      <c r="J8" s="67">
        <v>4</v>
      </c>
      <c r="K8" s="67">
        <v>3.9</v>
      </c>
      <c r="L8" s="94"/>
      <c r="M8" s="67"/>
      <c r="N8" s="66"/>
      <c r="O8" s="66"/>
      <c r="P8" s="66"/>
      <c r="Q8" s="94"/>
      <c r="R8" s="66"/>
      <c r="S8" s="66"/>
      <c r="T8" s="54"/>
      <c r="U8" s="113"/>
      <c r="V8" s="66"/>
      <c r="Z8" s="6">
        <f>+Z6+Z7</f>
        <v>92579</v>
      </c>
      <c r="AA8" s="6">
        <f>+Z8/6000</f>
        <v>15.429833333333333</v>
      </c>
    </row>
    <row r="9" spans="1:27" ht="15.75">
      <c r="B9" s="22" t="s">
        <v>29</v>
      </c>
      <c r="C9" s="23"/>
      <c r="D9" s="161">
        <f t="shared" si="0"/>
        <v>23.4</v>
      </c>
      <c r="E9" s="195"/>
      <c r="F9" s="194">
        <f t="shared" si="1"/>
        <v>23.4</v>
      </c>
      <c r="H9" s="187" t="s">
        <v>30</v>
      </c>
      <c r="I9" s="1234"/>
      <c r="J9" s="67">
        <v>8</v>
      </c>
      <c r="K9" s="67">
        <v>8</v>
      </c>
      <c r="L9" s="93"/>
      <c r="M9" s="67"/>
      <c r="N9" s="66"/>
      <c r="O9" s="66"/>
      <c r="P9" s="66"/>
      <c r="Q9" s="93"/>
      <c r="R9" s="66"/>
      <c r="S9" s="67"/>
      <c r="T9" s="166"/>
      <c r="U9" s="113"/>
      <c r="V9" s="66"/>
    </row>
    <row r="10" spans="1:27" ht="15.75">
      <c r="B10" s="22" t="s">
        <v>31</v>
      </c>
      <c r="C10" s="23"/>
      <c r="D10" s="161">
        <f t="shared" si="0"/>
        <v>48</v>
      </c>
      <c r="E10" s="193"/>
      <c r="F10" s="194">
        <f t="shared" si="1"/>
        <v>48</v>
      </c>
      <c r="H10" s="187" t="s">
        <v>32</v>
      </c>
      <c r="I10" s="1234"/>
      <c r="J10" s="67">
        <v>1.45</v>
      </c>
      <c r="K10" s="67">
        <v>1.5</v>
      </c>
      <c r="L10" s="94"/>
      <c r="M10" s="67"/>
      <c r="N10" s="66"/>
      <c r="O10" s="66"/>
      <c r="P10" s="66"/>
      <c r="Q10" s="93"/>
      <c r="R10" s="67"/>
      <c r="S10" s="66"/>
      <c r="T10" s="166"/>
      <c r="U10" s="113"/>
      <c r="V10" s="66"/>
    </row>
    <row r="11" spans="1:27" ht="15.75">
      <c r="B11" s="22" t="s">
        <v>33</v>
      </c>
      <c r="C11" s="23"/>
      <c r="D11" s="161">
        <f t="shared" si="0"/>
        <v>9</v>
      </c>
      <c r="E11" s="193"/>
      <c r="F11" s="194">
        <f t="shared" si="1"/>
        <v>9</v>
      </c>
      <c r="H11" s="187" t="s">
        <v>34</v>
      </c>
      <c r="I11" s="1234"/>
      <c r="J11" s="94">
        <v>1.2</v>
      </c>
      <c r="K11" s="94">
        <v>1.1000000000000001</v>
      </c>
      <c r="L11" s="94"/>
      <c r="M11" s="67"/>
      <c r="N11" s="93"/>
      <c r="O11" s="67"/>
      <c r="P11" s="66"/>
      <c r="Q11" s="93"/>
      <c r="R11" s="66"/>
      <c r="S11" s="66"/>
      <c r="T11" s="166"/>
      <c r="U11" s="113"/>
      <c r="V11" s="66"/>
    </row>
    <row r="12" spans="1:27" ht="15.75">
      <c r="B12" s="22" t="s">
        <v>35</v>
      </c>
      <c r="C12" s="23"/>
      <c r="D12" s="161">
        <f t="shared" si="0"/>
        <v>6.6000000000000005</v>
      </c>
      <c r="E12" s="193"/>
      <c r="F12" s="196">
        <f t="shared" si="1"/>
        <v>6.6000000000000005</v>
      </c>
      <c r="H12" s="194" t="s">
        <v>36</v>
      </c>
      <c r="I12" s="1233"/>
      <c r="J12" s="68">
        <v>0.21</v>
      </c>
      <c r="K12" s="66">
        <v>0.182</v>
      </c>
      <c r="L12" s="93"/>
      <c r="M12" s="66"/>
      <c r="N12" s="66"/>
      <c r="O12" s="66"/>
      <c r="P12" s="66"/>
      <c r="Q12" s="93"/>
      <c r="R12" s="66"/>
      <c r="S12" s="68"/>
      <c r="T12" s="1257"/>
      <c r="U12" s="113"/>
      <c r="V12" s="66"/>
    </row>
    <row r="13" spans="1:27" ht="15.75">
      <c r="B13" s="29" t="s">
        <v>37</v>
      </c>
      <c r="C13" s="30"/>
      <c r="D13" s="1222">
        <f t="shared" si="0"/>
        <v>1.0920000000000001</v>
      </c>
      <c r="E13" s="197"/>
      <c r="F13" s="196">
        <f t="shared" si="1"/>
        <v>1.0920000000000001</v>
      </c>
      <c r="H13" s="187" t="s">
        <v>38</v>
      </c>
      <c r="I13" s="1235"/>
      <c r="J13" s="68">
        <v>0.24</v>
      </c>
      <c r="K13" s="66">
        <v>0.19</v>
      </c>
      <c r="L13" s="95"/>
      <c r="M13" s="68"/>
      <c r="N13" s="68"/>
      <c r="O13" s="66"/>
      <c r="P13" s="66"/>
      <c r="Q13" s="93"/>
      <c r="R13" s="66"/>
      <c r="S13" s="68"/>
      <c r="T13" s="1257"/>
      <c r="U13" s="113"/>
      <c r="V13" s="66"/>
    </row>
    <row r="14" spans="1:27" ht="15.75">
      <c r="B14" s="22" t="s">
        <v>39</v>
      </c>
      <c r="C14" s="23"/>
      <c r="D14" s="1222">
        <f t="shared" si="0"/>
        <v>1.1400000000000001</v>
      </c>
      <c r="E14" s="197"/>
      <c r="F14" s="196">
        <f t="shared" si="1"/>
        <v>1.1400000000000001</v>
      </c>
      <c r="H14" s="187" t="s">
        <v>40</v>
      </c>
      <c r="I14" s="1233"/>
      <c r="J14" s="66"/>
      <c r="K14" s="66"/>
      <c r="L14" s="94"/>
      <c r="M14" s="66"/>
      <c r="N14" s="66"/>
      <c r="O14" s="66"/>
      <c r="P14" s="66"/>
      <c r="Q14" s="93"/>
      <c r="R14" s="66"/>
      <c r="S14" s="66"/>
      <c r="T14" s="166"/>
      <c r="U14" s="113"/>
      <c r="V14" s="66"/>
    </row>
    <row r="15" spans="1:27" ht="15.75">
      <c r="B15" s="22" t="s">
        <v>41</v>
      </c>
      <c r="C15" s="23"/>
      <c r="D15" s="161">
        <f t="shared" si="0"/>
        <v>0</v>
      </c>
      <c r="E15" s="193"/>
      <c r="F15" s="194">
        <f t="shared" si="1"/>
        <v>0</v>
      </c>
      <c r="H15" s="198" t="s">
        <v>42</v>
      </c>
      <c r="I15" s="1236"/>
      <c r="J15" s="70"/>
      <c r="K15" s="70"/>
      <c r="L15" s="96"/>
      <c r="M15" s="70"/>
      <c r="N15" s="97"/>
      <c r="O15" s="97"/>
      <c r="P15" s="97"/>
      <c r="Q15" s="241"/>
      <c r="R15" s="97"/>
      <c r="S15" s="97"/>
      <c r="T15" s="254"/>
      <c r="U15" s="113"/>
      <c r="V15" s="97"/>
    </row>
    <row r="16" spans="1:27" ht="15.75">
      <c r="B16" s="32" t="s">
        <v>43</v>
      </c>
      <c r="C16" s="33"/>
      <c r="D16" s="218">
        <f t="shared" si="0"/>
        <v>0</v>
      </c>
      <c r="E16" s="200"/>
      <c r="F16" s="1223">
        <f t="shared" si="1"/>
        <v>0</v>
      </c>
      <c r="H16" s="202" t="s">
        <v>44</v>
      </c>
      <c r="I16" s="1237"/>
      <c r="J16" s="71"/>
      <c r="K16" s="71"/>
      <c r="L16" s="98"/>
      <c r="M16" s="71"/>
      <c r="N16" s="71"/>
      <c r="O16" s="71"/>
      <c r="P16" s="71"/>
      <c r="Q16" s="98"/>
      <c r="R16" s="71"/>
      <c r="S16" s="71"/>
      <c r="T16" s="256"/>
      <c r="U16" s="114"/>
      <c r="V16" s="255"/>
    </row>
    <row r="18" spans="2:20" ht="15.75">
      <c r="B18" s="37" t="s">
        <v>45</v>
      </c>
      <c r="C18" s="38"/>
      <c r="D18" s="39">
        <f>+IF($D$5=$I$4,I16,IF($D$5=$J$4,J16,IF($D$5=$K$4,K16,IF($D$5=$L$4,L16,IF($D$5=$M$4,M16,IF($D$5=$N$4,N16,IF($D$5=$O$4,O16,IF($D$5=$P$4,P16,IF($D$5=$Q$4,Q16,IF($D$5=$R$4,R16,IF($D$5=$S$4,S16,IF($D$5=$T$4,T16,IF($D$5=$U$4,U16,IF($D$5=$V$4,V16,0))))))))))))))*$E$5</f>
        <v>0</v>
      </c>
      <c r="F18" s="40"/>
      <c r="G18" s="6" t="s">
        <v>46</v>
      </c>
      <c r="H18" s="42" t="s">
        <v>47</v>
      </c>
      <c r="I18" s="72" t="s">
        <v>48</v>
      </c>
      <c r="J18" s="73"/>
      <c r="K18" s="244">
        <v>237</v>
      </c>
      <c r="L18" s="99">
        <f>+K18*E5</f>
        <v>1422</v>
      </c>
    </row>
    <row r="19" spans="2:20" ht="15.75">
      <c r="E19" s="41"/>
      <c r="F19" s="40"/>
      <c r="H19" s="45"/>
      <c r="M19" s="1238" t="s">
        <v>49</v>
      </c>
      <c r="N19" s="1239" t="s">
        <v>50</v>
      </c>
      <c r="O19" s="1239" t="s">
        <v>51</v>
      </c>
      <c r="P19" s="1240"/>
    </row>
    <row r="20" spans="2:20" ht="15.75">
      <c r="B20" s="43"/>
      <c r="C20" s="43"/>
      <c r="E20" s="44"/>
      <c r="F20" s="44"/>
      <c r="L20" s="8"/>
      <c r="M20" s="1241" t="s">
        <v>52</v>
      </c>
      <c r="N20" s="1242" t="s">
        <v>53</v>
      </c>
      <c r="O20" s="1243">
        <v>237</v>
      </c>
      <c r="P20" s="1244"/>
    </row>
    <row r="21" spans="2:20" ht="15.75">
      <c r="B21" s="43"/>
      <c r="C21" s="43"/>
      <c r="E21" s="44"/>
      <c r="F21" s="44"/>
      <c r="L21" s="8"/>
      <c r="M21" s="1241" t="s">
        <v>52</v>
      </c>
      <c r="N21" s="1242"/>
      <c r="O21" s="1242"/>
      <c r="P21" s="1244"/>
    </row>
    <row r="22" spans="2:20" ht="15.75">
      <c r="B22" s="43"/>
      <c r="C22" s="43"/>
      <c r="E22" s="46"/>
      <c r="F22" s="1224"/>
      <c r="G22" s="1225"/>
      <c r="H22" s="41"/>
      <c r="I22" s="41"/>
      <c r="J22" s="48"/>
      <c r="K22" s="44"/>
      <c r="L22" s="44"/>
      <c r="M22" s="1241" t="s">
        <v>54</v>
      </c>
      <c r="N22" s="1245" t="s">
        <v>55</v>
      </c>
      <c r="O22" s="1245">
        <v>238</v>
      </c>
      <c r="P22" s="1244"/>
    </row>
    <row r="23" spans="2:20">
      <c r="E23" s="48"/>
      <c r="F23" s="48"/>
      <c r="I23" s="44"/>
      <c r="J23" s="44"/>
      <c r="K23" s="44"/>
      <c r="L23" s="44"/>
      <c r="M23" s="1246" t="s">
        <v>56</v>
      </c>
      <c r="N23" s="1247" t="s">
        <v>57</v>
      </c>
      <c r="O23" s="1247">
        <v>265</v>
      </c>
      <c r="P23" s="1244">
        <f>+O23*6</f>
        <v>1590</v>
      </c>
    </row>
    <row r="24" spans="2:20" ht="15.75">
      <c r="E24" s="48"/>
      <c r="F24" s="48"/>
      <c r="H24" s="49"/>
      <c r="I24" s="44"/>
      <c r="J24" s="222"/>
      <c r="K24" s="45"/>
      <c r="L24" s="44"/>
      <c r="M24" s="1248" t="s">
        <v>56</v>
      </c>
      <c r="N24" s="1249" t="s">
        <v>58</v>
      </c>
      <c r="O24" s="1249">
        <v>260</v>
      </c>
      <c r="P24" s="1244">
        <f>+O24*13</f>
        <v>3380</v>
      </c>
    </row>
    <row r="25" spans="2:20" ht="15.75">
      <c r="D25" s="7"/>
      <c r="E25" s="7"/>
      <c r="F25" s="7"/>
      <c r="I25" s="44"/>
      <c r="J25" s="222"/>
      <c r="K25" s="45"/>
      <c r="L25" s="44"/>
      <c r="M25" s="1250" t="s">
        <v>54</v>
      </c>
      <c r="N25" s="1251">
        <v>968</v>
      </c>
      <c r="O25" s="1251">
        <v>237</v>
      </c>
      <c r="P25" s="1244"/>
    </row>
    <row r="26" spans="2:20" ht="15.75">
      <c r="B26" s="223"/>
      <c r="C26" s="223"/>
      <c r="D26" s="223"/>
      <c r="E26" s="223"/>
      <c r="F26" s="223"/>
      <c r="G26" s="223"/>
      <c r="H26" s="53"/>
      <c r="I26" s="44"/>
      <c r="J26" s="222"/>
      <c r="K26" s="45"/>
      <c r="L26" s="44"/>
      <c r="M26" s="1252" t="s">
        <v>52</v>
      </c>
      <c r="N26" s="1253" t="s">
        <v>59</v>
      </c>
      <c r="O26" s="1253">
        <v>237.2071</v>
      </c>
      <c r="P26" s="1254"/>
      <c r="T26" s="44"/>
    </row>
    <row r="27" spans="2:20" ht="15.75">
      <c r="B27" s="83"/>
      <c r="C27" s="83"/>
      <c r="D27" s="182"/>
      <c r="E27" s="57"/>
      <c r="F27" s="57"/>
      <c r="G27" s="57"/>
      <c r="H27" s="53"/>
      <c r="I27" s="44"/>
      <c r="J27" s="222"/>
      <c r="K27" s="45"/>
      <c r="L27" s="44"/>
      <c r="M27" s="44"/>
      <c r="O27" s="44"/>
    </row>
    <row r="28" spans="2:20" ht="15.75">
      <c r="B28" s="1226"/>
      <c r="C28" s="1226"/>
      <c r="D28" s="183"/>
      <c r="E28" s="183"/>
      <c r="F28" s="183"/>
      <c r="G28" s="57"/>
      <c r="H28" s="53"/>
      <c r="I28" s="44"/>
      <c r="J28" s="222"/>
      <c r="K28" s="41"/>
      <c r="L28" s="44"/>
      <c r="O28" s="44"/>
    </row>
    <row r="29" spans="2:20" ht="15.75">
      <c r="B29" s="1226"/>
      <c r="C29" s="1226"/>
      <c r="D29" s="184"/>
      <c r="E29" s="52"/>
      <c r="F29" s="52"/>
      <c r="G29" s="185"/>
      <c r="H29" s="53"/>
      <c r="I29" s="44"/>
      <c r="J29" s="222"/>
      <c r="K29" s="41"/>
      <c r="L29" s="44"/>
    </row>
    <row r="30" spans="2:20" ht="15.75">
      <c r="B30" s="1226"/>
      <c r="C30" s="1226"/>
      <c r="D30" s="58"/>
      <c r="E30" s="52"/>
      <c r="F30" s="223"/>
      <c r="G30" s="223"/>
      <c r="H30" s="53"/>
      <c r="I30" s="44"/>
      <c r="J30" s="222"/>
      <c r="K30" s="41"/>
      <c r="L30" s="44"/>
      <c r="O30" s="44"/>
    </row>
    <row r="31" spans="2:20" ht="15.75">
      <c r="B31" s="223"/>
      <c r="C31" s="223"/>
      <c r="D31" s="55"/>
      <c r="E31" s="55"/>
      <c r="F31" s="56"/>
      <c r="G31" s="57"/>
      <c r="H31" s="53"/>
      <c r="I31" s="44"/>
      <c r="J31" s="222"/>
      <c r="K31" s="45"/>
      <c r="L31" s="44"/>
      <c r="O31" s="44"/>
    </row>
    <row r="32" spans="2:20" ht="15.75">
      <c r="B32" s="223"/>
      <c r="C32" s="223"/>
      <c r="D32" s="55"/>
      <c r="E32" s="55"/>
      <c r="F32" s="56"/>
      <c r="G32" s="57"/>
      <c r="H32" s="53"/>
      <c r="I32" s="44"/>
      <c r="J32" s="48"/>
      <c r="K32" s="82"/>
      <c r="L32" s="75"/>
      <c r="N32" s="44"/>
      <c r="O32" s="44"/>
    </row>
    <row r="33" spans="2:21" ht="15.75">
      <c r="B33" s="223"/>
      <c r="C33" s="223"/>
      <c r="D33" s="58"/>
      <c r="E33" s="58"/>
      <c r="F33" s="57"/>
      <c r="G33" s="57"/>
      <c r="H33" s="60"/>
      <c r="J33" s="44"/>
      <c r="N33" s="44"/>
      <c r="O33" s="44"/>
    </row>
    <row r="34" spans="2:21" ht="15.75">
      <c r="B34" s="1226"/>
      <c r="C34" s="1226"/>
      <c r="D34" s="59"/>
      <c r="E34" s="59"/>
      <c r="F34" s="57"/>
      <c r="G34" s="57"/>
      <c r="H34" s="53"/>
      <c r="I34" s="44"/>
      <c r="J34" s="44"/>
      <c r="O34" s="44"/>
    </row>
    <row r="35" spans="2:21" ht="15.75">
      <c r="B35" s="223"/>
      <c r="C35" s="223"/>
      <c r="D35" s="59"/>
      <c r="E35" s="59"/>
      <c r="F35" s="57"/>
      <c r="G35" s="57"/>
      <c r="H35" s="53"/>
      <c r="L35" s="82"/>
      <c r="O35" s="44"/>
    </row>
    <row r="36" spans="2:21" ht="15.75">
      <c r="B36" s="223"/>
      <c r="C36" s="223"/>
      <c r="D36" s="58"/>
      <c r="E36" s="58"/>
      <c r="F36" s="57"/>
      <c r="G36" s="57"/>
      <c r="H36" s="53"/>
      <c r="I36" s="48"/>
      <c r="K36" s="76"/>
      <c r="L36" s="76"/>
      <c r="M36" s="76"/>
      <c r="O36" s="44"/>
    </row>
    <row r="37" spans="2:21">
      <c r="B37" s="61"/>
      <c r="C37" s="61"/>
      <c r="D37" s="61"/>
      <c r="E37" s="61"/>
      <c r="F37" s="61"/>
      <c r="G37" s="61"/>
      <c r="H37" s="61"/>
      <c r="O37" s="44"/>
    </row>
    <row r="38" spans="2:21">
      <c r="B38" s="61"/>
      <c r="C38" s="61"/>
      <c r="D38" s="61"/>
      <c r="E38" s="61"/>
      <c r="F38" s="61"/>
      <c r="G38" s="61"/>
      <c r="H38" s="61"/>
      <c r="S38" s="44"/>
    </row>
    <row r="39" spans="2:21">
      <c r="M39" s="76"/>
      <c r="N39" s="44"/>
      <c r="O39" s="44"/>
      <c r="P39" s="44"/>
      <c r="Q39" s="44"/>
      <c r="S39" s="44"/>
      <c r="T39" s="44"/>
      <c r="U39" s="44"/>
    </row>
    <row r="40" spans="2:21">
      <c r="N40" s="44"/>
      <c r="O40" s="44"/>
      <c r="P40" s="44"/>
      <c r="Q40" s="44"/>
      <c r="S40" s="44"/>
      <c r="T40" s="44"/>
      <c r="U40" s="44"/>
    </row>
    <row r="41" spans="2:21" ht="15.75">
      <c r="D41" s="62"/>
      <c r="E41" s="63"/>
      <c r="N41" s="44"/>
      <c r="O41" s="44"/>
      <c r="P41" s="44"/>
      <c r="Q41" s="44"/>
    </row>
    <row r="42" spans="2:21" ht="15.75">
      <c r="D42" s="60"/>
      <c r="E42" s="63"/>
      <c r="M42" s="76"/>
      <c r="N42" s="44"/>
      <c r="O42" s="44"/>
      <c r="P42" s="44"/>
      <c r="Q42" s="44"/>
      <c r="S42" s="44"/>
    </row>
    <row r="43" spans="2:21" ht="15.75">
      <c r="D43" s="60"/>
      <c r="E43" s="63"/>
      <c r="N43" s="44"/>
      <c r="O43" s="44"/>
      <c r="P43" s="44"/>
      <c r="Q43" s="44"/>
    </row>
    <row r="44" spans="2:21" ht="15.75">
      <c r="D44" s="60"/>
      <c r="E44" s="63"/>
      <c r="N44" s="44"/>
      <c r="O44" s="44"/>
      <c r="P44" s="44"/>
      <c r="Q44" s="44"/>
      <c r="S44" s="44"/>
    </row>
    <row r="45" spans="2:21" ht="15.75">
      <c r="D45" s="60"/>
      <c r="E45" s="63"/>
      <c r="M45" s="76"/>
      <c r="N45" s="44"/>
      <c r="O45" s="44"/>
      <c r="P45" s="44"/>
      <c r="Q45" s="44"/>
      <c r="S45" s="44"/>
    </row>
    <row r="46" spans="2:21" ht="15.75">
      <c r="D46" s="60"/>
      <c r="E46" s="63"/>
      <c r="N46" s="44"/>
      <c r="O46" s="44"/>
      <c r="P46" s="44"/>
      <c r="Q46" s="44"/>
    </row>
    <row r="47" spans="2:21" ht="15.75">
      <c r="D47" s="64"/>
      <c r="E47" s="63"/>
      <c r="N47" s="44"/>
      <c r="O47" s="44"/>
      <c r="P47" s="44"/>
      <c r="Q47" s="44"/>
    </row>
    <row r="48" spans="2:21" ht="15.75">
      <c r="D48" s="64"/>
      <c r="E48" s="63"/>
      <c r="M48" s="76"/>
      <c r="N48" s="44"/>
      <c r="O48" s="44"/>
      <c r="P48" s="44"/>
      <c r="Q48" s="44"/>
    </row>
    <row r="49" spans="4:11" ht="15.75">
      <c r="D49" s="60"/>
      <c r="E49" s="63"/>
    </row>
    <row r="50" spans="4:11" ht="15.75">
      <c r="D50" s="62"/>
      <c r="E50" s="63"/>
    </row>
    <row r="51" spans="4:11">
      <c r="E51" s="63"/>
      <c r="F51" s="63"/>
      <c r="G51" s="63"/>
      <c r="H51" s="63"/>
      <c r="I51" s="63"/>
      <c r="J51" s="63"/>
      <c r="K51" s="6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C2:I12"/>
  <sheetViews>
    <sheetView workbookViewId="0">
      <selection activeCell="C10" sqref="C10:F10"/>
    </sheetView>
  </sheetViews>
  <sheetFormatPr baseColWidth="10" defaultColWidth="11" defaultRowHeight="15"/>
  <cols>
    <col min="5" max="5" width="16.42578125" customWidth="1"/>
  </cols>
  <sheetData>
    <row r="2" spans="3:9">
      <c r="C2" s="1792" t="s">
        <v>60</v>
      </c>
      <c r="D2" s="1792"/>
      <c r="E2" s="1792"/>
      <c r="F2" s="1792"/>
      <c r="G2" s="1793"/>
      <c r="H2" s="1793"/>
      <c r="I2" s="1793"/>
    </row>
    <row r="3" spans="3:9">
      <c r="C3" s="1110" t="s">
        <v>61</v>
      </c>
      <c r="D3" s="1110" t="s">
        <v>62</v>
      </c>
      <c r="E3" s="1110" t="s">
        <v>63</v>
      </c>
      <c r="F3" s="1110" t="s">
        <v>64</v>
      </c>
      <c r="G3" s="310"/>
      <c r="H3" s="310"/>
      <c r="I3" s="310"/>
    </row>
    <row r="4" spans="3:9" ht="18.75">
      <c r="C4" s="1110">
        <v>90</v>
      </c>
      <c r="D4" s="1110">
        <f>180+180+180+180</f>
        <v>720</v>
      </c>
      <c r="E4" s="1202">
        <f>+C4+D4-F4</f>
        <v>540</v>
      </c>
      <c r="F4" s="1110">
        <f>30*9</f>
        <v>270</v>
      </c>
      <c r="G4" s="310"/>
      <c r="H4" s="1203"/>
      <c r="I4" s="310"/>
    </row>
    <row r="5" spans="3:9">
      <c r="C5" s="310"/>
      <c r="D5" s="310"/>
      <c r="E5" s="310"/>
      <c r="F5" s="310"/>
    </row>
    <row r="6" spans="3:9">
      <c r="C6" s="1794" t="s">
        <v>65</v>
      </c>
      <c r="D6" s="1794"/>
      <c r="E6" s="1794"/>
      <c r="F6" s="1794"/>
    </row>
    <row r="7" spans="3:9">
      <c r="C7" s="1110" t="s">
        <v>61</v>
      </c>
      <c r="D7" s="1110" t="s">
        <v>62</v>
      </c>
      <c r="E7" s="1110" t="s">
        <v>63</v>
      </c>
      <c r="F7" s="1110" t="s">
        <v>64</v>
      </c>
    </row>
    <row r="8" spans="3:9" ht="18.75">
      <c r="C8" s="1152">
        <f>300</f>
        <v>300</v>
      </c>
      <c r="D8" s="1152">
        <f>120+120</f>
        <v>240</v>
      </c>
      <c r="E8" s="1204">
        <f>+C8-F8+D8</f>
        <v>360</v>
      </c>
      <c r="F8" s="1152">
        <f>60*3</f>
        <v>180</v>
      </c>
    </row>
    <row r="9" spans="3:9" ht="18.75">
      <c r="C9" s="405" t="s">
        <v>66</v>
      </c>
      <c r="D9" s="1795">
        <f>+E4-E8</f>
        <v>180</v>
      </c>
      <c r="E9" s="1795"/>
      <c r="F9" s="1795"/>
    </row>
    <row r="10" spans="3:9">
      <c r="C10" s="1796" t="s">
        <v>67</v>
      </c>
      <c r="D10" s="1796"/>
      <c r="E10" s="1796"/>
      <c r="F10" s="1796"/>
    </row>
    <row r="11" spans="3:9">
      <c r="C11" s="1791" t="s">
        <v>68</v>
      </c>
      <c r="D11" s="1791"/>
      <c r="E11" s="1791"/>
      <c r="F11" s="1791"/>
    </row>
    <row r="12" spans="3:9">
      <c r="C12" s="1791"/>
      <c r="D12" s="1791"/>
      <c r="E12" s="1791"/>
      <c r="F12" s="1791"/>
    </row>
  </sheetData>
  <mergeCells count="6">
    <mergeCell ref="C11:F12"/>
    <mergeCell ref="C2:F2"/>
    <mergeCell ref="G2:I2"/>
    <mergeCell ref="C6:F6"/>
    <mergeCell ref="D9:F9"/>
    <mergeCell ref="C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pageSetUpPr fitToPage="1"/>
  </sheetPr>
  <dimension ref="A1:K12"/>
  <sheetViews>
    <sheetView view="pageBreakPreview" topLeftCell="A5" zoomScale="19" zoomScaleNormal="42" workbookViewId="0">
      <selection activeCell="C10" sqref="C10"/>
    </sheetView>
  </sheetViews>
  <sheetFormatPr baseColWidth="10" defaultColWidth="11" defaultRowHeight="15"/>
  <cols>
    <col min="2" max="2" width="143.42578125" customWidth="1"/>
    <col min="3" max="3" width="157" customWidth="1"/>
    <col min="4" max="4" width="74.140625" customWidth="1"/>
    <col min="5" max="5" width="71.140625" customWidth="1"/>
    <col min="6" max="6" width="100.5703125" customWidth="1"/>
    <col min="7" max="7" width="132" customWidth="1"/>
    <col min="8" max="8" width="74.140625" customWidth="1"/>
    <col min="9" max="9" width="73.7109375" customWidth="1"/>
  </cols>
  <sheetData>
    <row r="1" spans="1:11" ht="137.25" customHeight="1">
      <c r="A1" s="1166"/>
      <c r="B1" s="1797" t="s">
        <v>69</v>
      </c>
      <c r="C1" s="1797"/>
      <c r="D1" s="1167"/>
      <c r="E1" s="1167"/>
      <c r="F1" s="1166"/>
      <c r="G1" s="1166"/>
      <c r="H1" s="1166"/>
      <c r="I1" s="1167"/>
      <c r="J1" s="1167"/>
      <c r="K1" s="1167"/>
    </row>
    <row r="2" spans="1:11" ht="15" customHeight="1">
      <c r="A2" s="1166"/>
      <c r="B2" s="1166"/>
      <c r="C2" s="1166"/>
      <c r="D2" s="1166"/>
      <c r="E2" s="1166"/>
      <c r="F2" s="1166"/>
      <c r="G2" s="1166"/>
      <c r="H2" s="1166"/>
    </row>
    <row r="3" spans="1:11" s="171" customFormat="1" ht="281.25" customHeight="1">
      <c r="B3" s="1168" t="s">
        <v>70</v>
      </c>
      <c r="C3" s="1190" t="s">
        <v>22</v>
      </c>
      <c r="D3" s="1798"/>
      <c r="E3" s="1799"/>
      <c r="F3" s="1169"/>
      <c r="G3" s="1169"/>
    </row>
    <row r="4" spans="1:11" s="171" customFormat="1" ht="307.5" customHeight="1">
      <c r="B4" s="1170" t="s">
        <v>71</v>
      </c>
      <c r="C4" s="1196">
        <f>34100+9421</f>
        <v>43521</v>
      </c>
      <c r="D4" s="1174"/>
      <c r="E4" s="1173"/>
      <c r="F4" s="1174"/>
      <c r="G4" s="1174"/>
      <c r="H4" s="1174"/>
    </row>
    <row r="5" spans="1:11" s="171" customFormat="1" ht="300" customHeight="1">
      <c r="B5" s="1170" t="s">
        <v>773</v>
      </c>
      <c r="C5" s="1197">
        <v>40366</v>
      </c>
      <c r="D5" s="1174"/>
      <c r="E5" s="1173"/>
      <c r="F5" s="1174"/>
      <c r="G5" s="1174"/>
      <c r="H5" s="1174"/>
    </row>
    <row r="6" spans="1:11" s="171" customFormat="1" ht="300" customHeight="1">
      <c r="B6" s="1170" t="s">
        <v>774</v>
      </c>
      <c r="C6" s="1197">
        <v>46665</v>
      </c>
      <c r="D6" s="1174"/>
      <c r="E6" s="1173"/>
      <c r="F6" s="1174"/>
      <c r="G6" s="1174"/>
      <c r="H6" s="1174"/>
    </row>
    <row r="7" spans="1:11" s="171" customFormat="1" ht="300" customHeight="1">
      <c r="B7" s="1170" t="s">
        <v>775</v>
      </c>
      <c r="C7" s="1197">
        <v>10562</v>
      </c>
      <c r="D7" s="1174"/>
      <c r="E7" s="1173"/>
      <c r="F7" s="1174"/>
      <c r="G7" s="1174"/>
      <c r="H7" s="1174"/>
    </row>
    <row r="8" spans="1:11" s="171" customFormat="1" ht="363" customHeight="1">
      <c r="B8" s="1170" t="s">
        <v>776</v>
      </c>
      <c r="C8" s="1198">
        <v>117469</v>
      </c>
      <c r="D8" s="1176"/>
      <c r="E8" s="1176"/>
      <c r="F8" s="1174"/>
    </row>
    <row r="9" spans="1:11" s="171" customFormat="1" ht="165.75" customHeight="1">
      <c r="B9" s="1170" t="s">
        <v>777</v>
      </c>
      <c r="C9" s="1173">
        <v>181943</v>
      </c>
      <c r="D9" s="1799"/>
      <c r="E9" s="1799"/>
      <c r="F9" s="1799"/>
    </row>
    <row r="10" spans="1:11" s="171" customFormat="1" ht="165.75" customHeight="1">
      <c r="B10" s="1178"/>
      <c r="C10" s="1199"/>
      <c r="D10" s="1799"/>
      <c r="E10" s="1799"/>
      <c r="F10" s="1799"/>
    </row>
    <row r="11" spans="1:11" ht="99.95" customHeight="1">
      <c r="B11" s="1179"/>
      <c r="C11" s="1200"/>
      <c r="D11" s="1185"/>
      <c r="E11" s="1192"/>
      <c r="F11" s="1181"/>
      <c r="G11" s="1185"/>
      <c r="H11" s="1185"/>
      <c r="I11" s="1185"/>
    </row>
    <row r="12" spans="1:11" ht="99.95" customHeight="1">
      <c r="B12" s="1182"/>
      <c r="C12" s="1201"/>
      <c r="D12" s="1185"/>
      <c r="E12" s="1194"/>
      <c r="F12" s="1184"/>
      <c r="G12" s="1185"/>
      <c r="H12" s="1185"/>
      <c r="I12" s="1185"/>
    </row>
  </sheetData>
  <mergeCells count="4">
    <mergeCell ref="B1:C1"/>
    <mergeCell ref="D3:E3"/>
    <mergeCell ref="D9:F9"/>
    <mergeCell ref="D10:F10"/>
  </mergeCells>
  <printOptions horizontalCentered="1" verticalCentered="1"/>
  <pageMargins left="0.70866141732283505" right="0.70866141732283505" top="0.74803149606299202" bottom="0.74803149606299202" header="0.31496062992126" footer="0.31496062992126"/>
  <pageSetup paperSize="9" scale="2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D357F-39EA-403A-BF33-C13CB2CD4E5F}">
  <sheetPr codeName="Hoja8"/>
  <dimension ref="B2:S49"/>
  <sheetViews>
    <sheetView workbookViewId="0">
      <selection activeCell="L6" sqref="L6"/>
    </sheetView>
  </sheetViews>
  <sheetFormatPr baseColWidth="10" defaultRowHeight="15"/>
  <cols>
    <col min="3" max="3" width="12.5703125" bestFit="1" customWidth="1"/>
    <col min="4" max="4" width="17" bestFit="1" customWidth="1"/>
    <col min="5" max="7" width="13.42578125" hidden="1" customWidth="1"/>
    <col min="8" max="8" width="11.42578125" hidden="1" customWidth="1"/>
    <col min="9" max="9" width="12.5703125" bestFit="1" customWidth="1"/>
    <col min="11" max="11" width="14" bestFit="1" customWidth="1"/>
    <col min="14" max="14" width="12.5703125" bestFit="1" customWidth="1"/>
    <col min="16" max="16" width="17.85546875" bestFit="1" customWidth="1"/>
    <col min="18" max="18" width="16.42578125" bestFit="1" customWidth="1"/>
  </cols>
  <sheetData>
    <row r="2" spans="2:12" ht="15.75" thickBot="1"/>
    <row r="3" spans="2:12" ht="15.75" thickBot="1">
      <c r="C3" s="1809" t="s">
        <v>791</v>
      </c>
      <c r="D3" s="1809"/>
      <c r="E3" s="1809"/>
      <c r="F3" s="1809"/>
      <c r="G3" s="1809"/>
      <c r="H3" s="1809"/>
      <c r="K3" s="1427" t="s">
        <v>3</v>
      </c>
      <c r="L3" s="1427" t="s">
        <v>792</v>
      </c>
    </row>
    <row r="4" spans="2:12">
      <c r="C4" s="1809" t="s">
        <v>793</v>
      </c>
      <c r="D4" s="1809"/>
      <c r="E4" s="1809"/>
      <c r="F4" s="1809"/>
      <c r="G4" s="1809"/>
      <c r="H4" s="1809"/>
      <c r="K4" s="1428" t="s">
        <v>794</v>
      </c>
      <c r="L4" s="1429">
        <v>4500</v>
      </c>
    </row>
    <row r="5" spans="2:12">
      <c r="K5" s="1430" t="s">
        <v>795</v>
      </c>
      <c r="L5" s="1431">
        <v>8200</v>
      </c>
    </row>
    <row r="6" spans="2:12" ht="15.75" thickBot="1">
      <c r="B6" s="1810" t="s">
        <v>796</v>
      </c>
      <c r="C6" s="1810"/>
      <c r="D6" s="1810"/>
      <c r="E6" s="1810"/>
      <c r="F6" s="1810"/>
      <c r="G6" s="1810"/>
      <c r="H6" s="1810"/>
      <c r="I6" s="1810"/>
      <c r="J6" s="1810"/>
      <c r="K6" s="1432" t="s">
        <v>797</v>
      </c>
      <c r="L6" s="1433">
        <v>17300</v>
      </c>
    </row>
    <row r="7" spans="2:12" ht="15.75" thickBot="1"/>
    <row r="8" spans="2:12" ht="15.75" thickBot="1">
      <c r="B8" s="1434" t="s">
        <v>735</v>
      </c>
      <c r="C8" s="1435" t="s">
        <v>798</v>
      </c>
      <c r="D8" s="1436" t="s">
        <v>3</v>
      </c>
      <c r="E8" s="1436" t="s">
        <v>799</v>
      </c>
      <c r="F8" s="1436" t="s">
        <v>800</v>
      </c>
      <c r="G8" s="1436" t="s">
        <v>801</v>
      </c>
      <c r="H8" s="1436" t="s">
        <v>802</v>
      </c>
      <c r="I8" s="1436" t="s">
        <v>713</v>
      </c>
      <c r="J8" s="1437" t="s">
        <v>802</v>
      </c>
    </row>
    <row r="9" spans="2:12" ht="15.75" hidden="1" thickBot="1">
      <c r="B9" s="1801" t="s">
        <v>736</v>
      </c>
      <c r="C9" s="1438" t="s">
        <v>444</v>
      </c>
      <c r="D9" s="1439" t="s">
        <v>447</v>
      </c>
      <c r="E9" s="1440">
        <v>8813</v>
      </c>
      <c r="F9" s="1440">
        <v>0</v>
      </c>
      <c r="G9" s="1440">
        <f>+E9-F9</f>
        <v>8813</v>
      </c>
      <c r="H9" s="1441">
        <f>+G9*12/$L$4</f>
        <v>23.501333333333335</v>
      </c>
      <c r="I9" s="1440">
        <f>+J9*$L$4/12</f>
        <v>9375</v>
      </c>
      <c r="J9" s="1442">
        <v>25</v>
      </c>
    </row>
    <row r="10" spans="2:12" ht="15.75" hidden="1" thickBot="1">
      <c r="B10" s="1801"/>
      <c r="C10" s="1443" t="s">
        <v>444</v>
      </c>
      <c r="D10" s="1444" t="s">
        <v>423</v>
      </c>
      <c r="E10" s="1445">
        <v>6605</v>
      </c>
      <c r="F10" s="1445">
        <v>0</v>
      </c>
      <c r="G10" s="1445">
        <f t="shared" ref="G10:G28" si="0">+E10-F10</f>
        <v>6605</v>
      </c>
      <c r="H10" s="1446">
        <f>+G10*12/$L$5</f>
        <v>9.6658536585365855</v>
      </c>
      <c r="I10" s="1445">
        <f>+J10*$L$5/12</f>
        <v>5466.666666666667</v>
      </c>
      <c r="J10" s="1447">
        <v>8</v>
      </c>
    </row>
    <row r="11" spans="2:12" ht="15.75" hidden="1" thickBot="1">
      <c r="B11" s="1801"/>
      <c r="C11" s="1448" t="s">
        <v>444</v>
      </c>
      <c r="D11" s="1449" t="s">
        <v>461</v>
      </c>
      <c r="E11" s="1450">
        <v>827</v>
      </c>
      <c r="F11" s="1450">
        <v>0</v>
      </c>
      <c r="G11" s="1450">
        <f t="shared" si="0"/>
        <v>827</v>
      </c>
      <c r="H11" s="1394">
        <f>+G11*12/$L$6</f>
        <v>0.57364161849710982</v>
      </c>
      <c r="I11" s="1450">
        <f>+J11*$L$6/12</f>
        <v>1441.6666666666667</v>
      </c>
      <c r="J11" s="1451">
        <v>1</v>
      </c>
    </row>
    <row r="12" spans="2:12" ht="15.75" hidden="1" thickBot="1">
      <c r="B12" s="1801"/>
      <c r="C12" s="1443" t="s">
        <v>785</v>
      </c>
      <c r="D12" s="1444" t="s">
        <v>447</v>
      </c>
      <c r="E12" s="1445">
        <v>1544</v>
      </c>
      <c r="F12" s="1445">
        <v>0</v>
      </c>
      <c r="G12" s="1445">
        <f t="shared" si="0"/>
        <v>1544</v>
      </c>
      <c r="H12" s="1446">
        <f>+G12*5.94/$L$4</f>
        <v>2.0380800000000003</v>
      </c>
      <c r="I12" s="1445">
        <f>+J12*$L$4/5.94</f>
        <v>2272.7272727272725</v>
      </c>
      <c r="J12" s="1447">
        <v>3</v>
      </c>
    </row>
    <row r="13" spans="2:12" ht="15.75" hidden="1" thickBot="1">
      <c r="B13" s="1801"/>
      <c r="C13" s="1448" t="s">
        <v>778</v>
      </c>
      <c r="D13" s="1449" t="s">
        <v>447</v>
      </c>
      <c r="E13" s="1450">
        <v>4513</v>
      </c>
      <c r="F13" s="1450">
        <v>0</v>
      </c>
      <c r="G13" s="1450">
        <f t="shared" si="0"/>
        <v>4513</v>
      </c>
      <c r="H13" s="1394">
        <f>+G13*6/$L$4</f>
        <v>6.0173333333333332</v>
      </c>
      <c r="I13" s="1450">
        <f>+J13*$L$4/6</f>
        <v>5250</v>
      </c>
      <c r="J13" s="1451">
        <v>7</v>
      </c>
    </row>
    <row r="14" spans="2:12" ht="15.75" hidden="1" thickBot="1">
      <c r="B14" s="1801"/>
      <c r="C14" s="1452" t="s">
        <v>595</v>
      </c>
      <c r="D14" s="1453" t="s">
        <v>461</v>
      </c>
      <c r="E14" s="1454">
        <v>0</v>
      </c>
      <c r="F14" s="1454">
        <v>0</v>
      </c>
      <c r="G14" s="1454">
        <f t="shared" si="0"/>
        <v>0</v>
      </c>
      <c r="H14" s="1455">
        <f>+G14*4.8/$L$6</f>
        <v>0</v>
      </c>
      <c r="I14" s="1454">
        <f>+J14*$L$6/4.8</f>
        <v>0</v>
      </c>
      <c r="J14" s="1456">
        <v>0</v>
      </c>
    </row>
    <row r="15" spans="2:12" ht="15.75" hidden="1" thickBot="1">
      <c r="B15" s="1801"/>
      <c r="C15" s="1802" t="s">
        <v>640</v>
      </c>
      <c r="D15" s="1803"/>
      <c r="E15" s="1803"/>
      <c r="F15" s="1803"/>
      <c r="G15" s="1804"/>
      <c r="H15" s="1457">
        <f>+H9+H10+H11+H12+H13+H14</f>
        <v>41.796241943700366</v>
      </c>
      <c r="I15" s="1458"/>
      <c r="J15" s="1437">
        <f>+J9+J10+J11+J12+J13+J14</f>
        <v>44</v>
      </c>
    </row>
    <row r="16" spans="2:12" ht="15.75" hidden="1" thickBot="1">
      <c r="B16" s="1801" t="s">
        <v>737</v>
      </c>
      <c r="C16" s="1459" t="s">
        <v>444</v>
      </c>
      <c r="D16" s="1460" t="s">
        <v>447</v>
      </c>
      <c r="E16" s="1461">
        <v>8282</v>
      </c>
      <c r="F16" s="1461"/>
      <c r="G16" s="1461">
        <f>+E16-F16</f>
        <v>8282</v>
      </c>
      <c r="H16" s="1461">
        <f>+G16*12/$L$4</f>
        <v>22.085333333333335</v>
      </c>
      <c r="I16" s="1461">
        <f>+J16*$L$4/12</f>
        <v>9000</v>
      </c>
      <c r="J16" s="1462">
        <v>24</v>
      </c>
    </row>
    <row r="17" spans="2:16" ht="15.75" hidden="1" thickBot="1">
      <c r="B17" s="1801"/>
      <c r="C17" s="1463" t="s">
        <v>444</v>
      </c>
      <c r="D17" s="1449" t="s">
        <v>423</v>
      </c>
      <c r="E17" s="1450">
        <v>6208</v>
      </c>
      <c r="F17" s="1450"/>
      <c r="G17" s="1450">
        <f t="shared" si="0"/>
        <v>6208</v>
      </c>
      <c r="H17" s="1450">
        <f>+G17*12/$L$5</f>
        <v>9.084878048780487</v>
      </c>
      <c r="I17" s="1450">
        <f>+J17*$L$5/12</f>
        <v>5466.666666666667</v>
      </c>
      <c r="J17" s="1464">
        <v>8</v>
      </c>
    </row>
    <row r="18" spans="2:16" ht="15.75" hidden="1" thickBot="1">
      <c r="B18" s="1801"/>
      <c r="C18" s="1463" t="s">
        <v>444</v>
      </c>
      <c r="D18" s="1449" t="s">
        <v>461</v>
      </c>
      <c r="E18" s="1450">
        <v>742</v>
      </c>
      <c r="F18" s="1450"/>
      <c r="G18" s="1450">
        <f t="shared" si="0"/>
        <v>742</v>
      </c>
      <c r="H18" s="1450">
        <f>+G18*12/$L$6</f>
        <v>0.51468208092485546</v>
      </c>
      <c r="I18" s="1450">
        <f>+J18*$L$6/12</f>
        <v>1441.6666666666667</v>
      </c>
      <c r="J18" s="1464">
        <v>1</v>
      </c>
    </row>
    <row r="19" spans="2:16" ht="15.75" hidden="1" thickBot="1">
      <c r="B19" s="1801"/>
      <c r="C19" s="1463" t="s">
        <v>785</v>
      </c>
      <c r="D19" s="1449" t="s">
        <v>447</v>
      </c>
      <c r="E19" s="1450">
        <v>1526</v>
      </c>
      <c r="F19" s="1450"/>
      <c r="G19" s="1450">
        <f t="shared" si="0"/>
        <v>1526</v>
      </c>
      <c r="H19" s="1450">
        <f>+G19*5.94/$L$4</f>
        <v>2.0143200000000001</v>
      </c>
      <c r="I19" s="1450">
        <f>+J19*$L$4/5.94</f>
        <v>2272.7272727272725</v>
      </c>
      <c r="J19" s="1464">
        <v>3</v>
      </c>
    </row>
    <row r="20" spans="2:16" ht="15.75" hidden="1" thickBot="1">
      <c r="B20" s="1801"/>
      <c r="C20" s="1463" t="s">
        <v>778</v>
      </c>
      <c r="D20" s="1449" t="s">
        <v>447</v>
      </c>
      <c r="E20" s="1450">
        <v>3428</v>
      </c>
      <c r="F20" s="1450"/>
      <c r="G20" s="1450">
        <f t="shared" si="0"/>
        <v>3428</v>
      </c>
      <c r="H20" s="1450">
        <f>+G20*6/$L$4</f>
        <v>4.5706666666666669</v>
      </c>
      <c r="I20" s="1450">
        <f>+J20*$L$4/6</f>
        <v>3750</v>
      </c>
      <c r="J20" s="1464">
        <v>5</v>
      </c>
    </row>
    <row r="21" spans="2:16" ht="15.75" hidden="1" thickBot="1">
      <c r="B21" s="1801"/>
      <c r="C21" s="1465" t="s">
        <v>595</v>
      </c>
      <c r="D21" s="1466" t="s">
        <v>461</v>
      </c>
      <c r="E21" s="1467">
        <v>0</v>
      </c>
      <c r="F21" s="1467"/>
      <c r="G21" s="1468">
        <f t="shared" si="0"/>
        <v>0</v>
      </c>
      <c r="H21" s="1450">
        <f>+G21*4.8/$L$6</f>
        <v>0</v>
      </c>
      <c r="I21" s="1467">
        <f>+J21*$L$6/4.8</f>
        <v>0</v>
      </c>
      <c r="J21" s="1469">
        <v>0</v>
      </c>
    </row>
    <row r="22" spans="2:16" ht="15.75" hidden="1" thickBot="1">
      <c r="B22" s="1801"/>
      <c r="C22" s="1802" t="s">
        <v>640</v>
      </c>
      <c r="D22" s="1803"/>
      <c r="E22" s="1803"/>
      <c r="F22" s="1803"/>
      <c r="G22" s="1804"/>
      <c r="H22" s="1470">
        <f>+H16+H17+H18+H19+H20+H21</f>
        <v>38.269880129705342</v>
      </c>
      <c r="I22" s="1458"/>
      <c r="J22" s="1471">
        <f>+J16+J17+J18+J19+J20+J21</f>
        <v>41</v>
      </c>
    </row>
    <row r="23" spans="2:16" ht="15.75" thickBot="1">
      <c r="B23" s="1801" t="s">
        <v>738</v>
      </c>
      <c r="C23" s="1459" t="s">
        <v>444</v>
      </c>
      <c r="D23" s="1460" t="s">
        <v>447</v>
      </c>
      <c r="E23" s="326">
        <v>9000</v>
      </c>
      <c r="F23" s="326"/>
      <c r="G23" s="326">
        <f t="shared" si="0"/>
        <v>9000</v>
      </c>
      <c r="H23" s="1461">
        <f>+G23*12/$L$4</f>
        <v>24</v>
      </c>
      <c r="I23" s="326">
        <f>+J23*$L$4/12</f>
        <v>9375</v>
      </c>
      <c r="J23" s="1462">
        <v>25</v>
      </c>
    </row>
    <row r="24" spans="2:16" ht="15.75" hidden="1" thickBot="1">
      <c r="B24" s="1801"/>
      <c r="C24" s="1463" t="s">
        <v>444</v>
      </c>
      <c r="D24" s="1449" t="s">
        <v>423</v>
      </c>
      <c r="E24" s="1472"/>
      <c r="F24" s="1472"/>
      <c r="G24" s="1472">
        <f t="shared" si="0"/>
        <v>0</v>
      </c>
      <c r="H24" s="1450">
        <f>+G24*12/$L$5</f>
        <v>0</v>
      </c>
      <c r="I24" s="1472">
        <f>+J24*$L$5/12</f>
        <v>683.33333333333337</v>
      </c>
      <c r="J24" s="1464">
        <v>1</v>
      </c>
    </row>
    <row r="25" spans="2:16" ht="15.75" thickBot="1">
      <c r="B25" s="1801"/>
      <c r="C25" s="1463" t="s">
        <v>444</v>
      </c>
      <c r="D25" s="1449" t="s">
        <v>461</v>
      </c>
      <c r="E25" s="1472">
        <v>2000</v>
      </c>
      <c r="F25" s="1472"/>
      <c r="G25" s="1472">
        <f t="shared" si="0"/>
        <v>2000</v>
      </c>
      <c r="H25" s="1450">
        <f>+G25*12/$L$6</f>
        <v>1.3872832369942196</v>
      </c>
      <c r="I25" s="1472">
        <f>+J25*$L$6/12</f>
        <v>1441.6666666666667</v>
      </c>
      <c r="J25" s="1464">
        <v>1</v>
      </c>
    </row>
    <row r="26" spans="2:16" ht="15.75" hidden="1" thickBot="1">
      <c r="B26" s="1801"/>
      <c r="C26" s="1463" t="s">
        <v>785</v>
      </c>
      <c r="D26" s="1449" t="s">
        <v>447</v>
      </c>
      <c r="E26" s="1472"/>
      <c r="F26" s="1472"/>
      <c r="G26" s="1472">
        <f t="shared" si="0"/>
        <v>0</v>
      </c>
      <c r="H26" s="1450">
        <f>+G26*5.94/$L$4</f>
        <v>0</v>
      </c>
      <c r="I26" s="1472">
        <f>+J26*$L$4/5.94</f>
        <v>5303.030303030303</v>
      </c>
      <c r="J26" s="1464">
        <v>7</v>
      </c>
      <c r="N26" s="1427" t="s">
        <v>3</v>
      </c>
      <c r="O26" s="1427" t="s">
        <v>713</v>
      </c>
      <c r="P26" s="1427" t="s">
        <v>1281</v>
      </c>
    </row>
    <row r="27" spans="2:16" ht="15.75" thickBot="1">
      <c r="B27" s="1801"/>
      <c r="C27" s="1463" t="s">
        <v>778</v>
      </c>
      <c r="D27" s="1449" t="s">
        <v>447</v>
      </c>
      <c r="E27" s="1472">
        <v>5000</v>
      </c>
      <c r="F27" s="1472"/>
      <c r="G27" s="1472">
        <f t="shared" si="0"/>
        <v>5000</v>
      </c>
      <c r="H27" s="1450">
        <f>+G27*6/$L$4</f>
        <v>6.666666666666667</v>
      </c>
      <c r="I27" s="1472">
        <f>+J27*$L$4/6</f>
        <v>5250</v>
      </c>
      <c r="J27" s="1464">
        <v>7</v>
      </c>
      <c r="N27" s="1608" t="s">
        <v>794</v>
      </c>
      <c r="O27" s="1608">
        <v>6000</v>
      </c>
      <c r="P27" s="1608" t="s">
        <v>105</v>
      </c>
    </row>
    <row r="28" spans="2:16" ht="15.75" thickBot="1">
      <c r="B28" s="1801"/>
      <c r="C28" s="1473" t="s">
        <v>595</v>
      </c>
      <c r="D28" s="1474" t="s">
        <v>461</v>
      </c>
      <c r="E28" s="1353">
        <v>2000</v>
      </c>
      <c r="F28" s="1353"/>
      <c r="G28" s="1353">
        <f t="shared" si="0"/>
        <v>2000</v>
      </c>
      <c r="H28" s="1468">
        <f>+G28*4.8/$L$4</f>
        <v>2.1333333333333333</v>
      </c>
      <c r="I28" s="1475">
        <f>+J28*$L$6/4.8</f>
        <v>3604.166666666667</v>
      </c>
      <c r="J28" s="1476">
        <v>1</v>
      </c>
      <c r="N28" s="1425" t="s">
        <v>1280</v>
      </c>
      <c r="O28" s="1425">
        <v>2300</v>
      </c>
      <c r="P28" s="1425" t="s">
        <v>1282</v>
      </c>
    </row>
    <row r="29" spans="2:16" ht="15.75" thickBot="1">
      <c r="B29" s="1801"/>
      <c r="C29" s="1802" t="s">
        <v>640</v>
      </c>
      <c r="D29" s="1803"/>
      <c r="E29" s="1803"/>
      <c r="F29" s="1803"/>
      <c r="G29" s="1804"/>
      <c r="H29" s="1457">
        <f>+H23+H24+H25+H26+H27+H28</f>
        <v>34.187283236994219</v>
      </c>
      <c r="I29" s="1458"/>
      <c r="J29" s="1642">
        <f>+J23+J25+J27+J28</f>
        <v>34</v>
      </c>
      <c r="N29" s="1425" t="s">
        <v>6</v>
      </c>
      <c r="O29" s="1425">
        <v>800</v>
      </c>
      <c r="P29" s="1425" t="s">
        <v>105</v>
      </c>
    </row>
    <row r="30" spans="2:16" ht="15.75" hidden="1" thickBot="1">
      <c r="B30" s="1805" t="s">
        <v>803</v>
      </c>
      <c r="C30" s="1805"/>
      <c r="D30" s="1805"/>
      <c r="E30" s="1805"/>
      <c r="F30" s="1805"/>
      <c r="G30" s="1805"/>
      <c r="H30" s="1805"/>
      <c r="I30" s="1805"/>
      <c r="J30" s="1807">
        <f>+J15+J22+J29</f>
        <v>119</v>
      </c>
      <c r="N30" s="1426" t="s">
        <v>7</v>
      </c>
      <c r="O30" s="1426">
        <v>12000</v>
      </c>
      <c r="P30" s="1426" t="s">
        <v>1283</v>
      </c>
    </row>
    <row r="31" spans="2:16" ht="15.75" hidden="1" thickBot="1">
      <c r="B31" s="1806"/>
      <c r="C31" s="1806"/>
      <c r="D31" s="1806"/>
      <c r="E31" s="1806"/>
      <c r="F31" s="1806"/>
      <c r="G31" s="1806"/>
      <c r="H31" s="1806"/>
      <c r="I31" s="1806"/>
      <c r="J31" s="1808"/>
    </row>
    <row r="36" spans="14:19" ht="15.75" thickBot="1"/>
    <row r="37" spans="14:19" ht="15.75" thickBot="1">
      <c r="N37" s="1800" t="s">
        <v>1359</v>
      </c>
      <c r="O37" s="1800"/>
      <c r="P37" s="1800"/>
      <c r="Q37" s="1800"/>
    </row>
    <row r="38" spans="14:19" ht="15.75" thickBot="1">
      <c r="N38" s="1423" t="s">
        <v>672</v>
      </c>
      <c r="O38" s="1423" t="s">
        <v>617</v>
      </c>
      <c r="P38" s="1423" t="s">
        <v>683</v>
      </c>
      <c r="Q38" s="1423" t="s">
        <v>1362</v>
      </c>
    </row>
    <row r="39" spans="14:19" ht="15.75" thickBot="1">
      <c r="N39" s="1643" t="s">
        <v>1360</v>
      </c>
      <c r="O39" s="1643">
        <v>302.39999999999998</v>
      </c>
      <c r="P39" s="1643">
        <v>2.7</v>
      </c>
      <c r="Q39" s="1643">
        <f>+O39/P39</f>
        <v>111.99999999999999</v>
      </c>
    </row>
    <row r="40" spans="14:19" ht="15.75" thickBot="1">
      <c r="N40" s="1643" t="s">
        <v>1361</v>
      </c>
      <c r="O40" s="1643">
        <f>1400</f>
        <v>1400</v>
      </c>
      <c r="P40" s="1643">
        <v>12.5</v>
      </c>
      <c r="Q40" s="1643">
        <f>+O40/P40</f>
        <v>112</v>
      </c>
    </row>
    <row r="43" spans="14:19" ht="15.75" thickBot="1"/>
    <row r="44" spans="14:19" ht="15.75" thickBot="1">
      <c r="N44" s="1800" t="s">
        <v>1359</v>
      </c>
      <c r="O44" s="1800"/>
      <c r="P44" s="1800"/>
      <c r="Q44" s="1800"/>
      <c r="R44" s="1800"/>
      <c r="S44" s="1800"/>
    </row>
    <row r="45" spans="14:19" ht="15.75" thickBot="1">
      <c r="N45" s="1423" t="s">
        <v>672</v>
      </c>
      <c r="O45" s="1423" t="s">
        <v>617</v>
      </c>
      <c r="P45" s="1643" t="s">
        <v>1363</v>
      </c>
      <c r="Q45" s="1643" t="s">
        <v>640</v>
      </c>
      <c r="R45" s="1423" t="s">
        <v>683</v>
      </c>
      <c r="S45" s="1423" t="s">
        <v>1362</v>
      </c>
    </row>
    <row r="46" spans="14:19" ht="15.75" thickBot="1">
      <c r="N46" s="1643" t="s">
        <v>1360</v>
      </c>
      <c r="O46" s="1643">
        <v>302.39999999999998</v>
      </c>
      <c r="P46" s="1643">
        <v>54</v>
      </c>
      <c r="Q46" s="1643">
        <f>+O46+P46</f>
        <v>356.4</v>
      </c>
      <c r="R46" s="1643">
        <v>2.7</v>
      </c>
      <c r="S46" s="1643">
        <f>+Q46/R46</f>
        <v>131.99999999999997</v>
      </c>
    </row>
    <row r="47" spans="14:19" ht="15.75" thickBot="1">
      <c r="N47" s="1643" t="s">
        <v>1361</v>
      </c>
      <c r="O47" s="1643">
        <f>1400</f>
        <v>1400</v>
      </c>
      <c r="P47" s="1643">
        <v>0</v>
      </c>
      <c r="Q47" s="1643">
        <f>+O47+P47</f>
        <v>1400</v>
      </c>
      <c r="R47" s="1643">
        <v>12.5</v>
      </c>
      <c r="S47" s="1643">
        <f>+Q47/R47</f>
        <v>112</v>
      </c>
    </row>
    <row r="49" spans="14:16">
      <c r="N49" s="1644" t="s">
        <v>1364</v>
      </c>
      <c r="O49" s="1644"/>
      <c r="P49" s="1644"/>
    </row>
  </sheetData>
  <mergeCells count="13">
    <mergeCell ref="B16:B22"/>
    <mergeCell ref="C22:G22"/>
    <mergeCell ref="C3:H3"/>
    <mergeCell ref="C4:H4"/>
    <mergeCell ref="B6:J6"/>
    <mergeCell ref="B9:B15"/>
    <mergeCell ref="C15:G15"/>
    <mergeCell ref="N37:Q37"/>
    <mergeCell ref="N44:S44"/>
    <mergeCell ref="B23:B29"/>
    <mergeCell ref="C29:G29"/>
    <mergeCell ref="B30:I31"/>
    <mergeCell ref="J30:J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B3385-B293-4992-8784-3611C94AC61F}">
  <sheetPr>
    <pageSetUpPr fitToPage="1"/>
  </sheetPr>
  <dimension ref="A1:F31"/>
  <sheetViews>
    <sheetView view="pageBreakPreview" zoomScale="60" zoomScaleNormal="100" workbookViewId="0">
      <pane xSplit="1" ySplit="1" topLeftCell="B2" activePane="bottomRight" state="frozen"/>
      <selection pane="topRight"/>
      <selection pane="bottomLeft"/>
      <selection pane="bottomRight" activeCell="I13" sqref="I13"/>
    </sheetView>
  </sheetViews>
  <sheetFormatPr baseColWidth="10" defaultColWidth="9.140625" defaultRowHeight="15"/>
  <cols>
    <col min="1" max="1" width="81.42578125" style="1480" bestFit="1" customWidth="1"/>
    <col min="2" max="2" width="28.85546875" style="1480" bestFit="1" customWidth="1"/>
    <col min="3" max="3" width="33.7109375" style="1480" bestFit="1" customWidth="1"/>
    <col min="4" max="4" width="14.42578125" style="1480" bestFit="1" customWidth="1"/>
    <col min="5" max="5" width="0.42578125" style="1480" customWidth="1"/>
    <col min="6" max="6" width="9.140625" style="1480" hidden="1" customWidth="1"/>
    <col min="7" max="16384" width="9.140625" style="1480"/>
  </cols>
  <sheetData>
    <row r="1" spans="1:4" ht="29.25" thickBot="1">
      <c r="A1" s="1815" t="s">
        <v>1358</v>
      </c>
      <c r="B1" s="1816"/>
      <c r="C1" s="1816"/>
      <c r="D1" s="1817"/>
    </row>
    <row r="2" spans="1:4" s="1628" customFormat="1" ht="19.5" thickBot="1">
      <c r="A2" s="1629" t="s">
        <v>1312</v>
      </c>
      <c r="B2" s="1629" t="s">
        <v>616</v>
      </c>
      <c r="C2" s="1629" t="s">
        <v>1302</v>
      </c>
      <c r="D2" s="1629" t="s">
        <v>640</v>
      </c>
    </row>
    <row r="3" spans="1:4" s="1628" customFormat="1" ht="18.75">
      <c r="A3" s="1630" t="s">
        <v>1286</v>
      </c>
      <c r="B3" s="1631" t="s">
        <v>1303</v>
      </c>
      <c r="C3" s="1631" t="s">
        <v>1323</v>
      </c>
      <c r="D3" s="1631">
        <f>34920+8444+34790+35145</f>
        <v>113299</v>
      </c>
    </row>
    <row r="4" spans="1:4" s="1628" customFormat="1" ht="19.5" thickBot="1">
      <c r="A4" s="1632" t="s">
        <v>1287</v>
      </c>
      <c r="B4" s="1633" t="s">
        <v>1334</v>
      </c>
      <c r="C4" s="1633" t="s">
        <v>1324</v>
      </c>
      <c r="D4" s="1633">
        <f>28852+34625</f>
        <v>63477</v>
      </c>
    </row>
    <row r="5" spans="1:4" s="1628" customFormat="1" ht="18.75">
      <c r="A5" s="1813" t="s">
        <v>1288</v>
      </c>
      <c r="B5" s="1634" t="s">
        <v>1335</v>
      </c>
      <c r="C5" s="1634">
        <v>20845</v>
      </c>
      <c r="D5" s="1811">
        <f>20845+35250+14196+34750</f>
        <v>105041</v>
      </c>
    </row>
    <row r="6" spans="1:4" s="1628" customFormat="1" ht="19.5" thickBot="1">
      <c r="A6" s="1814"/>
      <c r="B6" s="1635" t="s">
        <v>1304</v>
      </c>
      <c r="C6" s="1635" t="s">
        <v>1336</v>
      </c>
      <c r="D6" s="1812"/>
    </row>
    <row r="7" spans="1:4" s="1628" customFormat="1" ht="18.75">
      <c r="A7" s="1636" t="s">
        <v>1273</v>
      </c>
      <c r="B7" s="1637" t="s">
        <v>1337</v>
      </c>
      <c r="C7" s="1637">
        <v>35700</v>
      </c>
      <c r="D7" s="1637">
        <v>35700</v>
      </c>
    </row>
    <row r="8" spans="1:4" s="1628" customFormat="1" ht="18.75">
      <c r="A8" s="1638" t="s">
        <v>1316</v>
      </c>
      <c r="B8" s="1639" t="s">
        <v>1338</v>
      </c>
      <c r="C8" s="1639" t="s">
        <v>1325</v>
      </c>
      <c r="D8" s="1639">
        <f>2193+34525</f>
        <v>36718</v>
      </c>
    </row>
    <row r="9" spans="1:4" s="1628" customFormat="1" ht="18.75">
      <c r="A9" s="1638" t="s">
        <v>1289</v>
      </c>
      <c r="B9" s="1639" t="s">
        <v>1305</v>
      </c>
      <c r="C9" s="1639">
        <v>10562</v>
      </c>
      <c r="D9" s="1639">
        <v>10562</v>
      </c>
    </row>
    <row r="10" spans="1:4" s="1628" customFormat="1" ht="18.75">
      <c r="A10" s="1638" t="s">
        <v>1285</v>
      </c>
      <c r="B10" s="1639" t="s">
        <v>1306</v>
      </c>
      <c r="C10" s="1639">
        <v>13803</v>
      </c>
      <c r="D10" s="1639">
        <v>13809</v>
      </c>
    </row>
    <row r="11" spans="1:4" s="1628" customFormat="1" ht="18.75">
      <c r="A11" s="1638" t="s">
        <v>1275</v>
      </c>
      <c r="B11" s="1639" t="s">
        <v>1307</v>
      </c>
      <c r="C11" s="1639">
        <v>4105</v>
      </c>
      <c r="D11" s="1639">
        <v>4105</v>
      </c>
    </row>
    <row r="12" spans="1:4" s="1628" customFormat="1" ht="18.75">
      <c r="A12" s="1638" t="s">
        <v>1290</v>
      </c>
      <c r="B12" s="1639" t="s">
        <v>1339</v>
      </c>
      <c r="C12" s="1639" t="s">
        <v>1355</v>
      </c>
      <c r="D12" s="1639">
        <f>111250+107840+42108</f>
        <v>261198</v>
      </c>
    </row>
    <row r="13" spans="1:4" s="1628" customFormat="1" ht="18.75">
      <c r="A13" s="1638" t="s">
        <v>1317</v>
      </c>
      <c r="B13" s="1639" t="s">
        <v>1340</v>
      </c>
      <c r="C13" s="1639" t="s">
        <v>1326</v>
      </c>
      <c r="D13" s="1639">
        <f>18536+34905</f>
        <v>53441</v>
      </c>
    </row>
    <row r="14" spans="1:4" s="1628" customFormat="1" ht="18.75">
      <c r="A14" s="1638" t="s">
        <v>1318</v>
      </c>
      <c r="B14" s="1639" t="s">
        <v>1341</v>
      </c>
      <c r="C14" s="1639">
        <v>57734</v>
      </c>
      <c r="D14" s="1639">
        <v>57734</v>
      </c>
    </row>
    <row r="15" spans="1:4" s="1628" customFormat="1" ht="18.75">
      <c r="A15" s="1638" t="s">
        <v>1314</v>
      </c>
      <c r="B15" s="1639" t="s">
        <v>1342</v>
      </c>
      <c r="C15" s="1639" t="s">
        <v>1327</v>
      </c>
      <c r="D15" s="1639">
        <f>128065+33379</f>
        <v>161444</v>
      </c>
    </row>
    <row r="16" spans="1:4" s="1628" customFormat="1" ht="18.75">
      <c r="A16" s="1638" t="s">
        <v>1319</v>
      </c>
      <c r="B16" s="1639" t="s">
        <v>1343</v>
      </c>
      <c r="C16" s="1639" t="s">
        <v>1328</v>
      </c>
      <c r="D16" s="1639">
        <f>135045+103397</f>
        <v>238442</v>
      </c>
    </row>
    <row r="17" spans="1:4" s="1628" customFormat="1" ht="18.75">
      <c r="A17" s="1638" t="s">
        <v>1291</v>
      </c>
      <c r="B17" s="1639" t="s">
        <v>1308</v>
      </c>
      <c r="C17" s="1639">
        <v>52343</v>
      </c>
      <c r="D17" s="1639">
        <v>52343</v>
      </c>
    </row>
    <row r="18" spans="1:4" s="1628" customFormat="1" ht="18.75">
      <c r="A18" s="1638" t="s">
        <v>1320</v>
      </c>
      <c r="B18" s="1639" t="s">
        <v>1344</v>
      </c>
      <c r="C18" s="1639">
        <v>39448</v>
      </c>
      <c r="D18" s="1639">
        <v>39448</v>
      </c>
    </row>
    <row r="19" spans="1:4" s="1628" customFormat="1" ht="19.5" thickBot="1">
      <c r="A19" s="1632" t="s">
        <v>1321</v>
      </c>
      <c r="B19" s="1633" t="s">
        <v>1345</v>
      </c>
      <c r="C19" s="1633">
        <v>275000</v>
      </c>
      <c r="D19" s="1633">
        <v>275000</v>
      </c>
    </row>
    <row r="20" spans="1:4" s="1628" customFormat="1" ht="18.75">
      <c r="A20" s="1813" t="s">
        <v>1292</v>
      </c>
      <c r="B20" s="1631" t="s">
        <v>1346</v>
      </c>
      <c r="C20" s="1631">
        <v>300000</v>
      </c>
      <c r="D20" s="1811">
        <f>300000+31956</f>
        <v>331956</v>
      </c>
    </row>
    <row r="21" spans="1:4" s="1628" customFormat="1" ht="19.5" thickBot="1">
      <c r="A21" s="1814"/>
      <c r="B21" s="1640" t="s">
        <v>1347</v>
      </c>
      <c r="C21" s="1640">
        <v>31956</v>
      </c>
      <c r="D21" s="1812"/>
    </row>
    <row r="22" spans="1:4" s="1628" customFormat="1" ht="18.75">
      <c r="A22" s="1636" t="s">
        <v>1293</v>
      </c>
      <c r="B22" s="1637" t="s">
        <v>1348</v>
      </c>
      <c r="C22" s="1637" t="s">
        <v>1357</v>
      </c>
      <c r="D22" s="1637">
        <f>8000+1499</f>
        <v>9499</v>
      </c>
    </row>
    <row r="23" spans="1:4" s="1628" customFormat="1" ht="18.75">
      <c r="A23" s="1638" t="s">
        <v>1294</v>
      </c>
      <c r="B23" s="1639" t="s">
        <v>1349</v>
      </c>
      <c r="C23" s="1639" t="s">
        <v>1329</v>
      </c>
      <c r="D23" s="1639">
        <f>1135+11150</f>
        <v>12285</v>
      </c>
    </row>
    <row r="24" spans="1:4" s="1628" customFormat="1" ht="18.75">
      <c r="A24" s="1638" t="s">
        <v>1322</v>
      </c>
      <c r="B24" s="1639" t="s">
        <v>1350</v>
      </c>
      <c r="C24" s="1639" t="s">
        <v>1330</v>
      </c>
      <c r="D24" s="1639">
        <f>1307+11200</f>
        <v>12507</v>
      </c>
    </row>
    <row r="25" spans="1:4" s="1628" customFormat="1" ht="18.75">
      <c r="A25" s="1638" t="s">
        <v>1295</v>
      </c>
      <c r="B25" s="1639" t="s">
        <v>1309</v>
      </c>
      <c r="C25" s="1639" t="s">
        <v>1356</v>
      </c>
      <c r="D25" s="1639">
        <f>54.15+2.439+3.902+2.439</f>
        <v>62.93</v>
      </c>
    </row>
    <row r="26" spans="1:4" s="1628" customFormat="1" ht="18.75">
      <c r="A26" s="1638" t="s">
        <v>1296</v>
      </c>
      <c r="B26" s="1639" t="s">
        <v>1351</v>
      </c>
      <c r="C26" s="1639">
        <v>177.64</v>
      </c>
      <c r="D26" s="1639">
        <v>177.64</v>
      </c>
    </row>
    <row r="27" spans="1:4" s="1628" customFormat="1" ht="18.75">
      <c r="A27" s="1638" t="s">
        <v>1297</v>
      </c>
      <c r="B27" s="1639" t="s">
        <v>1352</v>
      </c>
      <c r="C27" s="1639">
        <v>12</v>
      </c>
      <c r="D27" s="1639">
        <v>12</v>
      </c>
    </row>
    <row r="28" spans="1:4" s="1628" customFormat="1" ht="18.75">
      <c r="A28" s="1638" t="s">
        <v>1298</v>
      </c>
      <c r="B28" s="1639" t="s">
        <v>1310</v>
      </c>
      <c r="C28" s="1639">
        <v>64</v>
      </c>
      <c r="D28" s="1639">
        <v>64</v>
      </c>
    </row>
    <row r="29" spans="1:4" s="1628" customFormat="1" ht="18.75">
      <c r="A29" s="1638" t="s">
        <v>1299</v>
      </c>
      <c r="B29" s="1639" t="s">
        <v>1353</v>
      </c>
      <c r="C29" s="1639" t="s">
        <v>1331</v>
      </c>
      <c r="D29" s="1639">
        <f>20.9+5+5</f>
        <v>30.9</v>
      </c>
    </row>
    <row r="30" spans="1:4" s="1628" customFormat="1" ht="18.75">
      <c r="A30" s="1638" t="s">
        <v>1300</v>
      </c>
      <c r="B30" s="1639" t="s">
        <v>1311</v>
      </c>
      <c r="C30" s="1639" t="s">
        <v>1332</v>
      </c>
      <c r="D30" s="1639">
        <f>46.9+5*3</f>
        <v>61.9</v>
      </c>
    </row>
    <row r="31" spans="1:4" s="1628" customFormat="1" ht="19.5" thickBot="1">
      <c r="A31" s="1641" t="s">
        <v>1301</v>
      </c>
      <c r="B31" s="1640" t="s">
        <v>1354</v>
      </c>
      <c r="C31" s="1640" t="s">
        <v>1333</v>
      </c>
      <c r="D31" s="1640">
        <f>48+6+6</f>
        <v>60</v>
      </c>
    </row>
  </sheetData>
  <mergeCells count="5">
    <mergeCell ref="D5:D6"/>
    <mergeCell ref="A20:A21"/>
    <mergeCell ref="D20:D21"/>
    <mergeCell ref="A1:D1"/>
    <mergeCell ref="A5:A6"/>
  </mergeCells>
  <pageMargins left="0.5" right="0.5" top="0.5" bottom="0.5" header="0.3" footer="0.3"/>
  <pageSetup scale="80" orientation="landscape" blackAndWhite="1" r:id="rId1"/>
  <headerFooter>
    <oddHeader>&amp;RPage &amp;P of &amp;N</oddHeader>
    <oddFooter>&amp;CdSanchez (EE-00043-Analista de Producción) @ Industrias Maros C.A.PLANTA CABUDARE [localhost{192.168.10.157-NATULAC_PROD-adempiere}]&amp;LPowered by ADempiere ERP®&amp;R23 abr. 2026 12:42:47 p. m. VET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A66FE-F3AC-436E-AB8D-46F0D9AF6A0E}">
  <sheetPr codeName="Hoja12">
    <pageSetUpPr fitToPage="1"/>
  </sheetPr>
  <dimension ref="A1:O20"/>
  <sheetViews>
    <sheetView view="pageBreakPreview" zoomScale="25" zoomScaleNormal="42" zoomScaleSheetLayoutView="25" workbookViewId="0">
      <selection activeCell="B18" sqref="B3:I19"/>
    </sheetView>
  </sheetViews>
  <sheetFormatPr baseColWidth="10" defaultColWidth="11" defaultRowHeight="15"/>
  <cols>
    <col min="2" max="2" width="65.140625" style="171" customWidth="1"/>
    <col min="3" max="3" width="111.140625" customWidth="1"/>
    <col min="4" max="4" width="58.42578125" bestFit="1" customWidth="1"/>
    <col min="5" max="5" width="98.5703125" customWidth="1"/>
    <col min="6" max="6" width="115.42578125" customWidth="1"/>
    <col min="7" max="7" width="102" customWidth="1"/>
    <col min="8" max="8" width="87.5703125" bestFit="1" customWidth="1"/>
    <col min="9" max="9" width="94.140625" customWidth="1"/>
    <col min="10" max="10" width="100.5703125" customWidth="1"/>
    <col min="11" max="11" width="132" customWidth="1"/>
    <col min="12" max="12" width="74.140625" customWidth="1"/>
    <col min="13" max="13" width="73.7109375" customWidth="1"/>
  </cols>
  <sheetData>
    <row r="1" spans="1:15" ht="137.25" customHeight="1">
      <c r="A1" s="1166"/>
      <c r="B1" s="1831" t="s">
        <v>72</v>
      </c>
      <c r="C1" s="1831"/>
      <c r="D1" s="1831"/>
      <c r="E1" s="1831"/>
      <c r="F1" s="1831"/>
      <c r="G1" s="1831"/>
      <c r="H1" s="1831"/>
      <c r="I1" s="1831"/>
      <c r="J1" s="1166"/>
      <c r="K1" s="1166"/>
      <c r="L1" s="1166"/>
      <c r="M1" s="1167"/>
      <c r="N1" s="1167"/>
      <c r="O1" s="1167"/>
    </row>
    <row r="2" spans="1:15" ht="15" customHeight="1" thickBot="1">
      <c r="A2" s="1166"/>
      <c r="B2" s="1297"/>
      <c r="C2" s="1166"/>
      <c r="D2" s="1166"/>
      <c r="E2" s="1166"/>
      <c r="F2" s="1166"/>
      <c r="G2" s="1166"/>
      <c r="H2" s="1166"/>
      <c r="I2" s="1166"/>
      <c r="J2" s="1166"/>
      <c r="K2" s="1166"/>
      <c r="L2" s="1166"/>
    </row>
    <row r="3" spans="1:15" s="171" customFormat="1" ht="199.5" customHeight="1" thickBot="1">
      <c r="B3" s="1343" t="s">
        <v>73</v>
      </c>
      <c r="C3" s="1340" t="s">
        <v>70</v>
      </c>
      <c r="D3" s="1613" t="str">
        <f>+'CIERRES SEGREGADO T'!D3</f>
        <v>MANZANA CLASICA 27</v>
      </c>
      <c r="E3" s="1614" t="str">
        <f>+'CIERRES SEGREGADO T'!E3</f>
        <v>PERA CLASICA 19</v>
      </c>
      <c r="F3" s="1613" t="str">
        <f>+'CIERRES SEGREGADO T'!F3</f>
        <v>JUCOSA PERA 1 TAMBOR</v>
      </c>
      <c r="G3" s="1613" t="str">
        <f>+'CIERRES SEGREGADO T'!G3</f>
        <v>JUCOSA MANZANA 2 TAMBOR</v>
      </c>
      <c r="H3" s="1613" t="str">
        <f>+'CIERRES SEGREGADO T'!J3</f>
        <v xml:space="preserve"> DURAZNO 1 TAMBOR</v>
      </c>
      <c r="I3" s="1186" t="s">
        <v>23</v>
      </c>
      <c r="J3" s="1799"/>
      <c r="K3" s="1799"/>
      <c r="L3" s="1169"/>
      <c r="M3" s="1169"/>
    </row>
    <row r="4" spans="1:15" s="171" customFormat="1" ht="165.75" hidden="1" customHeight="1" thickBot="1">
      <c r="B4" s="1344" t="s">
        <v>730</v>
      </c>
      <c r="C4" s="1341" t="s">
        <v>74</v>
      </c>
      <c r="D4" s="1334">
        <v>114.4</v>
      </c>
      <c r="E4" s="1334">
        <v>176.70000000000002</v>
      </c>
      <c r="F4" s="1334"/>
      <c r="G4" s="1335"/>
      <c r="H4" s="1269"/>
      <c r="I4" s="1187">
        <f>+D4+E4+F4+H4+G4</f>
        <v>291.10000000000002</v>
      </c>
      <c r="J4" s="1173"/>
      <c r="K4" s="1174"/>
      <c r="L4" s="1174"/>
      <c r="M4" s="1174"/>
    </row>
    <row r="5" spans="1:15" s="171" customFormat="1" ht="165.75" hidden="1" customHeight="1" thickBot="1">
      <c r="B5" s="1345" t="s">
        <v>731</v>
      </c>
      <c r="C5" s="1342" t="s">
        <v>75</v>
      </c>
      <c r="D5" s="1334">
        <v>140.80000000000001</v>
      </c>
      <c r="E5" s="1334">
        <v>148.20000000000002</v>
      </c>
      <c r="F5" s="1334"/>
      <c r="G5" s="1335"/>
      <c r="H5" s="1270"/>
      <c r="I5" s="1281">
        <f>+D5+E5+F5+G5</f>
        <v>289</v>
      </c>
      <c r="J5" s="1173"/>
      <c r="K5" s="1174"/>
      <c r="L5" s="1174"/>
      <c r="M5" s="1174"/>
    </row>
    <row r="6" spans="1:15" s="171" customFormat="1" ht="165.75" hidden="1" customHeight="1" thickBot="1">
      <c r="B6" s="1345" t="s">
        <v>755</v>
      </c>
      <c r="C6" s="1342" t="s">
        <v>76</v>
      </c>
      <c r="D6" s="1334">
        <v>220</v>
      </c>
      <c r="E6" s="1334">
        <v>285</v>
      </c>
      <c r="F6" s="1334"/>
      <c r="G6" s="1335"/>
      <c r="H6" s="1270"/>
      <c r="I6" s="1189">
        <f>+D6+E6+F6+G6</f>
        <v>505</v>
      </c>
      <c r="J6" s="1173"/>
      <c r="K6" s="1174"/>
      <c r="L6" s="1174"/>
      <c r="M6" s="1174"/>
    </row>
    <row r="7" spans="1:15" s="171" customFormat="1" ht="165.75" hidden="1" customHeight="1" thickBot="1">
      <c r="B7" s="1345" t="s">
        <v>732</v>
      </c>
      <c r="C7" s="1342" t="s">
        <v>77</v>
      </c>
      <c r="D7" s="1334">
        <v>50.599999999999994</v>
      </c>
      <c r="E7" s="1336">
        <v>62.13</v>
      </c>
      <c r="F7" s="1334"/>
      <c r="G7" s="1337"/>
      <c r="H7" s="1270"/>
      <c r="I7" s="1187">
        <f>+D7+E7+F7+G7</f>
        <v>112.72999999999999</v>
      </c>
      <c r="J7" s="1173"/>
      <c r="K7" s="1174"/>
      <c r="L7" s="1174"/>
      <c r="M7" s="1174"/>
    </row>
    <row r="8" spans="1:15" s="171" customFormat="1" ht="165.75" hidden="1" customHeight="1" thickBot="1">
      <c r="B8" s="1346" t="s">
        <v>756</v>
      </c>
      <c r="C8" s="1342" t="s">
        <v>648</v>
      </c>
      <c r="D8" s="1381"/>
      <c r="E8" s="1336" t="s">
        <v>734</v>
      </c>
      <c r="F8" s="1336"/>
      <c r="G8" s="1339"/>
      <c r="H8" s="1270"/>
      <c r="I8" s="1187">
        <v>45.6</v>
      </c>
      <c r="J8" s="1173"/>
      <c r="K8" s="1174"/>
      <c r="L8" s="1174"/>
      <c r="M8" s="1174"/>
    </row>
    <row r="9" spans="1:15" s="171" customFormat="1" ht="165.75" hidden="1" customHeight="1" thickBot="1">
      <c r="B9" s="1346" t="s">
        <v>733</v>
      </c>
      <c r="C9" s="1342" t="s">
        <v>649</v>
      </c>
      <c r="D9" s="1338">
        <v>32.56</v>
      </c>
      <c r="E9" s="1338"/>
      <c r="F9" s="1338"/>
      <c r="G9" s="1378"/>
      <c r="H9" s="1188"/>
      <c r="I9" s="1187">
        <f>+D9+E9+F9+G9</f>
        <v>32.56</v>
      </c>
      <c r="J9" s="1173"/>
      <c r="K9" s="1174"/>
      <c r="L9" s="1174"/>
      <c r="M9" s="1174"/>
    </row>
    <row r="10" spans="1:15" s="171" customFormat="1" ht="165.75" hidden="1" customHeight="1" thickBot="1">
      <c r="B10" s="1346" t="s">
        <v>758</v>
      </c>
      <c r="C10" s="1342" t="s">
        <v>757</v>
      </c>
      <c r="D10" s="1412"/>
      <c r="E10" s="1413"/>
      <c r="F10" s="1413"/>
      <c r="G10" s="1412"/>
      <c r="H10" s="1299"/>
      <c r="I10" s="1187"/>
      <c r="J10" s="1173"/>
      <c r="K10" s="1174"/>
      <c r="L10" s="1174"/>
      <c r="M10" s="1174"/>
    </row>
    <row r="11" spans="1:15" s="171" customFormat="1" ht="146.25" hidden="1" customHeight="1" thickBot="1">
      <c r="B11" s="1346" t="s">
        <v>647</v>
      </c>
      <c r="C11" s="1342" t="s">
        <v>588</v>
      </c>
      <c r="D11" s="1298"/>
      <c r="E11" s="1188"/>
      <c r="F11" s="1188"/>
      <c r="G11" s="1299"/>
      <c r="H11" s="1299"/>
      <c r="I11" s="1187">
        <f>SUM(D11:H11)</f>
        <v>0</v>
      </c>
      <c r="J11" s="1173"/>
      <c r="K11" s="1174"/>
      <c r="L11" s="1174"/>
      <c r="M11" s="1174"/>
    </row>
    <row r="12" spans="1:15" s="171" customFormat="1" ht="12" hidden="1" customHeight="1">
      <c r="B12" s="1818" t="s">
        <v>690</v>
      </c>
      <c r="C12" s="1820" t="s">
        <v>646</v>
      </c>
      <c r="D12" s="1832">
        <v>2.0575999999999999</v>
      </c>
      <c r="E12" s="1833">
        <v>2.0575999999999999</v>
      </c>
      <c r="F12" s="1833">
        <v>2.0575999999999999</v>
      </c>
      <c r="G12" s="1833">
        <v>2.0575999999999999</v>
      </c>
      <c r="H12" s="1834">
        <v>2.0575999999999999</v>
      </c>
      <c r="I12" s="1838">
        <f>+D12+I7</f>
        <v>114.78759999999998</v>
      </c>
      <c r="J12" s="1173"/>
      <c r="K12" s="1174"/>
      <c r="L12" s="1174"/>
      <c r="M12" s="1174"/>
    </row>
    <row r="13" spans="1:15" s="171" customFormat="1" ht="114" hidden="1" customHeight="1" thickBot="1">
      <c r="B13" s="1819"/>
      <c r="C13" s="1819"/>
      <c r="D13" s="1835">
        <v>2.0575999999999999</v>
      </c>
      <c r="E13" s="1836">
        <v>2.0575999999999999</v>
      </c>
      <c r="F13" s="1836">
        <v>2.0575999999999999</v>
      </c>
      <c r="G13" s="1836">
        <v>2.0575999999999999</v>
      </c>
      <c r="H13" s="1837">
        <v>2.0575999999999999</v>
      </c>
      <c r="I13" s="1839"/>
      <c r="J13" s="1173"/>
      <c r="K13" s="1174"/>
      <c r="L13" s="1174"/>
      <c r="M13" s="1174"/>
    </row>
    <row r="14" spans="1:15" s="171" customFormat="1" ht="55.5" hidden="1" customHeight="1">
      <c r="B14" s="1818" t="s">
        <v>727</v>
      </c>
      <c r="C14" s="1820" t="s">
        <v>80</v>
      </c>
      <c r="D14" s="1821" t="s">
        <v>729</v>
      </c>
      <c r="E14" s="1822"/>
      <c r="F14" s="1822"/>
      <c r="G14" s="1822"/>
      <c r="H14" s="1823"/>
      <c r="I14" s="1827">
        <f>25+23.6</f>
        <v>48.6</v>
      </c>
      <c r="J14" s="1173"/>
      <c r="K14" s="1174"/>
      <c r="L14" s="1174"/>
      <c r="M14" s="1174"/>
    </row>
    <row r="15" spans="1:15" s="171" customFormat="1" ht="43.5" hidden="1" customHeight="1" thickBot="1">
      <c r="B15" s="1819"/>
      <c r="C15" s="1819"/>
      <c r="D15" s="1824"/>
      <c r="E15" s="1825"/>
      <c r="F15" s="1825"/>
      <c r="G15" s="1825"/>
      <c r="H15" s="1826"/>
      <c r="I15" s="1828"/>
      <c r="J15" s="1173"/>
      <c r="K15" s="1174"/>
      <c r="L15" s="1174"/>
      <c r="M15" s="1174"/>
    </row>
    <row r="16" spans="1:15" s="171" customFormat="1" ht="66.75" hidden="1" customHeight="1" thickBot="1">
      <c r="B16" s="1818" t="s">
        <v>701</v>
      </c>
      <c r="C16" s="1818" t="s">
        <v>81</v>
      </c>
      <c r="D16" s="1829" t="s">
        <v>728</v>
      </c>
      <c r="E16" s="1829"/>
      <c r="F16" s="1829"/>
      <c r="G16" s="1829"/>
      <c r="H16" s="1829"/>
      <c r="I16" s="1830">
        <f>6000+950</f>
        <v>6950</v>
      </c>
      <c r="J16" s="1173"/>
      <c r="K16" s="1169"/>
      <c r="L16" s="1169"/>
      <c r="M16" s="1169"/>
    </row>
    <row r="17" spans="2:13" s="171" customFormat="1" ht="165.75" hidden="1" customHeight="1" thickBot="1">
      <c r="B17" s="1819"/>
      <c r="C17" s="1819"/>
      <c r="D17" s="1829"/>
      <c r="E17" s="1829"/>
      <c r="F17" s="1829"/>
      <c r="G17" s="1829"/>
      <c r="H17" s="1829"/>
      <c r="I17" s="1830"/>
      <c r="J17" s="1173"/>
      <c r="K17" s="1799"/>
      <c r="L17" s="1799"/>
      <c r="M17" s="1799"/>
    </row>
    <row r="18" spans="2:13" ht="99.95" customHeight="1" thickBot="1">
      <c r="B18" s="1344" t="s">
        <v>759</v>
      </c>
      <c r="C18" s="1191" t="s">
        <v>82</v>
      </c>
      <c r="D18" s="1348">
        <f>+'CIERRES SEGREGADO T'!D23</f>
        <v>3.4830000000000001</v>
      </c>
      <c r="E18" s="1348">
        <f>+'CIERRES SEGREGADO T'!E23</f>
        <v>2.7359999999999998</v>
      </c>
      <c r="F18" s="1348">
        <f>+'CIERRES SEGREGADO T'!F23</f>
        <v>0.58699999999999997</v>
      </c>
      <c r="G18" s="1348">
        <f>+'CIERRES SEGREGADO T'!G23</f>
        <v>1.61</v>
      </c>
      <c r="H18" s="1348">
        <f>+'CIERRES SEGREGADO T'!J23</f>
        <v>7.9000000000000001E-2</v>
      </c>
      <c r="I18" s="1382">
        <f>SUM(D18:H18)</f>
        <v>8.4949999999999992</v>
      </c>
      <c r="J18" s="1349"/>
      <c r="K18" s="1185"/>
      <c r="L18" s="1185"/>
      <c r="M18" s="1185"/>
    </row>
    <row r="19" spans="2:13" ht="99.95" customHeight="1" thickBot="1">
      <c r="B19" s="1344" t="s">
        <v>760</v>
      </c>
      <c r="C19" s="1193" t="s">
        <v>83</v>
      </c>
      <c r="D19" s="1348">
        <f>+'CIERRES SEGREGADO T'!D24</f>
        <v>3.4830000000000001</v>
      </c>
      <c r="E19" s="1348">
        <f>+'CIERRES SEGREGADO T'!E24</f>
        <v>3.1350000000000002</v>
      </c>
      <c r="F19" s="1348">
        <f>+'CIERRES SEGREGADO T'!F24</f>
        <v>0.68300000000000005</v>
      </c>
      <c r="G19" s="1348">
        <f>+'CIERRES SEGREGADO T'!G24</f>
        <v>1.84</v>
      </c>
      <c r="H19" s="1348">
        <f>+'CIERRES SEGREGADO T'!J24</f>
        <v>8.5999999999999993E-2</v>
      </c>
      <c r="I19" s="1276">
        <f>SUM(D19:H19)</f>
        <v>9.2270000000000003</v>
      </c>
      <c r="J19" s="1349"/>
      <c r="K19" s="1185"/>
      <c r="L19" s="1185"/>
      <c r="M19" s="1185"/>
    </row>
    <row r="20" spans="2:13" ht="93" thickBot="1">
      <c r="D20" s="1348"/>
      <c r="I20" s="1195"/>
    </row>
  </sheetData>
  <mergeCells count="15">
    <mergeCell ref="B1:I1"/>
    <mergeCell ref="J3:K3"/>
    <mergeCell ref="B12:B13"/>
    <mergeCell ref="C12:C13"/>
    <mergeCell ref="D12:H13"/>
    <mergeCell ref="I12:I13"/>
    <mergeCell ref="K17:M17"/>
    <mergeCell ref="B14:B15"/>
    <mergeCell ref="C14:C15"/>
    <mergeCell ref="D14:H15"/>
    <mergeCell ref="I14:I15"/>
    <mergeCell ref="B16:B17"/>
    <mergeCell ref="C16:C17"/>
    <mergeCell ref="D16:H17"/>
    <mergeCell ref="I16:I17"/>
  </mergeCells>
  <printOptions horizontalCentered="1" verticalCentered="1"/>
  <pageMargins left="0.70866141732283505" right="0.70866141732283505" top="0.74803149606299202" bottom="0.74803149606299202" header="0.31496062992126" footer="0.31496062992126"/>
  <pageSetup paperSize="9" scale="17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8">
    <pageSetUpPr fitToPage="1"/>
  </sheetPr>
  <dimension ref="A1:Q29"/>
  <sheetViews>
    <sheetView view="pageBreakPreview" topLeftCell="A10" zoomScale="25" zoomScaleNormal="42" zoomScaleSheetLayoutView="25" workbookViewId="0">
      <selection activeCell="G17" sqref="G17"/>
    </sheetView>
  </sheetViews>
  <sheetFormatPr baseColWidth="10" defaultColWidth="11" defaultRowHeight="15"/>
  <cols>
    <col min="2" max="2" width="65.140625" style="171" customWidth="1"/>
    <col min="3" max="3" width="111.140625" customWidth="1"/>
    <col min="4" max="4" width="65.7109375" customWidth="1"/>
    <col min="5" max="5" width="62.5703125" customWidth="1"/>
    <col min="6" max="6" width="80.7109375" bestFit="1" customWidth="1"/>
    <col min="7" max="7" width="97.85546875" bestFit="1" customWidth="1"/>
    <col min="8" max="9" width="97.85546875" customWidth="1"/>
    <col min="10" max="10" width="70.85546875" customWidth="1"/>
    <col min="11" max="11" width="94.140625" customWidth="1"/>
    <col min="12" max="12" width="100.5703125" customWidth="1"/>
    <col min="13" max="13" width="132" customWidth="1"/>
    <col min="14" max="14" width="74.140625" customWidth="1"/>
    <col min="15" max="15" width="73.7109375" customWidth="1"/>
  </cols>
  <sheetData>
    <row r="1" spans="1:17" ht="137.25" customHeight="1">
      <c r="A1" s="1166"/>
      <c r="B1" s="1831" t="s">
        <v>1408</v>
      </c>
      <c r="C1" s="1831"/>
      <c r="D1" s="1831"/>
      <c r="E1" s="1831"/>
      <c r="F1" s="1831"/>
      <c r="G1" s="1831"/>
      <c r="H1" s="1831"/>
      <c r="I1" s="1831"/>
      <c r="J1" s="1831"/>
      <c r="K1" s="1831"/>
      <c r="L1" s="1166"/>
      <c r="M1" s="1166"/>
      <c r="N1" s="1166"/>
      <c r="O1" s="1167"/>
      <c r="P1" s="1167"/>
      <c r="Q1" s="1167"/>
    </row>
    <row r="2" spans="1:17" ht="15" customHeight="1" thickBot="1">
      <c r="A2" s="1166"/>
      <c r="B2" s="1297"/>
      <c r="C2" s="1166"/>
      <c r="D2" s="1166"/>
      <c r="E2" s="1166"/>
      <c r="F2" s="1166"/>
      <c r="G2" s="1166"/>
      <c r="H2" s="1166"/>
      <c r="I2" s="1166"/>
      <c r="J2" s="1166"/>
      <c r="K2" s="1166"/>
      <c r="L2" s="1166"/>
      <c r="M2" s="1166"/>
      <c r="N2" s="1166"/>
    </row>
    <row r="3" spans="1:17" s="171" customFormat="1" ht="157.5" customHeight="1" thickBot="1">
      <c r="B3" s="1343" t="s">
        <v>73</v>
      </c>
      <c r="C3" s="1340" t="s">
        <v>70</v>
      </c>
      <c r="D3" s="1655" t="s">
        <v>1406</v>
      </c>
      <c r="E3" s="1655" t="s">
        <v>1407</v>
      </c>
      <c r="F3" s="1655" t="s">
        <v>1390</v>
      </c>
      <c r="G3" s="1656" t="s">
        <v>1409</v>
      </c>
      <c r="H3" s="1656" t="s">
        <v>1411</v>
      </c>
      <c r="I3" s="1656" t="s">
        <v>1412</v>
      </c>
      <c r="J3" s="1656" t="s">
        <v>1410</v>
      </c>
      <c r="K3" s="1168" t="s">
        <v>23</v>
      </c>
      <c r="L3" s="1799"/>
      <c r="M3" s="1799"/>
      <c r="N3" s="1169"/>
      <c r="O3" s="1169"/>
    </row>
    <row r="4" spans="1:17" s="171" customFormat="1" ht="84.75" customHeight="1" thickBot="1">
      <c r="B4" s="1344" t="s">
        <v>1424</v>
      </c>
      <c r="C4" s="1344" t="s">
        <v>74</v>
      </c>
      <c r="D4" s="1414">
        <v>83.7</v>
      </c>
      <c r="E4" s="1414">
        <v>49.4</v>
      </c>
      <c r="F4" s="1414">
        <v>8</v>
      </c>
      <c r="G4" s="1415">
        <v>16</v>
      </c>
      <c r="H4" s="1415"/>
      <c r="I4" s="1415"/>
      <c r="J4" s="1415">
        <v>1.8</v>
      </c>
      <c r="K4" s="1414">
        <f>+D4+E4+F4+J4+G4</f>
        <v>158.9</v>
      </c>
      <c r="L4" s="1173"/>
      <c r="M4" s="1174"/>
      <c r="N4" s="1174"/>
      <c r="O4" s="1174"/>
    </row>
    <row r="5" spans="1:17" s="171" customFormat="1" ht="78.75" customHeight="1" thickBot="1">
      <c r="B5" s="1344" t="s">
        <v>1425</v>
      </c>
      <c r="C5" s="1344" t="s">
        <v>75</v>
      </c>
      <c r="D5" s="1414">
        <v>70.2</v>
      </c>
      <c r="E5" s="1414">
        <v>60.800000000000004</v>
      </c>
      <c r="F5" s="1414">
        <v>11</v>
      </c>
      <c r="G5" s="1415">
        <v>20</v>
      </c>
      <c r="H5" s="1415"/>
      <c r="I5" s="1415"/>
      <c r="J5" s="1415">
        <v>2.2000000000000002</v>
      </c>
      <c r="K5" s="1414">
        <f t="shared" ref="K5" si="0">+D5+E5+F5+J5+G5</f>
        <v>164.2</v>
      </c>
      <c r="L5" s="1173"/>
      <c r="M5" s="1174"/>
      <c r="N5" s="1174"/>
      <c r="O5" s="1174"/>
    </row>
    <row r="6" spans="1:17" s="171" customFormat="1" ht="75.75" customHeight="1" thickBot="1">
      <c r="B6" s="1344" t="s">
        <v>1423</v>
      </c>
      <c r="C6" s="1344" t="s">
        <v>76</v>
      </c>
      <c r="D6" s="1414">
        <v>135</v>
      </c>
      <c r="E6" s="1414">
        <v>95</v>
      </c>
      <c r="F6" s="1414"/>
      <c r="G6" s="1415"/>
      <c r="H6" s="1415">
        <v>12.5</v>
      </c>
      <c r="I6" s="1415">
        <f>12.5/2</f>
        <v>6.25</v>
      </c>
      <c r="J6" s="1415">
        <v>4</v>
      </c>
      <c r="K6" s="1414">
        <f>+D6+E6+F6+J6+G6+H6+I6</f>
        <v>252.75</v>
      </c>
      <c r="L6" s="1173"/>
      <c r="M6" s="1174"/>
      <c r="N6" s="1174"/>
      <c r="O6" s="1174"/>
    </row>
    <row r="7" spans="1:17" s="171" customFormat="1" ht="78.75" customHeight="1" thickBot="1">
      <c r="B7" s="1344" t="s">
        <v>1426</v>
      </c>
      <c r="C7" s="1344" t="s">
        <v>77</v>
      </c>
      <c r="D7" s="1414">
        <v>29.430000000000003</v>
      </c>
      <c r="E7" s="1414">
        <v>21.849999999999998</v>
      </c>
      <c r="F7" s="1414">
        <v>3</v>
      </c>
      <c r="G7" s="1415">
        <v>6</v>
      </c>
      <c r="H7" s="1415">
        <v>2</v>
      </c>
      <c r="I7" s="1415">
        <v>1</v>
      </c>
      <c r="J7" s="1415">
        <v>1.3</v>
      </c>
      <c r="K7" s="1657">
        <f>+D7+E7+F7+G7+J7+H7+I7</f>
        <v>64.58</v>
      </c>
      <c r="L7" s="1173"/>
      <c r="M7" s="1174"/>
      <c r="N7" s="1174"/>
      <c r="O7" s="1174"/>
    </row>
    <row r="8" spans="1:17" s="171" customFormat="1" ht="75.75" customHeight="1" thickBot="1">
      <c r="B8" s="1344" t="s">
        <v>1394</v>
      </c>
      <c r="C8" s="1344" t="s">
        <v>648</v>
      </c>
      <c r="D8" s="1416">
        <f>27*0.8</f>
        <v>21.6</v>
      </c>
      <c r="E8" s="1417"/>
      <c r="F8" s="1416"/>
      <c r="G8" s="1418">
        <f>6.5*2</f>
        <v>13</v>
      </c>
      <c r="H8" s="1418"/>
      <c r="I8" s="1418"/>
      <c r="J8" s="1415"/>
      <c r="K8" s="1414">
        <f>+D8+E8+F8+G8</f>
        <v>34.6</v>
      </c>
      <c r="L8" s="1173"/>
      <c r="M8" s="1174"/>
      <c r="N8" s="1174"/>
      <c r="O8" s="1174"/>
    </row>
    <row r="9" spans="1:17" s="171" customFormat="1" ht="90.75" customHeight="1" thickBot="1">
      <c r="B9" s="1344" t="s">
        <v>1427</v>
      </c>
      <c r="C9" s="1344" t="s">
        <v>649</v>
      </c>
      <c r="D9" s="1417"/>
      <c r="E9" s="1416">
        <f>0.74*19</f>
        <v>14.06</v>
      </c>
      <c r="F9" s="1416">
        <v>5</v>
      </c>
      <c r="G9" s="1419"/>
      <c r="H9" s="1419"/>
      <c r="I9" s="1419"/>
      <c r="J9" s="1414"/>
      <c r="K9" s="1414">
        <f>+D9+E9+F9+G9</f>
        <v>19.060000000000002</v>
      </c>
      <c r="L9" s="1173"/>
      <c r="M9" s="1174"/>
      <c r="N9" s="1174"/>
      <c r="O9" s="1174"/>
    </row>
    <row r="10" spans="1:17" s="171" customFormat="1" ht="90.75" customHeight="1" thickBot="1">
      <c r="B10" s="1344" t="s">
        <v>1315</v>
      </c>
      <c r="C10" s="1341" t="s">
        <v>757</v>
      </c>
      <c r="D10" s="1417"/>
      <c r="E10" s="1416"/>
      <c r="F10" s="1416"/>
      <c r="G10" s="1419"/>
      <c r="H10" s="1419"/>
      <c r="I10" s="1419"/>
      <c r="J10" s="1414">
        <v>0.14000000000000001</v>
      </c>
      <c r="K10" s="1658">
        <f>+D10+E10+F10+G10+J10</f>
        <v>0.14000000000000001</v>
      </c>
      <c r="L10" s="1173"/>
      <c r="M10" s="1174"/>
      <c r="N10" s="1174"/>
      <c r="O10" s="1174"/>
    </row>
    <row r="11" spans="1:17" s="171" customFormat="1" ht="98.25" customHeight="1" thickBot="1">
      <c r="B11" s="1344" t="s">
        <v>1393</v>
      </c>
      <c r="C11" s="1344" t="s">
        <v>588</v>
      </c>
      <c r="D11" s="1416"/>
      <c r="E11" s="1416"/>
      <c r="F11" s="1417"/>
      <c r="G11" s="1414"/>
      <c r="H11" s="1414">
        <v>0.1</v>
      </c>
      <c r="I11" s="1414">
        <v>0.05</v>
      </c>
      <c r="J11" s="1414">
        <v>0.05</v>
      </c>
      <c r="K11" s="1414">
        <f>SUM(D11:J11)</f>
        <v>0.2</v>
      </c>
      <c r="L11" s="1173"/>
      <c r="M11" s="1174"/>
      <c r="N11" s="1174"/>
      <c r="O11" s="1174"/>
    </row>
    <row r="12" spans="1:17" s="171" customFormat="1" ht="63" hidden="1" customHeight="1" thickBot="1">
      <c r="B12" s="1840"/>
      <c r="C12" s="1840" t="s">
        <v>646</v>
      </c>
      <c r="D12" s="1841"/>
      <c r="E12" s="1841"/>
      <c r="F12" s="1841"/>
      <c r="G12" s="1841"/>
      <c r="H12" s="1841"/>
      <c r="I12" s="1841"/>
      <c r="J12" s="1841"/>
      <c r="K12" s="1841">
        <f>+D12+K7</f>
        <v>64.58</v>
      </c>
      <c r="L12" s="1173"/>
      <c r="M12" s="1174"/>
      <c r="N12" s="1174"/>
      <c r="O12" s="1174"/>
    </row>
    <row r="13" spans="1:17" s="171" customFormat="1" ht="132" hidden="1" customHeight="1" thickBot="1">
      <c r="B13" s="1840"/>
      <c r="C13" s="1840"/>
      <c r="D13" s="1841"/>
      <c r="E13" s="1841"/>
      <c r="F13" s="1841"/>
      <c r="G13" s="1841"/>
      <c r="H13" s="1841"/>
      <c r="I13" s="1841"/>
      <c r="J13" s="1841"/>
      <c r="K13" s="1841"/>
      <c r="L13" s="1173"/>
      <c r="M13" s="1174"/>
      <c r="N13" s="1174"/>
      <c r="O13" s="1174"/>
    </row>
    <row r="14" spans="1:17" s="171" customFormat="1" ht="132" customHeight="1" thickBot="1">
      <c r="B14" s="1344" t="s">
        <v>1428</v>
      </c>
      <c r="C14" s="1344" t="s">
        <v>687</v>
      </c>
      <c r="D14" s="1419"/>
      <c r="E14" s="1419"/>
      <c r="F14" s="1419"/>
      <c r="G14" s="1419"/>
      <c r="H14" s="1414">
        <v>12.5</v>
      </c>
      <c r="I14" s="1419">
        <v>6.25</v>
      </c>
      <c r="J14" s="1419"/>
      <c r="K14" s="1419">
        <f>+D14+E14+F14+G14+H14+I14+J14</f>
        <v>18.75</v>
      </c>
      <c r="L14" s="1173"/>
      <c r="M14" s="1174"/>
      <c r="N14" s="1174"/>
      <c r="O14" s="1174"/>
    </row>
    <row r="15" spans="1:17" s="171" customFormat="1" ht="132" customHeight="1" thickBot="1">
      <c r="B15" s="1344" t="s">
        <v>1429</v>
      </c>
      <c r="C15" s="1344" t="s">
        <v>688</v>
      </c>
      <c r="D15" s="1419"/>
      <c r="E15" s="1419"/>
      <c r="F15" s="1419"/>
      <c r="G15" s="1419"/>
      <c r="H15" s="1414">
        <v>2.7</v>
      </c>
      <c r="I15" s="1419">
        <f>2.7/2</f>
        <v>1.35</v>
      </c>
      <c r="J15" s="1419"/>
      <c r="K15" s="1419">
        <f>+D15+E15+F15+G15+H15+I15+J15</f>
        <v>4.0500000000000007</v>
      </c>
      <c r="L15" s="1173"/>
      <c r="M15" s="1174"/>
      <c r="N15" s="1174"/>
      <c r="O15" s="1174"/>
    </row>
    <row r="16" spans="1:17" s="171" customFormat="1" ht="132" customHeight="1" thickBot="1">
      <c r="B16" s="1344" t="s">
        <v>1430</v>
      </c>
      <c r="C16" s="1344" t="s">
        <v>1417</v>
      </c>
      <c r="D16" s="1419"/>
      <c r="E16" s="1419"/>
      <c r="F16" s="1419"/>
      <c r="G16" s="1419"/>
      <c r="H16" s="1419"/>
      <c r="I16" s="1419">
        <v>1.6</v>
      </c>
      <c r="J16" s="1419"/>
      <c r="K16" s="1419">
        <f>+D16+E16+F16+G16+H16+I16+J16</f>
        <v>1.6</v>
      </c>
      <c r="L16" s="1173"/>
      <c r="M16" s="1174"/>
      <c r="N16" s="1174"/>
      <c r="O16" s="1174"/>
    </row>
    <row r="17" spans="2:15" s="171" customFormat="1" ht="132" customHeight="1" thickBot="1">
      <c r="B17" s="1344" t="s">
        <v>1431</v>
      </c>
      <c r="C17" s="1344" t="s">
        <v>1418</v>
      </c>
      <c r="D17" s="1419"/>
      <c r="E17" s="1419"/>
      <c r="F17" s="1419"/>
      <c r="G17" s="1419"/>
      <c r="H17" s="1419">
        <v>0.9</v>
      </c>
      <c r="I17" s="1419"/>
      <c r="J17" s="1419"/>
      <c r="K17" s="1419">
        <f>+D17+E17+F17+G17+H17+I17+J17</f>
        <v>0.9</v>
      </c>
      <c r="L17" s="1173"/>
      <c r="M17" s="1174"/>
      <c r="N17" s="1174"/>
      <c r="O17" s="1174"/>
    </row>
    <row r="18" spans="2:15" s="171" customFormat="1" ht="55.5" customHeight="1" thickBot="1">
      <c r="B18" s="1840" t="s">
        <v>1423</v>
      </c>
      <c r="C18" s="1840" t="s">
        <v>80</v>
      </c>
      <c r="D18" s="1829" t="s">
        <v>1413</v>
      </c>
      <c r="E18" s="1829"/>
      <c r="F18" s="1829"/>
      <c r="G18" s="1829"/>
      <c r="H18" s="1829"/>
      <c r="I18" s="1829"/>
      <c r="J18" s="1829"/>
      <c r="K18" s="1845">
        <f>3*25+9.5+K6</f>
        <v>337.25</v>
      </c>
      <c r="L18" s="1173"/>
      <c r="M18" s="1174"/>
      <c r="N18" s="1174"/>
      <c r="O18" s="1174"/>
    </row>
    <row r="19" spans="2:15" s="171" customFormat="1" ht="34.5" customHeight="1" thickBot="1">
      <c r="B19" s="1840"/>
      <c r="C19" s="1840"/>
      <c r="D19" s="1829"/>
      <c r="E19" s="1829"/>
      <c r="F19" s="1829"/>
      <c r="G19" s="1829"/>
      <c r="H19" s="1829"/>
      <c r="I19" s="1829"/>
      <c r="J19" s="1829"/>
      <c r="K19" s="1845"/>
      <c r="L19" s="1173"/>
      <c r="M19" s="1174"/>
      <c r="N19" s="1174"/>
      <c r="O19" s="1174"/>
    </row>
    <row r="20" spans="2:15" s="171" customFormat="1" ht="70.5" customHeight="1" thickBot="1">
      <c r="B20" s="1344" t="s">
        <v>1422</v>
      </c>
      <c r="C20" s="1818" t="s">
        <v>81</v>
      </c>
      <c r="D20" s="1848" t="s">
        <v>1414</v>
      </c>
      <c r="E20" s="1849"/>
      <c r="F20" s="1849"/>
      <c r="G20" s="1849"/>
      <c r="H20" s="1849"/>
      <c r="I20" s="1849"/>
      <c r="J20" s="1850"/>
      <c r="K20" s="1851">
        <f>2000+17*50</f>
        <v>2850</v>
      </c>
      <c r="L20" s="1173"/>
      <c r="M20" s="1174"/>
      <c r="N20" s="1174"/>
      <c r="O20" s="1174"/>
    </row>
    <row r="21" spans="2:15" s="171" customFormat="1" ht="75.75" hidden="1" customHeight="1" thickBot="1">
      <c r="B21" s="1344"/>
      <c r="C21" s="1820"/>
      <c r="D21" s="1848"/>
      <c r="E21" s="1849"/>
      <c r="F21" s="1849"/>
      <c r="G21" s="1849"/>
      <c r="H21" s="1849"/>
      <c r="I21" s="1849"/>
      <c r="J21" s="1850"/>
      <c r="K21" s="1852"/>
      <c r="L21" s="1173"/>
      <c r="M21" s="1169"/>
      <c r="N21" s="1169"/>
      <c r="O21" s="1169"/>
    </row>
    <row r="22" spans="2:15" s="171" customFormat="1" ht="69.75" hidden="1" customHeight="1" thickBot="1">
      <c r="B22" s="1615"/>
      <c r="C22" s="1819"/>
      <c r="D22" s="1848"/>
      <c r="E22" s="1849"/>
      <c r="F22" s="1849"/>
      <c r="G22" s="1849"/>
      <c r="H22" s="1849"/>
      <c r="I22" s="1849"/>
      <c r="J22" s="1850"/>
      <c r="K22" s="1853"/>
      <c r="L22" s="1173"/>
      <c r="M22" s="1799"/>
      <c r="N22" s="1799"/>
      <c r="O22" s="1799"/>
    </row>
    <row r="23" spans="2:15" ht="99.95" customHeight="1" thickBot="1">
      <c r="B23" s="1344" t="s">
        <v>1392</v>
      </c>
      <c r="C23" s="1616" t="s">
        <v>82</v>
      </c>
      <c r="D23" s="1348">
        <f>0.129*27</f>
        <v>3.4830000000000001</v>
      </c>
      <c r="E23" s="1348">
        <v>2.7359999999999998</v>
      </c>
      <c r="F23" s="1348">
        <v>0.58699999999999997</v>
      </c>
      <c r="G23" s="1348">
        <v>1.61</v>
      </c>
      <c r="H23" s="1348">
        <v>0.33500000000000002</v>
      </c>
      <c r="I23" s="1348">
        <f>0.335/2</f>
        <v>0.16750000000000001</v>
      </c>
      <c r="J23" s="1348">
        <v>7.9000000000000001E-2</v>
      </c>
      <c r="K23" s="1419">
        <f>SUM(D23:J23)</f>
        <v>8.9975000000000005</v>
      </c>
      <c r="L23" s="1349"/>
      <c r="M23" s="1185"/>
      <c r="N23" s="1185"/>
      <c r="O23" s="1185"/>
    </row>
    <row r="24" spans="2:15" ht="102.75" customHeight="1" thickBot="1">
      <c r="B24" s="1344" t="s">
        <v>1421</v>
      </c>
      <c r="C24" s="1564" t="s">
        <v>83</v>
      </c>
      <c r="D24" s="1348">
        <f>0.129*27</f>
        <v>3.4830000000000001</v>
      </c>
      <c r="E24" s="1348">
        <v>3.1350000000000002</v>
      </c>
      <c r="F24" s="1348">
        <v>0.68300000000000005</v>
      </c>
      <c r="G24" s="1348">
        <v>1.84</v>
      </c>
      <c r="H24" s="1348">
        <v>0.37</v>
      </c>
      <c r="I24" s="1348">
        <f>0.37/2</f>
        <v>0.185</v>
      </c>
      <c r="J24" s="1348">
        <v>8.5999999999999993E-2</v>
      </c>
      <c r="K24" s="1565">
        <f>+D24+E24+F24+G24+J24+H24+I24</f>
        <v>9.782</v>
      </c>
      <c r="L24" s="1349"/>
      <c r="M24" s="1185"/>
      <c r="N24" s="1185"/>
      <c r="O24" s="1185"/>
    </row>
    <row r="25" spans="2:15" ht="60.75" customHeight="1" thickBot="1">
      <c r="B25" s="1344" t="s">
        <v>1420</v>
      </c>
      <c r="C25" s="1846" t="s">
        <v>769</v>
      </c>
      <c r="D25" s="1842" t="s">
        <v>1416</v>
      </c>
      <c r="E25" s="1843"/>
      <c r="F25" s="1843"/>
      <c r="G25" s="1843"/>
      <c r="H25" s="1843"/>
      <c r="I25" s="1843"/>
      <c r="J25" s="1844"/>
      <c r="K25" s="1565">
        <f>12*238+6*239</f>
        <v>4290</v>
      </c>
      <c r="L25" s="1349"/>
      <c r="M25" s="1185"/>
      <c r="N25" s="1185"/>
      <c r="O25" s="1185"/>
    </row>
    <row r="26" spans="2:15" ht="63.75" hidden="1" customHeight="1" thickBot="1">
      <c r="B26" s="1344"/>
      <c r="C26" s="1847"/>
      <c r="D26" s="1842"/>
      <c r="E26" s="1843"/>
      <c r="F26" s="1843"/>
      <c r="G26" s="1843"/>
      <c r="H26" s="1843"/>
      <c r="I26" s="1843"/>
      <c r="J26" s="1844"/>
      <c r="K26" s="1565"/>
      <c r="L26" s="1349"/>
      <c r="M26" s="1185"/>
      <c r="N26" s="1185"/>
      <c r="O26" s="1185"/>
    </row>
    <row r="27" spans="2:15" ht="63.75" customHeight="1" thickBot="1">
      <c r="B27" s="1344" t="s">
        <v>1419</v>
      </c>
      <c r="C27" s="1612" t="s">
        <v>770</v>
      </c>
      <c r="D27" s="1842" t="s">
        <v>1415</v>
      </c>
      <c r="E27" s="1843"/>
      <c r="F27" s="1843"/>
      <c r="G27" s="1843"/>
      <c r="H27" s="1843"/>
      <c r="I27" s="1843"/>
      <c r="J27" s="1844"/>
      <c r="K27" s="1565">
        <f>27*238</f>
        <v>6426</v>
      </c>
      <c r="L27" s="1349"/>
      <c r="M27" s="1185"/>
      <c r="N27" s="1185"/>
      <c r="O27" s="1185"/>
    </row>
    <row r="28" spans="2:15" ht="60.75" customHeight="1" thickBot="1">
      <c r="B28" s="1344" t="s">
        <v>1391</v>
      </c>
      <c r="C28" s="1611" t="s">
        <v>771</v>
      </c>
      <c r="D28" s="1842">
        <v>235</v>
      </c>
      <c r="E28" s="1843"/>
      <c r="F28" s="1843"/>
      <c r="G28" s="1843"/>
      <c r="H28" s="1843"/>
      <c r="I28" s="1843"/>
      <c r="J28" s="1844"/>
      <c r="K28" s="1565">
        <v>235</v>
      </c>
      <c r="L28" s="1349"/>
      <c r="M28" s="1185"/>
      <c r="N28" s="1185"/>
      <c r="O28" s="1185"/>
    </row>
    <row r="29" spans="2:15" ht="99.75" hidden="1" customHeight="1" thickBot="1">
      <c r="B29" s="1344" t="s">
        <v>772</v>
      </c>
      <c r="C29" s="1420" t="s">
        <v>771</v>
      </c>
      <c r="D29" s="1842"/>
      <c r="E29" s="1843"/>
      <c r="F29" s="1843"/>
      <c r="G29" s="1843"/>
      <c r="H29" s="1843"/>
      <c r="I29" s="1843"/>
      <c r="J29" s="1844"/>
      <c r="K29" s="1418">
        <v>0</v>
      </c>
      <c r="L29" s="1349"/>
      <c r="M29" s="1185"/>
      <c r="N29" s="1185"/>
      <c r="O29" s="1185"/>
    </row>
  </sheetData>
  <mergeCells count="22">
    <mergeCell ref="D26:J26"/>
    <mergeCell ref="D28:J28"/>
    <mergeCell ref="D29:J29"/>
    <mergeCell ref="K18:K19"/>
    <mergeCell ref="B18:B19"/>
    <mergeCell ref="C25:C26"/>
    <mergeCell ref="C20:C22"/>
    <mergeCell ref="D20:J20"/>
    <mergeCell ref="D21:J21"/>
    <mergeCell ref="D22:J22"/>
    <mergeCell ref="K20:K22"/>
    <mergeCell ref="D27:J27"/>
    <mergeCell ref="D25:J25"/>
    <mergeCell ref="B1:K1"/>
    <mergeCell ref="L3:M3"/>
    <mergeCell ref="M22:O22"/>
    <mergeCell ref="C18:C19"/>
    <mergeCell ref="D18:J19"/>
    <mergeCell ref="C12:C13"/>
    <mergeCell ref="D12:J13"/>
    <mergeCell ref="K12:K13"/>
    <mergeCell ref="B12:B13"/>
  </mergeCells>
  <phoneticPr fontId="73" type="noConversion"/>
  <printOptions horizontalCentered="1" verticalCentered="1"/>
  <pageMargins left="0.70866141732283505" right="0.70866141732283505" top="0.74803149606299202" bottom="0.74803149606299202" header="0.31496062992126" footer="0.31496062992126"/>
  <pageSetup paperSize="9" scale="1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9">
    <pageSetUpPr fitToPage="1"/>
  </sheetPr>
  <dimension ref="A1:P12"/>
  <sheetViews>
    <sheetView view="pageBreakPreview" topLeftCell="B1" zoomScale="26" zoomScaleNormal="42" workbookViewId="0">
      <selection activeCell="B1" sqref="B1:H13"/>
    </sheetView>
  </sheetViews>
  <sheetFormatPr baseColWidth="10" defaultColWidth="11" defaultRowHeight="15"/>
  <cols>
    <col min="2" max="6" width="100.5703125" customWidth="1"/>
    <col min="7" max="8" width="100.5703125" hidden="1" customWidth="1"/>
    <col min="9" max="9" width="74.140625" customWidth="1"/>
    <col min="10" max="10" width="71.140625" customWidth="1"/>
    <col min="11" max="11" width="100.5703125" customWidth="1"/>
    <col min="12" max="12" width="132" customWidth="1"/>
    <col min="13" max="13" width="74.140625" customWidth="1"/>
    <col min="14" max="14" width="73.7109375" customWidth="1"/>
  </cols>
  <sheetData>
    <row r="1" spans="1:16" ht="137.25" customHeight="1">
      <c r="A1" s="1166"/>
      <c r="B1" s="1858" t="s">
        <v>69</v>
      </c>
      <c r="C1" s="1858"/>
      <c r="D1" s="1858"/>
      <c r="E1" s="1858"/>
      <c r="F1" s="1858"/>
      <c r="G1" s="1858"/>
      <c r="H1" s="1858"/>
      <c r="I1" s="1167"/>
      <c r="J1" s="1167"/>
      <c r="K1" s="1166"/>
      <c r="L1" s="1166"/>
      <c r="M1" s="1166"/>
      <c r="N1" s="1167"/>
      <c r="O1" s="1167"/>
      <c r="P1" s="1167"/>
    </row>
    <row r="2" spans="1:16" ht="15" customHeight="1" thickBot="1">
      <c r="A2" s="1166"/>
      <c r="B2" s="1166"/>
      <c r="C2" s="1166"/>
      <c r="D2" s="1166"/>
      <c r="E2" s="1166"/>
      <c r="F2" s="1166"/>
      <c r="G2" s="1166"/>
      <c r="H2" s="1166" t="s">
        <v>696</v>
      </c>
      <c r="I2" s="1166"/>
      <c r="J2" s="1166"/>
      <c r="K2" s="1166"/>
      <c r="L2" s="1166"/>
      <c r="M2" s="1166"/>
    </row>
    <row r="3" spans="1:16" s="171" customFormat="1" ht="281.25" customHeight="1" thickBot="1">
      <c r="B3" s="1168" t="s">
        <v>70</v>
      </c>
      <c r="C3" s="1168" t="s">
        <v>692</v>
      </c>
      <c r="D3" s="1168" t="s">
        <v>702</v>
      </c>
      <c r="E3" s="1347" t="s">
        <v>693</v>
      </c>
      <c r="F3" s="1347" t="s">
        <v>704</v>
      </c>
      <c r="G3" s="1347" t="s">
        <v>694</v>
      </c>
      <c r="H3" s="1347" t="s">
        <v>695</v>
      </c>
      <c r="I3" s="1798"/>
      <c r="J3" s="1799"/>
      <c r="K3" s="1169"/>
      <c r="L3" s="1169"/>
    </row>
    <row r="4" spans="1:16" s="171" customFormat="1" ht="165.75" hidden="1" customHeight="1" thickBot="1">
      <c r="B4" s="1170" t="s">
        <v>74</v>
      </c>
      <c r="C4" s="1171"/>
      <c r="D4" s="1171"/>
      <c r="E4" s="1171"/>
      <c r="F4" s="1171"/>
      <c r="G4" s="1171"/>
      <c r="H4" s="1171"/>
      <c r="I4" s="1172">
        <v>78</v>
      </c>
      <c r="J4" s="1173"/>
      <c r="K4" s="1174"/>
      <c r="L4" s="1174"/>
      <c r="M4" s="1174"/>
    </row>
    <row r="5" spans="1:16" s="171" customFormat="1" ht="165.75" hidden="1" customHeight="1" thickBot="1">
      <c r="B5" s="1170" t="s">
        <v>75</v>
      </c>
      <c r="C5" s="1171"/>
      <c r="D5" s="1171"/>
      <c r="E5" s="1171"/>
      <c r="F5" s="1171"/>
      <c r="G5" s="1171"/>
      <c r="H5" s="1171"/>
      <c r="I5" s="1175">
        <v>96</v>
      </c>
      <c r="J5" s="1173"/>
      <c r="K5" s="1174"/>
      <c r="L5" s="1174"/>
      <c r="M5" s="1174"/>
    </row>
    <row r="6" spans="1:16" s="171" customFormat="1" ht="165.75" hidden="1" customHeight="1" thickBot="1">
      <c r="B6" s="1170" t="s">
        <v>76</v>
      </c>
      <c r="C6" s="1171"/>
      <c r="D6" s="1171"/>
      <c r="E6" s="1171"/>
      <c r="F6" s="1171"/>
      <c r="G6" s="1171"/>
      <c r="H6" s="1171"/>
      <c r="I6" s="1175">
        <v>150</v>
      </c>
      <c r="J6" s="1173"/>
      <c r="K6" s="1174"/>
      <c r="L6" s="1174"/>
      <c r="M6" s="1174"/>
    </row>
    <row r="7" spans="1:16" s="171" customFormat="1" ht="165.75" hidden="1" customHeight="1" thickBot="1">
      <c r="B7" s="1170" t="s">
        <v>77</v>
      </c>
      <c r="C7" s="1171"/>
      <c r="D7" s="1171"/>
      <c r="E7" s="1171"/>
      <c r="F7" s="1171"/>
      <c r="G7" s="1171"/>
      <c r="H7" s="1171"/>
      <c r="I7" s="1175">
        <v>34.5</v>
      </c>
      <c r="J7" s="1173"/>
      <c r="K7" s="1174"/>
      <c r="L7" s="1174"/>
      <c r="M7" s="1174"/>
    </row>
    <row r="8" spans="1:16" s="171" customFormat="1" ht="363" customHeight="1" thickBot="1">
      <c r="B8" s="1170" t="s">
        <v>78</v>
      </c>
      <c r="C8" s="1271" t="s">
        <v>691</v>
      </c>
      <c r="D8" s="1271" t="s">
        <v>703</v>
      </c>
      <c r="E8" s="1271" t="s">
        <v>697</v>
      </c>
      <c r="F8" s="1271" t="s">
        <v>705</v>
      </c>
      <c r="G8" s="1271" t="s">
        <v>698</v>
      </c>
      <c r="H8" s="1271" t="s">
        <v>699</v>
      </c>
      <c r="I8" s="1176"/>
      <c r="J8" s="1176"/>
      <c r="K8" s="1174"/>
    </row>
    <row r="9" spans="1:16" s="171" customFormat="1" ht="363" customHeight="1" thickBot="1">
      <c r="B9" s="1177" t="s">
        <v>84</v>
      </c>
      <c r="C9" s="1854" t="s">
        <v>706</v>
      </c>
      <c r="D9" s="1855"/>
      <c r="E9" s="1855"/>
      <c r="F9" s="1855"/>
      <c r="G9" s="1855"/>
      <c r="H9" s="1855"/>
      <c r="I9" s="1176"/>
      <c r="J9" s="1176"/>
      <c r="K9" s="1174"/>
    </row>
    <row r="10" spans="1:16" s="171" customFormat="1" ht="165.75" customHeight="1">
      <c r="B10" s="1178" t="s">
        <v>81</v>
      </c>
      <c r="C10" s="1856" t="s">
        <v>707</v>
      </c>
      <c r="D10" s="1857"/>
      <c r="E10" s="1857"/>
      <c r="F10" s="1857"/>
      <c r="G10" s="1857"/>
      <c r="H10" s="1857"/>
      <c r="I10" s="1799"/>
      <c r="J10" s="1799"/>
      <c r="K10" s="1799"/>
    </row>
    <row r="11" spans="1:16" ht="99.95" hidden="1" customHeight="1">
      <c r="B11" s="1179" t="s">
        <v>82</v>
      </c>
      <c r="C11" s="1272"/>
      <c r="D11" s="1272"/>
      <c r="E11" s="1272"/>
      <c r="F11" s="1258" t="s">
        <v>613</v>
      </c>
      <c r="G11" s="1258"/>
      <c r="H11" s="1258"/>
      <c r="I11" s="1180"/>
      <c r="J11" s="1180"/>
      <c r="K11" s="1181"/>
      <c r="L11" s="1185"/>
      <c r="M11" s="1185"/>
      <c r="N11" s="1185"/>
    </row>
    <row r="12" spans="1:16" ht="99.95" hidden="1" customHeight="1">
      <c r="B12" s="1182" t="s">
        <v>83</v>
      </c>
      <c r="C12" s="1273"/>
      <c r="D12" s="1273"/>
      <c r="E12" s="1273"/>
      <c r="F12" s="1259" t="s">
        <v>612</v>
      </c>
      <c r="G12" s="1259"/>
      <c r="H12" s="1259"/>
      <c r="I12" s="1183"/>
      <c r="J12" s="1183"/>
      <c r="K12" s="1184"/>
      <c r="L12" s="1185"/>
      <c r="M12" s="1185"/>
      <c r="N12" s="1185"/>
    </row>
  </sheetData>
  <mergeCells count="5">
    <mergeCell ref="I3:J3"/>
    <mergeCell ref="I10:K10"/>
    <mergeCell ref="C9:H9"/>
    <mergeCell ref="C10:H10"/>
    <mergeCell ref="B1:H1"/>
  </mergeCells>
  <printOptions horizontalCentered="1" verticalCentered="1"/>
  <pageMargins left="0.70866141732283505" right="0.70866141732283505" top="0.74803149606299202" bottom="0.74803149606299202" header="0.31496062992126" footer="0.31496062992126"/>
  <pageSetup paperSize="9" scale="25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0"/>
  <dimension ref="A1:L18"/>
  <sheetViews>
    <sheetView zoomScale="98" zoomScaleNormal="98" workbookViewId="0">
      <selection activeCell="N5" sqref="N5"/>
    </sheetView>
  </sheetViews>
  <sheetFormatPr baseColWidth="10" defaultColWidth="11" defaultRowHeight="15"/>
  <cols>
    <col min="1" max="1" width="7.140625" customWidth="1"/>
    <col min="2" max="2" width="7.42578125" customWidth="1"/>
    <col min="3" max="3" width="9.5703125" customWidth="1"/>
    <col min="4" max="4" width="11.7109375" customWidth="1"/>
    <col min="5" max="5" width="6.7109375" customWidth="1"/>
    <col min="6" max="7" width="7.140625" customWidth="1"/>
    <col min="8" max="8" width="7.42578125" customWidth="1"/>
    <col min="9" max="9" width="9.7109375" customWidth="1"/>
    <col min="10" max="10" width="12.5703125" customWidth="1"/>
    <col min="11" max="11" width="12.42578125" customWidth="1"/>
    <col min="12" max="12" width="12.140625" customWidth="1"/>
    <col min="14" max="14" width="13.85546875" customWidth="1"/>
  </cols>
  <sheetData>
    <row r="1" spans="1:12">
      <c r="C1" s="1143"/>
      <c r="H1" s="1859" t="s">
        <v>85</v>
      </c>
      <c r="I1" s="1860"/>
      <c r="J1" s="1860"/>
      <c r="K1" s="1860"/>
      <c r="L1" s="1861"/>
    </row>
    <row r="2" spans="1:12">
      <c r="C2" s="1143"/>
      <c r="H2" s="1151" t="s">
        <v>86</v>
      </c>
      <c r="I2" s="1160" t="s">
        <v>87</v>
      </c>
      <c r="J2" s="1160" t="s">
        <v>88</v>
      </c>
      <c r="K2" s="1160" t="s">
        <v>89</v>
      </c>
      <c r="L2" s="1161" t="s">
        <v>90</v>
      </c>
    </row>
    <row r="3" spans="1:12">
      <c r="A3" s="1862" t="s">
        <v>91</v>
      </c>
      <c r="B3" s="1862"/>
      <c r="C3" s="1862"/>
      <c r="D3" s="1862"/>
      <c r="H3" s="1153">
        <v>3.8E-3</v>
      </c>
      <c r="I3" s="1162">
        <v>4.1000000000000003E-3</v>
      </c>
      <c r="J3" s="1162">
        <f>+I3-H3</f>
        <v>3.0000000000000035E-4</v>
      </c>
      <c r="K3" s="1162">
        <f>+J3*12</f>
        <v>3.6000000000000042E-3</v>
      </c>
      <c r="L3" s="1163">
        <f>+K3*1000</f>
        <v>3.6000000000000041</v>
      </c>
    </row>
    <row r="4" spans="1:12">
      <c r="A4" s="1110" t="s">
        <v>86</v>
      </c>
      <c r="B4" s="1110" t="s">
        <v>87</v>
      </c>
      <c r="C4" s="1154"/>
      <c r="D4" s="405"/>
      <c r="H4" s="1153">
        <v>3.8E-3</v>
      </c>
      <c r="I4" s="1162">
        <v>4.1999999999999997E-3</v>
      </c>
      <c r="J4" s="1162">
        <f>+I4-H4</f>
        <v>3.9999999999999975E-4</v>
      </c>
      <c r="K4" s="1162">
        <f>+J4*12</f>
        <v>4.799999999999997E-3</v>
      </c>
      <c r="L4" s="1163">
        <f>+K4*1000</f>
        <v>4.7999999999999972</v>
      </c>
    </row>
    <row r="5" spans="1:12">
      <c r="A5" s="1152">
        <v>5.0000000000000001E-4</v>
      </c>
      <c r="B5" s="1152">
        <v>5.1000000000000004E-4</v>
      </c>
      <c r="C5" s="1155">
        <f>+B5-A5</f>
        <v>1.0000000000000026E-5</v>
      </c>
      <c r="D5" s="405">
        <f t="shared" ref="D5:D16" si="0">+C5*24</f>
        <v>2.4000000000000063E-4</v>
      </c>
      <c r="H5" s="1153">
        <v>3.8E-3</v>
      </c>
      <c r="I5" s="1162">
        <v>4.1000000000000003E-3</v>
      </c>
      <c r="J5" s="1162">
        <f>+I5-H5</f>
        <v>3.0000000000000035E-4</v>
      </c>
      <c r="K5" s="1162">
        <f>+J5*12</f>
        <v>3.6000000000000042E-3</v>
      </c>
      <c r="L5" s="1163">
        <f>+K5*1000</f>
        <v>3.6000000000000041</v>
      </c>
    </row>
    <row r="6" spans="1:12">
      <c r="A6" s="1152"/>
      <c r="B6" s="1152"/>
      <c r="C6" s="1155"/>
      <c r="D6" s="405">
        <f t="shared" si="0"/>
        <v>0</v>
      </c>
      <c r="H6" s="1153">
        <v>3.8E-3</v>
      </c>
      <c r="I6" s="1162">
        <v>4.1000000000000003E-3</v>
      </c>
      <c r="J6" s="1162">
        <f>+I6-H6</f>
        <v>3.0000000000000035E-4</v>
      </c>
      <c r="K6" s="1162">
        <f>+J6*12</f>
        <v>3.6000000000000042E-3</v>
      </c>
      <c r="L6" s="1163">
        <f>+K6*1000</f>
        <v>3.6000000000000041</v>
      </c>
    </row>
    <row r="7" spans="1:12">
      <c r="A7" s="1152"/>
      <c r="B7" s="1152"/>
      <c r="C7" s="1155"/>
      <c r="D7" s="405">
        <f t="shared" si="0"/>
        <v>0</v>
      </c>
      <c r="L7" s="1164">
        <f>+AVERAGE(L3:L6)</f>
        <v>3.900000000000003</v>
      </c>
    </row>
    <row r="8" spans="1:12">
      <c r="A8" s="1152"/>
      <c r="B8" s="1152"/>
      <c r="C8" s="1155"/>
      <c r="D8" s="405">
        <f t="shared" si="0"/>
        <v>0</v>
      </c>
    </row>
    <row r="9" spans="1:12">
      <c r="A9" s="1152"/>
      <c r="B9" s="1152"/>
      <c r="C9" s="1155"/>
      <c r="D9" s="405">
        <f t="shared" si="0"/>
        <v>0</v>
      </c>
      <c r="H9" s="1796"/>
      <c r="I9" s="1796"/>
      <c r="J9" s="1796"/>
      <c r="K9" s="1796"/>
    </row>
    <row r="10" spans="1:12">
      <c r="A10" s="1156"/>
      <c r="B10" s="1152"/>
      <c r="C10" s="1155"/>
      <c r="D10" s="405">
        <f t="shared" si="0"/>
        <v>0</v>
      </c>
      <c r="H10" s="1863" t="s">
        <v>92</v>
      </c>
      <c r="I10" s="1864"/>
      <c r="J10" s="1864"/>
      <c r="K10" s="1864"/>
      <c r="L10" s="1865"/>
    </row>
    <row r="11" spans="1:12">
      <c r="A11" s="1156"/>
      <c r="B11" s="1152"/>
      <c r="C11" s="1155"/>
      <c r="D11" s="405">
        <f t="shared" si="0"/>
        <v>0</v>
      </c>
      <c r="H11" s="1151" t="s">
        <v>86</v>
      </c>
      <c r="I11" s="1160" t="s">
        <v>87</v>
      </c>
      <c r="J11" s="1160" t="s">
        <v>88</v>
      </c>
      <c r="K11" s="1160" t="s">
        <v>89</v>
      </c>
      <c r="L11" s="1161" t="s">
        <v>90</v>
      </c>
    </row>
    <row r="12" spans="1:12">
      <c r="A12" s="1152"/>
      <c r="B12" s="1152"/>
      <c r="C12" s="1155"/>
      <c r="D12" s="405">
        <f t="shared" si="0"/>
        <v>0</v>
      </c>
      <c r="H12" s="1157">
        <v>3.7000000000000002E-3</v>
      </c>
      <c r="I12" s="1162">
        <v>3.8E-3</v>
      </c>
      <c r="J12" s="1165">
        <f>+I12-H12</f>
        <v>9.9999999999999829E-5</v>
      </c>
      <c r="K12" s="1162">
        <f>+J12*18</f>
        <v>1.7999999999999969E-3</v>
      </c>
      <c r="L12" s="1163">
        <f>+K12*1000</f>
        <v>1.7999999999999969</v>
      </c>
    </row>
    <row r="13" spans="1:12">
      <c r="A13" s="1152"/>
      <c r="B13" s="1152"/>
      <c r="C13" s="1155"/>
      <c r="D13" s="405">
        <f t="shared" si="0"/>
        <v>0</v>
      </c>
      <c r="H13" s="1157">
        <f>+H12</f>
        <v>3.7000000000000002E-3</v>
      </c>
      <c r="I13" s="1162">
        <v>3.8E-3</v>
      </c>
      <c r="J13" s="1165">
        <f>+I13-H13</f>
        <v>9.9999999999999829E-5</v>
      </c>
      <c r="K13" s="1162">
        <f>+J13*18</f>
        <v>1.7999999999999969E-3</v>
      </c>
      <c r="L13" s="1163">
        <f>+K13*1000</f>
        <v>1.7999999999999969</v>
      </c>
    </row>
    <row r="14" spans="1:12">
      <c r="A14" s="1152"/>
      <c r="B14" s="1152"/>
      <c r="C14" s="1155"/>
      <c r="D14" s="405">
        <f t="shared" si="0"/>
        <v>0</v>
      </c>
      <c r="H14" s="1157">
        <f>+H12</f>
        <v>3.7000000000000002E-3</v>
      </c>
      <c r="I14" s="1162">
        <v>3.8E-3</v>
      </c>
      <c r="J14" s="1165">
        <f>+I14-H14</f>
        <v>9.9999999999999829E-5</v>
      </c>
      <c r="K14" s="1162">
        <f>+J14*18</f>
        <v>1.7999999999999969E-3</v>
      </c>
      <c r="L14" s="1163">
        <f>+K14*1000</f>
        <v>1.7999999999999969</v>
      </c>
    </row>
    <row r="15" spans="1:12">
      <c r="A15" s="1152"/>
      <c r="B15" s="1152"/>
      <c r="C15" s="1155"/>
      <c r="D15" s="405">
        <f t="shared" si="0"/>
        <v>0</v>
      </c>
      <c r="H15" s="1157">
        <f>+H12</f>
        <v>3.7000000000000002E-3</v>
      </c>
      <c r="I15" s="1162">
        <v>3.8E-3</v>
      </c>
      <c r="J15" s="1165">
        <f>+I15-H15</f>
        <v>9.9999999999999829E-5</v>
      </c>
      <c r="K15" s="1162">
        <f>+J15*18</f>
        <v>1.7999999999999969E-3</v>
      </c>
      <c r="L15" s="1163">
        <f>+K15*1000</f>
        <v>1.7999999999999969</v>
      </c>
    </row>
    <row r="16" spans="1:12">
      <c r="A16" s="1152"/>
      <c r="B16" s="1152"/>
      <c r="C16" s="1155"/>
      <c r="D16" s="405">
        <f t="shared" si="0"/>
        <v>0</v>
      </c>
      <c r="H16" s="1157">
        <f>+H12</f>
        <v>3.7000000000000002E-3</v>
      </c>
      <c r="I16" s="1162">
        <v>3.8E-3</v>
      </c>
      <c r="J16" s="1165">
        <f>+I16-H16</f>
        <v>9.9999999999999829E-5</v>
      </c>
      <c r="K16" s="1162">
        <f>+J16*18</f>
        <v>1.7999999999999969E-3</v>
      </c>
      <c r="L16" s="1163">
        <f>+K16*1000</f>
        <v>1.7999999999999969</v>
      </c>
    </row>
    <row r="17" spans="3:12">
      <c r="C17" s="1143"/>
      <c r="D17" s="1158">
        <f>AVERAGE(D15:D16)</f>
        <v>0</v>
      </c>
      <c r="L17" s="1144">
        <f>AVERAGE(L12:L16)</f>
        <v>1.7999999999999967</v>
      </c>
    </row>
    <row r="18" spans="3:12">
      <c r="D18" s="1159">
        <f>+D17*1000</f>
        <v>0</v>
      </c>
    </row>
  </sheetData>
  <mergeCells count="4">
    <mergeCell ref="H1:L1"/>
    <mergeCell ref="A3:D3"/>
    <mergeCell ref="H9:K9"/>
    <mergeCell ref="H10:L10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1">
    <pageSetUpPr fitToPage="1"/>
  </sheetPr>
  <dimension ref="A8:E18"/>
  <sheetViews>
    <sheetView showGridLines="0" view="pageBreakPreview" topLeftCell="A16" zoomScale="60" zoomScaleNormal="78" workbookViewId="0">
      <selection activeCell="O10" sqref="O10"/>
    </sheetView>
  </sheetViews>
  <sheetFormatPr baseColWidth="10" defaultColWidth="11" defaultRowHeight="15"/>
  <cols>
    <col min="2" max="2" width="34" customWidth="1"/>
    <col min="3" max="3" width="39" customWidth="1"/>
    <col min="4" max="4" width="42.5703125" customWidth="1"/>
  </cols>
  <sheetData>
    <row r="8" spans="1:5">
      <c r="A8" s="1872"/>
      <c r="B8" s="1872"/>
      <c r="C8" s="1872"/>
      <c r="D8" s="1872"/>
      <c r="E8" s="1144"/>
    </row>
    <row r="9" spans="1:5">
      <c r="A9" s="1872"/>
      <c r="B9" s="1872"/>
      <c r="C9" s="1872"/>
      <c r="D9" s="1872"/>
      <c r="E9" s="1144"/>
    </row>
    <row r="10" spans="1:5" ht="34.5">
      <c r="A10" s="1873" t="s">
        <v>93</v>
      </c>
      <c r="B10" s="1874"/>
      <c r="C10" s="1145" t="s">
        <v>94</v>
      </c>
      <c r="D10" s="1146" t="s">
        <v>95</v>
      </c>
    </row>
    <row r="11" spans="1:5" ht="34.5">
      <c r="A11" s="1875" t="s">
        <v>96</v>
      </c>
      <c r="B11" s="1876"/>
      <c r="C11" s="1147" t="s">
        <v>97</v>
      </c>
      <c r="D11" s="1148" t="s">
        <v>98</v>
      </c>
    </row>
    <row r="12" spans="1:5" ht="69">
      <c r="A12" s="1868" t="s">
        <v>99</v>
      </c>
      <c r="B12" s="1869"/>
      <c r="C12" s="1149" t="s">
        <v>100</v>
      </c>
      <c r="D12" s="1150" t="s">
        <v>101</v>
      </c>
    </row>
    <row r="13" spans="1:5" ht="72" customHeight="1">
      <c r="A13" s="1866" t="s">
        <v>102</v>
      </c>
      <c r="B13" s="1867"/>
      <c r="C13" s="1149" t="s">
        <v>100</v>
      </c>
      <c r="D13" s="1150" t="s">
        <v>103</v>
      </c>
    </row>
    <row r="14" spans="1:5" ht="72" customHeight="1">
      <c r="A14" s="1866" t="s">
        <v>104</v>
      </c>
      <c r="B14" s="1867"/>
      <c r="C14" s="1147" t="s">
        <v>97</v>
      </c>
      <c r="D14" s="1150" t="s">
        <v>105</v>
      </c>
    </row>
    <row r="15" spans="1:5" ht="72" customHeight="1">
      <c r="A15" s="1866" t="s">
        <v>106</v>
      </c>
      <c r="B15" s="1867"/>
      <c r="C15" s="1147" t="s">
        <v>97</v>
      </c>
      <c r="D15" s="1150" t="s">
        <v>105</v>
      </c>
    </row>
    <row r="16" spans="1:5" ht="72" customHeight="1">
      <c r="A16" s="1866" t="s">
        <v>107</v>
      </c>
      <c r="B16" s="1867"/>
      <c r="C16" s="1147" t="s">
        <v>97</v>
      </c>
      <c r="D16" s="1150" t="s">
        <v>103</v>
      </c>
    </row>
    <row r="17" spans="1:4" ht="51.75" customHeight="1">
      <c r="A17" s="1868" t="s">
        <v>108</v>
      </c>
      <c r="B17" s="1869"/>
      <c r="C17" s="1147" t="s">
        <v>97</v>
      </c>
      <c r="D17" s="1150" t="s">
        <v>103</v>
      </c>
    </row>
    <row r="18" spans="1:4" ht="100.5" customHeight="1">
      <c r="A18" s="1870" t="s">
        <v>109</v>
      </c>
      <c r="B18" s="1871"/>
      <c r="C18" s="1149" t="s">
        <v>110</v>
      </c>
      <c r="D18" s="1150" t="s">
        <v>105</v>
      </c>
    </row>
  </sheetData>
  <mergeCells count="10">
    <mergeCell ref="A15:B15"/>
    <mergeCell ref="A16:B16"/>
    <mergeCell ref="A17:B17"/>
    <mergeCell ref="A18:B18"/>
    <mergeCell ref="A8:D9"/>
    <mergeCell ref="A10:B10"/>
    <mergeCell ref="A11:B11"/>
    <mergeCell ref="A12:B12"/>
    <mergeCell ref="A13:B13"/>
    <mergeCell ref="A14:B14"/>
  </mergeCells>
  <pageMargins left="0.70866141732283505" right="0.70866141732283505" top="0.74803149606299202" bottom="0.74803149606299202" header="0.31496062992126" footer="0.31496062992126"/>
  <pageSetup scale="71" fitToHeight="0" orientation="portrait" r:id="rId1"/>
  <rowBreaks count="1" manualBreakCount="1">
    <brk id="19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2"/>
  <dimension ref="A1:K3"/>
  <sheetViews>
    <sheetView workbookViewId="0">
      <selection activeCell="K10" sqref="K10"/>
    </sheetView>
  </sheetViews>
  <sheetFormatPr baseColWidth="10" defaultColWidth="11" defaultRowHeight="15"/>
  <cols>
    <col min="3" max="3" width="14.28515625" customWidth="1"/>
    <col min="9" max="9" width="16.42578125" customWidth="1"/>
  </cols>
  <sheetData>
    <row r="1" spans="1:11">
      <c r="A1" t="s">
        <v>111</v>
      </c>
      <c r="B1" s="1796" t="s">
        <v>112</v>
      </c>
      <c r="C1" s="1796"/>
      <c r="D1" s="1796"/>
      <c r="E1" s="1796"/>
      <c r="F1" s="1796"/>
      <c r="G1" s="1796"/>
      <c r="H1" s="1796"/>
      <c r="I1" s="311" t="s">
        <v>113</v>
      </c>
      <c r="J1" t="s">
        <v>114</v>
      </c>
      <c r="K1" t="s">
        <v>115</v>
      </c>
    </row>
    <row r="2" spans="1:11">
      <c r="B2" s="171"/>
      <c r="C2" s="171"/>
      <c r="D2" s="171"/>
      <c r="E2" s="171"/>
      <c r="F2" s="171"/>
      <c r="G2" s="171"/>
      <c r="H2" s="171"/>
    </row>
    <row r="3" spans="1:11">
      <c r="K3" s="1143"/>
    </row>
  </sheetData>
  <mergeCells count="1">
    <mergeCell ref="B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2AC96-9075-4B70-81DF-B46666C5198D}">
  <sheetPr codeName="Hoja9"/>
  <dimension ref="B1:L104"/>
  <sheetViews>
    <sheetView topLeftCell="A84" zoomScale="73" zoomScaleNormal="73" workbookViewId="0">
      <selection activeCell="H110" sqref="H110"/>
    </sheetView>
  </sheetViews>
  <sheetFormatPr baseColWidth="10" defaultRowHeight="15"/>
  <cols>
    <col min="3" max="3" width="8.42578125" customWidth="1"/>
    <col min="4" max="4" width="64.7109375" bestFit="1" customWidth="1"/>
    <col min="5" max="5" width="24.140625" customWidth="1"/>
    <col min="6" max="6" width="23.7109375" customWidth="1"/>
    <col min="7" max="7" width="30.42578125" customWidth="1"/>
    <col min="8" max="8" width="11.5703125" bestFit="1" customWidth="1"/>
    <col min="9" max="9" width="10.140625" customWidth="1"/>
    <col min="10" max="10" width="15" customWidth="1"/>
    <col min="11" max="11" width="13.140625" bestFit="1" customWidth="1"/>
    <col min="12" max="12" width="16.5703125" bestFit="1" customWidth="1"/>
  </cols>
  <sheetData>
    <row r="1" spans="3:12" ht="15.75" thickBot="1">
      <c r="K1" s="1423" t="s">
        <v>714</v>
      </c>
      <c r="L1" s="1423" t="s">
        <v>784</v>
      </c>
    </row>
    <row r="2" spans="3:12">
      <c r="K2" s="1424" t="s">
        <v>444</v>
      </c>
      <c r="L2" s="1424">
        <v>12</v>
      </c>
    </row>
    <row r="3" spans="3:12">
      <c r="K3" s="1425" t="s">
        <v>445</v>
      </c>
      <c r="L3" s="1425">
        <v>12</v>
      </c>
    </row>
    <row r="4" spans="3:12">
      <c r="K4" s="1425" t="s">
        <v>785</v>
      </c>
      <c r="L4" s="1425">
        <v>18</v>
      </c>
    </row>
    <row r="5" spans="3:12">
      <c r="K5" s="1425" t="s">
        <v>778</v>
      </c>
      <c r="L5" s="1425">
        <v>24</v>
      </c>
    </row>
    <row r="6" spans="3:12" ht="15.75" thickBot="1">
      <c r="D6" s="1877" t="s">
        <v>786</v>
      </c>
      <c r="E6" s="1877"/>
      <c r="F6" s="1877"/>
      <c r="G6" s="1877"/>
      <c r="H6" s="1877"/>
      <c r="I6" s="1877"/>
      <c r="J6" s="1877"/>
      <c r="K6" s="1426" t="s">
        <v>595</v>
      </c>
      <c r="L6" s="1426">
        <v>24</v>
      </c>
    </row>
    <row r="7" spans="3:12">
      <c r="D7" s="1877"/>
      <c r="E7" s="1877"/>
      <c r="F7" s="1877"/>
      <c r="G7" s="1877"/>
      <c r="H7" s="1877"/>
      <c r="I7" s="1877"/>
      <c r="J7" s="1877"/>
    </row>
    <row r="8" spans="3:12" ht="15.75" thickBot="1"/>
    <row r="9" spans="3:12" ht="15.75" thickBot="1">
      <c r="C9" s="1573" t="s">
        <v>1276</v>
      </c>
      <c r="D9" s="1574" t="s">
        <v>672</v>
      </c>
      <c r="E9" s="1574" t="s">
        <v>780</v>
      </c>
      <c r="F9" s="1574" t="s">
        <v>781</v>
      </c>
      <c r="G9" s="1574" t="s">
        <v>782</v>
      </c>
      <c r="H9" s="1575" t="s">
        <v>63</v>
      </c>
      <c r="I9" s="1574" t="s">
        <v>134</v>
      </c>
      <c r="J9" s="1574" t="s">
        <v>783</v>
      </c>
      <c r="K9" s="1622" t="s">
        <v>1313</v>
      </c>
      <c r="L9" s="1622" t="s">
        <v>1405</v>
      </c>
    </row>
    <row r="10" spans="3:12">
      <c r="C10" s="1572"/>
      <c r="D10" s="1585" t="s">
        <v>789</v>
      </c>
      <c r="E10" s="1572">
        <v>89472</v>
      </c>
      <c r="F10" s="1572">
        <f>34100+6685+6785+5425</f>
        <v>52995</v>
      </c>
      <c r="G10" s="1572">
        <f>2910*12</f>
        <v>34920</v>
      </c>
      <c r="H10" s="1585">
        <f t="shared" ref="H10:H15" si="0">+E10-F10</f>
        <v>36477</v>
      </c>
      <c r="I10" s="1572">
        <f t="shared" ref="I10:I15" si="1">+H10-G10</f>
        <v>1557</v>
      </c>
      <c r="J10" s="1576">
        <f t="shared" ref="J10:J26" si="2">IF(H10&gt;0,I10/H10,"")</f>
        <v>4.2684431285467554E-2</v>
      </c>
    </row>
    <row r="11" spans="3:12">
      <c r="C11" s="1566"/>
      <c r="D11" s="1583" t="s">
        <v>787</v>
      </c>
      <c r="E11" s="1566">
        <v>47520</v>
      </c>
      <c r="F11" s="1566">
        <f>6740+6760+1429</f>
        <v>14929</v>
      </c>
      <c r="G11" s="1566">
        <f>2552*12</f>
        <v>30624</v>
      </c>
      <c r="H11" s="1583">
        <f t="shared" si="0"/>
        <v>32591</v>
      </c>
      <c r="I11" s="1566">
        <f t="shared" si="1"/>
        <v>1967</v>
      </c>
      <c r="J11" s="1577">
        <f t="shared" si="2"/>
        <v>6.0354085483722501E-2</v>
      </c>
    </row>
    <row r="12" spans="3:12">
      <c r="C12" s="1566"/>
      <c r="D12" s="1583" t="s">
        <v>790</v>
      </c>
      <c r="E12" s="1566">
        <v>177481</v>
      </c>
      <c r="F12" s="1566">
        <f>10135+56240+14140*4</f>
        <v>122935</v>
      </c>
      <c r="G12" s="1566">
        <f>2189*24</f>
        <v>52536</v>
      </c>
      <c r="H12" s="1583">
        <f t="shared" si="0"/>
        <v>54546</v>
      </c>
      <c r="I12" s="1566">
        <f t="shared" si="1"/>
        <v>2010</v>
      </c>
      <c r="J12" s="1577">
        <f t="shared" si="2"/>
        <v>3.6849631503684963E-2</v>
      </c>
    </row>
    <row r="13" spans="3:12">
      <c r="C13" s="1566"/>
      <c r="D13" s="1583" t="s">
        <v>788</v>
      </c>
      <c r="E13" s="1566">
        <v>61601</v>
      </c>
      <c r="F13" s="1566">
        <f>7050*4+459+6970</f>
        <v>35629</v>
      </c>
      <c r="G13" s="1566">
        <f>2089*12</f>
        <v>25068</v>
      </c>
      <c r="H13" s="1583">
        <f t="shared" si="0"/>
        <v>25972</v>
      </c>
      <c r="I13" s="1566">
        <f t="shared" si="1"/>
        <v>904</v>
      </c>
      <c r="J13" s="1577">
        <f t="shared" si="2"/>
        <v>3.4806714923764054E-2</v>
      </c>
    </row>
    <row r="14" spans="3:12">
      <c r="C14" s="1566"/>
      <c r="D14" s="1583" t="s">
        <v>1266</v>
      </c>
      <c r="E14" s="1566">
        <v>68692</v>
      </c>
      <c r="F14" s="1566">
        <f>14915*2+859</f>
        <v>30689</v>
      </c>
      <c r="G14" s="1566">
        <f>1484*24</f>
        <v>35616</v>
      </c>
      <c r="H14" s="1583">
        <f t="shared" si="0"/>
        <v>38003</v>
      </c>
      <c r="I14" s="1566">
        <f t="shared" si="1"/>
        <v>2387</v>
      </c>
      <c r="J14" s="1577">
        <f t="shared" si="2"/>
        <v>6.2810830723890224E-2</v>
      </c>
    </row>
    <row r="15" spans="3:12">
      <c r="C15" s="1566"/>
      <c r="D15" s="1586" t="s">
        <v>1266</v>
      </c>
      <c r="E15" s="1567">
        <f>+E14+41529+34583+14055+65543</f>
        <v>224402</v>
      </c>
      <c r="F15" s="1567">
        <f>+F14</f>
        <v>30689</v>
      </c>
      <c r="G15" s="1567">
        <f>7783*24</f>
        <v>186792</v>
      </c>
      <c r="H15" s="1586">
        <f t="shared" si="0"/>
        <v>193713</v>
      </c>
      <c r="I15" s="1567">
        <f t="shared" si="1"/>
        <v>6921</v>
      </c>
      <c r="J15" s="1578">
        <f t="shared" si="2"/>
        <v>3.5728113239689642E-2</v>
      </c>
    </row>
    <row r="16" spans="3:12">
      <c r="C16" s="1566"/>
      <c r="D16" s="1583" t="s">
        <v>1267</v>
      </c>
      <c r="E16" s="1566">
        <v>58035</v>
      </c>
      <c r="F16" s="1566">
        <f>3855+6910+6910+6905+6905</f>
        <v>31485</v>
      </c>
      <c r="G16" s="1566">
        <f>2098*12</f>
        <v>25176</v>
      </c>
      <c r="H16" s="1583">
        <f>+Tabla4[[#This Row],[Inv. Inicial (Adempiere)]]-Tabla4[[#This Row],[Inventario Final (Fisico)]]</f>
        <v>26550</v>
      </c>
      <c r="I16" s="1566">
        <f>+Tabla4[[#This Row],[Consumo]]-Tabla4[[#This Row],[Cantidad Teorica (Cajas prod)]]</f>
        <v>1374</v>
      </c>
      <c r="J16" s="1578">
        <f t="shared" si="2"/>
        <v>5.1751412429378529E-2</v>
      </c>
    </row>
    <row r="17" spans="2:10">
      <c r="C17" s="1566"/>
      <c r="D17" s="1583" t="s">
        <v>1268</v>
      </c>
      <c r="E17" s="1566">
        <v>73076</v>
      </c>
      <c r="F17" s="1566">
        <f>2701+12200*4</f>
        <v>51501</v>
      </c>
      <c r="G17" s="1566">
        <f>828*24</f>
        <v>19872</v>
      </c>
      <c r="H17" s="1589">
        <f>+Tabla4[[#This Row],[Inv. Inicial (Adempiere)]]-Tabla4[[#This Row],[Inventario Final (Fisico)]]</f>
        <v>21575</v>
      </c>
      <c r="I17" s="1566">
        <f>+Tabla4[[#This Row],[Consumo]]-Tabla4[[#This Row],[Cantidad Teorica (Cajas prod)]]</f>
        <v>1703</v>
      </c>
      <c r="J17" s="1578">
        <f t="shared" si="2"/>
        <v>7.8933951332560828E-2</v>
      </c>
    </row>
    <row r="18" spans="2:10">
      <c r="C18" s="1566"/>
      <c r="D18" s="1583" t="s">
        <v>1266</v>
      </c>
      <c r="E18" s="1566">
        <v>99499</v>
      </c>
      <c r="F18" s="1566">
        <f>15005*3+10805</f>
        <v>55820</v>
      </c>
      <c r="G18" s="1566">
        <f>1792*24</f>
        <v>43008</v>
      </c>
      <c r="H18" s="1583">
        <f>+Tabla4[[#This Row],[Inv. Inicial (Adempiere)]]-Tabla4[[#This Row],[Inventario Final (Fisico)]]</f>
        <v>43679</v>
      </c>
      <c r="I18" s="1566">
        <f>+Tabla4[[#This Row],[Consumo]]-Tabla4[[#This Row],[Cantidad Teorica (Cajas prod)]]</f>
        <v>671</v>
      </c>
      <c r="J18" s="1578">
        <f t="shared" si="2"/>
        <v>1.5362073307539092E-2</v>
      </c>
    </row>
    <row r="19" spans="2:10">
      <c r="C19" s="1566"/>
      <c r="D19" s="1583" t="s">
        <v>1269</v>
      </c>
      <c r="E19" s="1566">
        <v>98380</v>
      </c>
      <c r="F19" s="1566">
        <f>34750+6950+5471</f>
        <v>47171</v>
      </c>
      <c r="G19" s="1566">
        <f>4255*12</f>
        <v>51060</v>
      </c>
      <c r="H19" s="1587">
        <f>+Tabla4[[#This Row],[Inv. Inicial (Adempiere)]]-Tabla4[[#This Row],[Inventario Final (Fisico)]]</f>
        <v>51209</v>
      </c>
      <c r="I19" s="1566">
        <f>+Tabla4[[#This Row],[Consumo]]-Tabla4[[#This Row],[Cantidad Teorica (Cajas prod)]]</f>
        <v>149</v>
      </c>
      <c r="J19" s="1578">
        <f t="shared" si="2"/>
        <v>2.9096447890019331E-3</v>
      </c>
    </row>
    <row r="20" spans="2:10">
      <c r="C20" s="1566"/>
      <c r="D20" s="1583" t="s">
        <v>1270</v>
      </c>
      <c r="E20" s="1566">
        <v>231053</v>
      </c>
      <c r="F20" s="1566">
        <f>111365+12070*5+9914</f>
        <v>181629</v>
      </c>
      <c r="G20" s="1566">
        <f>1902*24</f>
        <v>45648</v>
      </c>
      <c r="H20" s="1590">
        <f>+Tabla4[[#This Row],[Inv. Inicial (Adempiere)]]-Tabla4[[#This Row],[Inventario Final (Fisico)]]</f>
        <v>49424</v>
      </c>
      <c r="I20" s="1566">
        <f>+Tabla4[[#This Row],[Consumo]]-Tabla4[[#This Row],[Cantidad Teorica (Cajas prod)]]</f>
        <v>3776</v>
      </c>
      <c r="J20" s="1579">
        <f t="shared" si="2"/>
        <v>7.6400129491744906E-2</v>
      </c>
    </row>
    <row r="21" spans="2:10">
      <c r="C21" s="1566"/>
      <c r="D21" s="1583" t="str">
        <f>+D19</f>
        <v>ENVASE MANZANA 1000 CC</v>
      </c>
      <c r="E21" s="1566">
        <f>107284+24225+206828</f>
        <v>338337</v>
      </c>
      <c r="F21" s="1566">
        <f>12070*5+111365+9914</f>
        <v>181629</v>
      </c>
      <c r="G21" s="1566">
        <f>6242*24</f>
        <v>149808</v>
      </c>
      <c r="H21" s="1583">
        <f>+Tabla4[[#This Row],[Inv. Inicial (Adempiere)]]-Tabla4[[#This Row],[Inventario Final (Fisico)]]</f>
        <v>156708</v>
      </c>
      <c r="I21" s="1566">
        <f>+Tabla4[[#This Row],[Consumo]]-Tabla4[[#This Row],[Cantidad Teorica (Cajas prod)]]</f>
        <v>6900</v>
      </c>
      <c r="J21" s="1577">
        <f t="shared" si="2"/>
        <v>4.4030936518875873E-2</v>
      </c>
    </row>
    <row r="22" spans="2:10">
      <c r="C22" s="1566"/>
      <c r="D22" s="1583" t="s">
        <v>1271</v>
      </c>
      <c r="E22" s="1566">
        <v>274539</v>
      </c>
      <c r="F22" s="1566">
        <f>134375+14072</f>
        <v>148447</v>
      </c>
      <c r="G22" s="1566">
        <f>5095*24</f>
        <v>122280</v>
      </c>
      <c r="H22" s="1587">
        <f>+Tabla4[[#This Row],[Inv. Inicial (Adempiere)]]-Tabla4[[#This Row],[Inventario Final (Fisico)]]</f>
        <v>126092</v>
      </c>
      <c r="I22" s="1566">
        <f>+Tabla4[[#This Row],[Consumo]]-Tabla4[[#This Row],[Cantidad Teorica (Cajas prod)]]</f>
        <v>3812</v>
      </c>
      <c r="J22" s="1577">
        <f t="shared" si="2"/>
        <v>3.0231894172508961E-2</v>
      </c>
    </row>
    <row r="23" spans="2:10">
      <c r="C23" s="1566"/>
      <c r="D23" s="1583" t="s">
        <v>1266</v>
      </c>
      <c r="E23" s="1566">
        <v>100075</v>
      </c>
      <c r="F23" s="1566">
        <f>11796+14915</f>
        <v>26711</v>
      </c>
      <c r="G23" s="1566">
        <f>2863*24</f>
        <v>68712</v>
      </c>
      <c r="H23" s="1587">
        <f t="shared" ref="H23:H30" si="3">+E23-F23</f>
        <v>73364</v>
      </c>
      <c r="I23" s="1566">
        <f t="shared" ref="I23:I30" si="4">+H23-G23</f>
        <v>4652</v>
      </c>
      <c r="J23" s="1580">
        <f t="shared" si="2"/>
        <v>6.3409846791341803E-2</v>
      </c>
    </row>
    <row r="24" spans="2:10">
      <c r="C24" s="1566"/>
      <c r="D24" s="1587" t="str">
        <f>+D23</f>
        <v>ENVASE JUCOSA MANZANA 200 CC</v>
      </c>
      <c r="E24" s="1568">
        <f>+E23+89980</f>
        <v>190055</v>
      </c>
      <c r="F24" s="1568">
        <f>+F23</f>
        <v>26711</v>
      </c>
      <c r="G24" s="1568">
        <f>6503*24</f>
        <v>156072</v>
      </c>
      <c r="H24" s="1587">
        <f t="shared" si="3"/>
        <v>163344</v>
      </c>
      <c r="I24" s="1568">
        <f t="shared" si="4"/>
        <v>7272</v>
      </c>
      <c r="J24" s="1581">
        <f t="shared" si="2"/>
        <v>4.4519541580957979E-2</v>
      </c>
    </row>
    <row r="25" spans="2:10">
      <c r="C25" s="1566"/>
      <c r="D25" s="1583" t="s">
        <v>790</v>
      </c>
      <c r="E25" s="1566">
        <v>157184</v>
      </c>
      <c r="F25" s="1566">
        <v>12308</v>
      </c>
      <c r="G25" s="1566">
        <f>5933*24</f>
        <v>142392</v>
      </c>
      <c r="H25" s="1591">
        <f t="shared" si="3"/>
        <v>144876</v>
      </c>
      <c r="I25" s="1566">
        <f t="shared" si="4"/>
        <v>2484</v>
      </c>
      <c r="J25" s="1580">
        <f t="shared" si="2"/>
        <v>1.7145697009856704E-2</v>
      </c>
    </row>
    <row r="26" spans="2:10">
      <c r="C26" s="1566"/>
      <c r="D26" s="1583" t="s">
        <v>1268</v>
      </c>
      <c r="E26" s="1566">
        <v>161301</v>
      </c>
      <c r="F26" s="1566">
        <f>9618+109800</f>
        <v>119418</v>
      </c>
      <c r="G26" s="1566">
        <f>1635*24</f>
        <v>39240</v>
      </c>
      <c r="H26" s="1592">
        <f t="shared" si="3"/>
        <v>41883</v>
      </c>
      <c r="I26" s="1566">
        <f t="shared" si="4"/>
        <v>2643</v>
      </c>
      <c r="J26" s="1582">
        <f t="shared" si="2"/>
        <v>6.3104362151708324E-2</v>
      </c>
    </row>
    <row r="27" spans="2:10">
      <c r="C27" s="1566"/>
      <c r="D27" s="1583" t="s">
        <v>1272</v>
      </c>
      <c r="E27" s="1566"/>
      <c r="F27" s="1566">
        <f>14210*3+1006</f>
        <v>43636</v>
      </c>
      <c r="G27" s="1566"/>
      <c r="H27" s="1583">
        <f t="shared" si="3"/>
        <v>-43636</v>
      </c>
      <c r="I27" s="1566">
        <f t="shared" si="4"/>
        <v>-43636</v>
      </c>
      <c r="J27" s="1583" t="str">
        <f t="shared" ref="J27:J32" si="5">IF(H27&gt;0,I27/H27,"")</f>
        <v/>
      </c>
    </row>
    <row r="28" spans="2:10">
      <c r="C28" s="1566">
        <v>16</v>
      </c>
      <c r="D28" s="1583" t="s">
        <v>1273</v>
      </c>
      <c r="E28" s="1569">
        <v>69245</v>
      </c>
      <c r="F28" s="1566">
        <f>6925*2+3480</f>
        <v>17330</v>
      </c>
      <c r="G28" s="1566">
        <f>4188*12</f>
        <v>50256</v>
      </c>
      <c r="H28" s="1583">
        <f t="shared" si="3"/>
        <v>51915</v>
      </c>
      <c r="I28" s="1566">
        <f t="shared" si="4"/>
        <v>1659</v>
      </c>
      <c r="J28" s="1577">
        <f t="shared" si="5"/>
        <v>3.1956082057208901E-2</v>
      </c>
    </row>
    <row r="29" spans="2:10">
      <c r="C29" s="1566">
        <v>16</v>
      </c>
      <c r="D29" s="1583" t="s">
        <v>1274</v>
      </c>
      <c r="E29" s="1569">
        <v>61266</v>
      </c>
      <c r="F29" s="1566">
        <f>12325*2+1756</f>
        <v>26406</v>
      </c>
      <c r="G29" s="1566">
        <f>1388*24</f>
        <v>33312</v>
      </c>
      <c r="H29" s="1583">
        <f t="shared" si="3"/>
        <v>34860</v>
      </c>
      <c r="I29" s="1566">
        <f t="shared" si="4"/>
        <v>1548</v>
      </c>
      <c r="J29" s="1577">
        <f t="shared" si="5"/>
        <v>4.4406196213425127E-2</v>
      </c>
    </row>
    <row r="30" spans="2:10" ht="15.75" thickBot="1">
      <c r="C30" s="1570">
        <v>16</v>
      </c>
      <c r="D30" s="1588" t="s">
        <v>1275</v>
      </c>
      <c r="E30" s="1571">
        <v>47028</v>
      </c>
      <c r="F30" s="1570">
        <v>11688</v>
      </c>
      <c r="G30" s="1570">
        <f>1434*24</f>
        <v>34416</v>
      </c>
      <c r="H30" s="1588">
        <f t="shared" si="3"/>
        <v>35340</v>
      </c>
      <c r="I30" s="1570">
        <f t="shared" si="4"/>
        <v>924</v>
      </c>
      <c r="J30" s="1584">
        <f t="shared" si="5"/>
        <v>2.6146010186757215E-2</v>
      </c>
    </row>
    <row r="31" spans="2:10" ht="15.75" thickBot="1">
      <c r="C31" s="1598">
        <v>16</v>
      </c>
      <c r="D31" s="1623" t="s">
        <v>1277</v>
      </c>
      <c r="E31" s="1596">
        <v>54678</v>
      </c>
      <c r="F31" s="1593">
        <f>12410*3+4830</f>
        <v>42060</v>
      </c>
      <c r="G31" s="1594">
        <f>424*18</f>
        <v>7632</v>
      </c>
      <c r="H31" s="1597">
        <f t="shared" ref="H31:H36" si="6">+E31-F31</f>
        <v>12618</v>
      </c>
      <c r="I31" s="1595">
        <f t="shared" ref="I31:I36" si="7">+H31-G31</f>
        <v>4986</v>
      </c>
      <c r="J31" s="1584">
        <f t="shared" si="5"/>
        <v>0.39514978601997147</v>
      </c>
    </row>
    <row r="32" spans="2:10" ht="15.75" thickBot="1">
      <c r="B32" s="1599" t="s">
        <v>1278</v>
      </c>
      <c r="C32" s="305">
        <v>16</v>
      </c>
      <c r="D32" s="1624" t="s">
        <v>1277</v>
      </c>
      <c r="E32" s="1600">
        <f>+E31+33372</f>
        <v>88050</v>
      </c>
      <c r="F32" s="1601">
        <f>+F31</f>
        <v>42060</v>
      </c>
      <c r="G32" s="1602">
        <f>2224*18</f>
        <v>40032</v>
      </c>
      <c r="H32" s="1597">
        <f t="shared" si="6"/>
        <v>45990</v>
      </c>
      <c r="I32" s="1603">
        <f t="shared" si="7"/>
        <v>5958</v>
      </c>
      <c r="J32" s="1604">
        <f t="shared" si="5"/>
        <v>0.12954990215264187</v>
      </c>
    </row>
    <row r="33" spans="3:11">
      <c r="D33" s="1623" t="s">
        <v>1279</v>
      </c>
      <c r="E33" s="1606">
        <f>401571+16953</f>
        <v>418524</v>
      </c>
      <c r="F33" s="1593">
        <f>+F31+221777</f>
        <v>263837</v>
      </c>
      <c r="G33" s="1594">
        <f>7815*18</f>
        <v>140670</v>
      </c>
      <c r="H33" s="1605">
        <f t="shared" si="6"/>
        <v>154687</v>
      </c>
      <c r="I33" s="1595">
        <f t="shared" si="7"/>
        <v>14017</v>
      </c>
      <c r="J33" s="1607">
        <f>IF(H33&gt;0,I33/H33,"")</f>
        <v>9.0615242392702688E-2</v>
      </c>
    </row>
    <row r="34" spans="3:11">
      <c r="C34">
        <v>17</v>
      </c>
      <c r="D34" s="1624" t="s">
        <v>1273</v>
      </c>
      <c r="E34" s="1601">
        <v>79245</v>
      </c>
      <c r="F34" s="1601">
        <f>34625+6925+1880</f>
        <v>43430</v>
      </c>
      <c r="G34" s="1602">
        <f>+(2830+85)*12</f>
        <v>34980</v>
      </c>
      <c r="H34" s="1597">
        <f t="shared" si="6"/>
        <v>35815</v>
      </c>
      <c r="I34" s="1603">
        <f t="shared" si="7"/>
        <v>835</v>
      </c>
      <c r="J34" s="1610">
        <f>IF(H34&gt;0,I34/H34,"")</f>
        <v>2.3314253804271955E-2</v>
      </c>
    </row>
    <row r="35" spans="3:11">
      <c r="C35">
        <v>17</v>
      </c>
      <c r="D35" s="1623" t="s">
        <v>1284</v>
      </c>
      <c r="E35" s="1593">
        <v>15474</v>
      </c>
      <c r="F35" s="1593">
        <v>0</v>
      </c>
      <c r="G35" s="1609">
        <f>1274*12</f>
        <v>15288</v>
      </c>
      <c r="H35" s="1605">
        <f t="shared" si="6"/>
        <v>15474</v>
      </c>
      <c r="I35" s="1595">
        <f t="shared" si="7"/>
        <v>186</v>
      </c>
      <c r="J35" s="1607">
        <f>IF(H35&gt;0,I35/H35,"")</f>
        <v>1.202016285381931E-2</v>
      </c>
    </row>
    <row r="36" spans="3:11">
      <c r="D36" s="1623" t="s">
        <v>1285</v>
      </c>
      <c r="E36" s="1606">
        <v>276877</v>
      </c>
      <c r="F36" s="1593">
        <f>110690*2+12285+3179</f>
        <v>236844</v>
      </c>
      <c r="G36" s="1594">
        <f>1571*24</f>
        <v>37704</v>
      </c>
      <c r="H36" s="1597">
        <f t="shared" si="6"/>
        <v>40033</v>
      </c>
      <c r="I36" s="1595">
        <f t="shared" si="7"/>
        <v>2329</v>
      </c>
      <c r="J36" s="1607">
        <f t="shared" ref="J36:J104" si="8">IF(H36&gt;0,I36/H36,"")</f>
        <v>5.8177003971723332E-2</v>
      </c>
    </row>
    <row r="37" spans="3:11">
      <c r="D37" s="1623" t="s">
        <v>1277</v>
      </c>
      <c r="E37" s="1606">
        <v>44037</v>
      </c>
      <c r="F37" s="1593">
        <v>0</v>
      </c>
      <c r="G37" s="1594">
        <f>2130*18</f>
        <v>38340</v>
      </c>
      <c r="H37" s="1597">
        <f t="shared" ref="H37:H42" si="9">+E37-F37</f>
        <v>44037</v>
      </c>
      <c r="I37" s="1595">
        <f t="shared" ref="I37:I42" si="10">+H37-G37</f>
        <v>5697</v>
      </c>
      <c r="J37" s="1607">
        <f t="shared" si="8"/>
        <v>0.12936848559166156</v>
      </c>
    </row>
    <row r="38" spans="3:11">
      <c r="C38">
        <v>18</v>
      </c>
      <c r="D38" s="1625" t="s">
        <v>1286</v>
      </c>
      <c r="E38" s="1617">
        <v>173984</v>
      </c>
      <c r="F38" s="1617">
        <f>34920+34790+35145+7015+1429</f>
        <v>113299</v>
      </c>
      <c r="G38" s="1618">
        <f>4906*12</f>
        <v>58872</v>
      </c>
      <c r="H38" s="1619">
        <f t="shared" si="9"/>
        <v>60685</v>
      </c>
      <c r="I38" s="1620">
        <f t="shared" si="10"/>
        <v>1813</v>
      </c>
      <c r="J38" s="1621">
        <f t="shared" si="8"/>
        <v>2.9875587047870147E-2</v>
      </c>
    </row>
    <row r="39" spans="3:11">
      <c r="C39">
        <v>18</v>
      </c>
      <c r="D39" s="1623" t="s">
        <v>1290</v>
      </c>
      <c r="E39" s="1593">
        <v>321628</v>
      </c>
      <c r="F39" s="1593">
        <f>108600+111390+12070*2+8435</f>
        <v>252565</v>
      </c>
      <c r="G39" s="1594">
        <f>2712*24</f>
        <v>65088</v>
      </c>
      <c r="H39" s="1605">
        <f t="shared" si="9"/>
        <v>69063</v>
      </c>
      <c r="I39" s="1595">
        <f t="shared" si="10"/>
        <v>3975</v>
      </c>
      <c r="J39" s="1607">
        <f t="shared" si="8"/>
        <v>5.7556144389904869E-2</v>
      </c>
    </row>
    <row r="40" spans="3:11">
      <c r="C40">
        <v>18</v>
      </c>
      <c r="D40" s="1623" t="s">
        <v>1293</v>
      </c>
      <c r="E40" s="1606">
        <v>14795</v>
      </c>
      <c r="F40" s="1593">
        <f>4*1600+1400*2+673</f>
        <v>9873</v>
      </c>
      <c r="G40" s="1594">
        <v>4906</v>
      </c>
      <c r="H40" s="1605">
        <f t="shared" si="9"/>
        <v>4922</v>
      </c>
      <c r="I40" s="1595">
        <f t="shared" si="10"/>
        <v>16</v>
      </c>
      <c r="J40" s="1607">
        <f t="shared" si="8"/>
        <v>3.2507110930516049E-3</v>
      </c>
    </row>
    <row r="41" spans="3:11">
      <c r="C41">
        <v>18</v>
      </c>
      <c r="D41" s="1623" t="s">
        <v>1301</v>
      </c>
      <c r="E41" s="1593">
        <v>58.27</v>
      </c>
      <c r="F41" s="1593">
        <f>12*2+21*0.5+10</f>
        <v>44.5</v>
      </c>
      <c r="G41" s="1594"/>
      <c r="H41" s="1605">
        <f t="shared" si="9"/>
        <v>13.770000000000003</v>
      </c>
      <c r="I41" s="1595">
        <f t="shared" si="10"/>
        <v>13.770000000000003</v>
      </c>
      <c r="J41" s="1607">
        <f t="shared" si="8"/>
        <v>1</v>
      </c>
    </row>
    <row r="42" spans="3:11">
      <c r="C42">
        <v>18</v>
      </c>
      <c r="D42" s="1623" t="s">
        <v>1291</v>
      </c>
      <c r="E42" s="1606">
        <v>174983</v>
      </c>
      <c r="F42" s="1593">
        <f>72000+14*3000+1579</f>
        <v>115579</v>
      </c>
      <c r="G42" s="1594">
        <f>4906*12</f>
        <v>58872</v>
      </c>
      <c r="H42" s="1605">
        <f t="shared" si="9"/>
        <v>59404</v>
      </c>
      <c r="I42" s="1595">
        <f t="shared" si="10"/>
        <v>532</v>
      </c>
      <c r="J42" s="1607">
        <f t="shared" si="8"/>
        <v>8.9556258837788696E-3</v>
      </c>
    </row>
    <row r="43" spans="3:11">
      <c r="D43" s="1623" t="s">
        <v>1285</v>
      </c>
      <c r="E43" s="1606">
        <v>236844</v>
      </c>
      <c r="F43" s="1593">
        <f>110690+1607+12437</f>
        <v>124734</v>
      </c>
      <c r="G43" s="1594">
        <f>4554*24</f>
        <v>109296</v>
      </c>
      <c r="H43" s="1597">
        <f t="shared" ref="H43:H48" si="11">+E43-F43</f>
        <v>112110</v>
      </c>
      <c r="I43" s="1595">
        <f t="shared" ref="I43:I48" si="12">+H43-G43</f>
        <v>2814</v>
      </c>
      <c r="J43" s="1607">
        <f t="shared" si="8"/>
        <v>2.5100347872625099E-2</v>
      </c>
      <c r="K43">
        <v>3</v>
      </c>
    </row>
    <row r="44" spans="3:11">
      <c r="C44" s="1626">
        <v>19</v>
      </c>
      <c r="D44" s="1623" t="s">
        <v>1287</v>
      </c>
      <c r="E44" s="1606">
        <v>106328</v>
      </c>
      <c r="F44" s="1593">
        <f>34955+7015*4+1311</f>
        <v>64326</v>
      </c>
      <c r="G44" s="1594">
        <f>3341*12</f>
        <v>40092</v>
      </c>
      <c r="H44" s="1597">
        <f t="shared" si="11"/>
        <v>42002</v>
      </c>
      <c r="I44" s="1595">
        <f t="shared" si="12"/>
        <v>1910</v>
      </c>
      <c r="J44" s="1607">
        <f t="shared" si="8"/>
        <v>4.5474025046426364E-2</v>
      </c>
    </row>
    <row r="45" spans="3:11">
      <c r="C45" s="1626">
        <v>19</v>
      </c>
      <c r="D45" s="1623" t="s">
        <v>1290</v>
      </c>
      <c r="E45" s="1606">
        <v>301760</v>
      </c>
      <c r="F45" s="1593">
        <f>111390+12435*2+5132+10344</f>
        <v>151736</v>
      </c>
      <c r="G45" s="1594">
        <f>5919*24</f>
        <v>142056</v>
      </c>
      <c r="H45" s="1597">
        <f t="shared" si="11"/>
        <v>150024</v>
      </c>
      <c r="I45" s="1595">
        <f t="shared" si="12"/>
        <v>7968</v>
      </c>
      <c r="J45" s="1607">
        <f t="shared" si="8"/>
        <v>5.3111502159654454E-2</v>
      </c>
    </row>
    <row r="46" spans="3:11">
      <c r="C46">
        <v>21</v>
      </c>
      <c r="D46" s="1627" t="s">
        <v>1287</v>
      </c>
      <c r="E46" s="1606">
        <v>102430</v>
      </c>
      <c r="F46" s="1593">
        <f>34625+7020*4+4981</f>
        <v>67686</v>
      </c>
      <c r="G46" s="1594">
        <f>2818*12</f>
        <v>33816</v>
      </c>
      <c r="H46" s="1605">
        <f t="shared" si="11"/>
        <v>34744</v>
      </c>
      <c r="I46" s="1595">
        <f t="shared" si="12"/>
        <v>928</v>
      </c>
      <c r="J46" s="1607">
        <f t="shared" si="8"/>
        <v>2.6709647708956941E-2</v>
      </c>
    </row>
    <row r="47" spans="3:11">
      <c r="C47">
        <v>21</v>
      </c>
      <c r="D47" s="1627" t="s">
        <v>1288</v>
      </c>
      <c r="E47" s="1606">
        <v>119733</v>
      </c>
      <c r="F47" s="1593">
        <f>34750+35250+7050*2+3123</f>
        <v>87223</v>
      </c>
      <c r="G47" s="1594">
        <f>2583*12</f>
        <v>30996</v>
      </c>
      <c r="H47" s="1605">
        <f t="shared" si="11"/>
        <v>32510</v>
      </c>
      <c r="I47" s="1595">
        <f t="shared" si="12"/>
        <v>1514</v>
      </c>
      <c r="J47" s="1607">
        <f t="shared" si="8"/>
        <v>4.6570286065825903E-2</v>
      </c>
    </row>
    <row r="48" spans="3:11">
      <c r="C48">
        <v>21</v>
      </c>
      <c r="D48" s="1627" t="s">
        <v>1314</v>
      </c>
      <c r="E48" s="1606">
        <v>222721</v>
      </c>
      <c r="F48" s="1593">
        <f>128065+14210*2+4959</f>
        <v>161444</v>
      </c>
      <c r="G48" s="1594">
        <f>2465*24</f>
        <v>59160</v>
      </c>
      <c r="H48" s="1605">
        <f t="shared" si="11"/>
        <v>61277</v>
      </c>
      <c r="I48" s="1595">
        <f t="shared" si="12"/>
        <v>2117</v>
      </c>
      <c r="J48" s="1607">
        <f t="shared" si="8"/>
        <v>3.4548035967818268E-2</v>
      </c>
    </row>
    <row r="49" spans="3:10">
      <c r="C49">
        <v>21</v>
      </c>
      <c r="D49" s="1623" t="s">
        <v>1287</v>
      </c>
      <c r="E49" s="1606">
        <v>102311</v>
      </c>
      <c r="F49" s="1593">
        <f>34625*2+1141</f>
        <v>70391</v>
      </c>
      <c r="G49" s="1594">
        <f>2585*12</f>
        <v>31020</v>
      </c>
      <c r="H49" s="1605">
        <f t="shared" ref="H49:H56" si="13">+E49-F49</f>
        <v>31920</v>
      </c>
      <c r="I49" s="1595">
        <f t="shared" ref="I49:I56" si="14">+H49-G49</f>
        <v>900</v>
      </c>
      <c r="J49" s="1607">
        <f t="shared" si="8"/>
        <v>2.819548872180451E-2</v>
      </c>
    </row>
    <row r="50" spans="3:10">
      <c r="C50">
        <v>21</v>
      </c>
      <c r="D50" s="1623" t="s">
        <v>1288</v>
      </c>
      <c r="E50" s="1606">
        <v>158637</v>
      </c>
      <c r="F50" s="1593">
        <f>35250+20845+34750+6750*2+696</f>
        <v>105041</v>
      </c>
      <c r="G50" s="1594">
        <f>4320*12</f>
        <v>51840</v>
      </c>
      <c r="H50" s="1597">
        <f t="shared" si="13"/>
        <v>53596</v>
      </c>
      <c r="I50" s="1595">
        <f t="shared" si="14"/>
        <v>1756</v>
      </c>
      <c r="J50" s="1607">
        <f t="shared" si="8"/>
        <v>3.2763639077543101E-2</v>
      </c>
    </row>
    <row r="51" spans="3:10">
      <c r="C51">
        <v>21</v>
      </c>
      <c r="D51" s="1623" t="s">
        <v>1290</v>
      </c>
      <c r="E51" s="1606">
        <v>301571</v>
      </c>
      <c r="F51" s="1593">
        <f>111255+107840+4978+12375*3</f>
        <v>261198</v>
      </c>
      <c r="G51" s="1594">
        <f>1586*24</f>
        <v>38064</v>
      </c>
      <c r="H51" s="1597">
        <f t="shared" si="13"/>
        <v>40373</v>
      </c>
      <c r="I51" s="1595">
        <f t="shared" si="14"/>
        <v>2309</v>
      </c>
      <c r="J51" s="1607">
        <f t="shared" si="8"/>
        <v>5.7191687513932582E-2</v>
      </c>
    </row>
    <row r="52" spans="3:10">
      <c r="C52">
        <v>21</v>
      </c>
      <c r="D52" s="1623" t="s">
        <v>1292</v>
      </c>
      <c r="E52" s="1606">
        <v>369565</v>
      </c>
      <c r="F52" s="1593">
        <f>13*25000+6956</f>
        <v>331956</v>
      </c>
      <c r="G52" s="1594">
        <f>+G51</f>
        <v>38064</v>
      </c>
      <c r="H52" s="1597">
        <f t="shared" si="13"/>
        <v>37609</v>
      </c>
      <c r="I52" s="1595">
        <f t="shared" si="14"/>
        <v>-455</v>
      </c>
      <c r="J52" s="1607">
        <f t="shared" si="8"/>
        <v>-1.2098167991704113E-2</v>
      </c>
    </row>
    <row r="53" spans="3:10">
      <c r="C53">
        <v>21</v>
      </c>
      <c r="D53" s="1623" t="s">
        <v>1294</v>
      </c>
      <c r="E53" s="1606">
        <v>13850</v>
      </c>
      <c r="F53" s="1593">
        <f>6*1600+1550+(11+9)*50+135</f>
        <v>12285</v>
      </c>
      <c r="G53" s="1594">
        <v>1586</v>
      </c>
      <c r="H53" s="1597">
        <f t="shared" si="13"/>
        <v>1565</v>
      </c>
      <c r="I53" s="1595">
        <f t="shared" si="14"/>
        <v>-21</v>
      </c>
      <c r="J53" s="1607">
        <f t="shared" si="8"/>
        <v>-1.34185303514377E-2</v>
      </c>
    </row>
    <row r="54" spans="3:10">
      <c r="D54" s="1627" t="s">
        <v>1286</v>
      </c>
      <c r="E54" s="1606">
        <f>79498+31518</f>
        <v>111016</v>
      </c>
      <c r="F54" s="1593">
        <f>6890+6900+7015+6975+4813</f>
        <v>32593</v>
      </c>
      <c r="G54" s="1594">
        <f>+(2550+3821)*12</f>
        <v>76452</v>
      </c>
      <c r="H54" s="1605">
        <f t="shared" si="13"/>
        <v>78423</v>
      </c>
      <c r="I54" s="1595">
        <f t="shared" si="14"/>
        <v>1971</v>
      </c>
      <c r="J54" s="1607">
        <f t="shared" si="8"/>
        <v>2.5132932940591407E-2</v>
      </c>
    </row>
    <row r="55" spans="3:10">
      <c r="D55" s="1627" t="s">
        <v>1285</v>
      </c>
      <c r="E55" s="1606">
        <f>149879+24225</f>
        <v>174104</v>
      </c>
      <c r="F55" s="1593">
        <f>49295+12340+12325*2+7152</f>
        <v>93437</v>
      </c>
      <c r="G55" s="1594">
        <f>+(980+2281)*24</f>
        <v>78264</v>
      </c>
      <c r="H55" s="1605">
        <f t="shared" si="13"/>
        <v>80667</v>
      </c>
      <c r="I55" s="1595">
        <f t="shared" si="14"/>
        <v>2403</v>
      </c>
      <c r="J55" s="1607">
        <f t="shared" si="8"/>
        <v>2.9789133102755775E-2</v>
      </c>
    </row>
    <row r="56" spans="3:10">
      <c r="D56" s="1627" t="s">
        <v>1314</v>
      </c>
      <c r="E56" s="1606">
        <f>174491+51912+96210</f>
        <v>322613</v>
      </c>
      <c r="F56" s="1593">
        <f>15005*2+14980*3+12945+14995+14960+7873</f>
        <v>125723</v>
      </c>
      <c r="G56" s="1594">
        <f>+(2100+3892+1954)*24</f>
        <v>190704</v>
      </c>
      <c r="H56" s="1605">
        <f t="shared" si="13"/>
        <v>196890</v>
      </c>
      <c r="I56" s="1595">
        <f t="shared" si="14"/>
        <v>6186</v>
      </c>
      <c r="J56" s="1607">
        <f t="shared" si="8"/>
        <v>3.1418558586012495E-2</v>
      </c>
    </row>
    <row r="57" spans="3:10">
      <c r="D57" s="1627" t="s">
        <v>1290</v>
      </c>
      <c r="E57" s="1606">
        <f>208117+24225</f>
        <v>232342</v>
      </c>
      <c r="F57" s="1593">
        <f>110970+73585+11734</f>
        <v>196289</v>
      </c>
      <c r="G57" s="1594">
        <f>+(980+410)*24</f>
        <v>33360</v>
      </c>
      <c r="H57" s="1605">
        <f t="shared" ref="H57:H62" si="15">+E57-F57</f>
        <v>36053</v>
      </c>
      <c r="I57" s="1595">
        <f t="shared" ref="I57:I62" si="16">+H57-G57</f>
        <v>2693</v>
      </c>
      <c r="J57" s="1607">
        <f t="shared" si="8"/>
        <v>7.4695587052395082E-2</v>
      </c>
    </row>
    <row r="58" spans="3:10">
      <c r="C58" t="s">
        <v>1278</v>
      </c>
      <c r="D58" s="1627" t="s">
        <v>1319</v>
      </c>
      <c r="E58" s="1606">
        <f>82089+96902</f>
        <v>178991</v>
      </c>
      <c r="F58" s="1593">
        <f>14915+15100</f>
        <v>30015</v>
      </c>
      <c r="G58" s="1594">
        <f>+(3920+1973)*24</f>
        <v>141432</v>
      </c>
      <c r="H58" s="1605">
        <f t="shared" si="15"/>
        <v>148976</v>
      </c>
      <c r="I58" s="1595">
        <f t="shared" si="16"/>
        <v>7544</v>
      </c>
      <c r="J58" s="1607">
        <f t="shared" si="8"/>
        <v>5.0639029105359251E-2</v>
      </c>
    </row>
    <row r="59" spans="3:10">
      <c r="C59">
        <v>31</v>
      </c>
      <c r="D59" s="1624" t="s">
        <v>1273</v>
      </c>
      <c r="E59" s="1720">
        <v>123597</v>
      </c>
      <c r="F59" s="1721">
        <f>34200*2+20410+1219</f>
        <v>90029</v>
      </c>
      <c r="G59" s="1722">
        <f>2654*12</f>
        <v>31848</v>
      </c>
      <c r="H59" s="1725">
        <f t="shared" si="15"/>
        <v>33568</v>
      </c>
      <c r="I59" s="1723">
        <f t="shared" si="16"/>
        <v>1720</v>
      </c>
      <c r="J59" s="1724">
        <f t="shared" si="8"/>
        <v>5.1239275500476647E-2</v>
      </c>
    </row>
    <row r="60" spans="3:10">
      <c r="C60">
        <v>31</v>
      </c>
      <c r="D60" s="1623" t="s">
        <v>1284</v>
      </c>
      <c r="E60" s="1720">
        <v>43381</v>
      </c>
      <c r="F60" s="1721">
        <f>34375+3088</f>
        <v>37463</v>
      </c>
      <c r="G60" s="1722">
        <f>477*12</f>
        <v>5724</v>
      </c>
      <c r="H60" s="1725">
        <f t="shared" si="15"/>
        <v>5918</v>
      </c>
      <c r="I60" s="1723">
        <f t="shared" si="16"/>
        <v>194</v>
      </c>
      <c r="J60" s="1724">
        <f t="shared" si="8"/>
        <v>3.2781345049003041E-2</v>
      </c>
    </row>
    <row r="61" spans="3:10">
      <c r="C61">
        <v>31</v>
      </c>
      <c r="D61" s="1623" t="s">
        <v>1275</v>
      </c>
      <c r="E61" s="1720">
        <v>156157</v>
      </c>
      <c r="F61" s="1721">
        <f>24900+112820+12335+2259</f>
        <v>152314</v>
      </c>
      <c r="G61" s="1722">
        <f>140*24</f>
        <v>3360</v>
      </c>
      <c r="H61" s="1725">
        <f t="shared" si="15"/>
        <v>3843</v>
      </c>
      <c r="I61" s="1723">
        <f t="shared" si="16"/>
        <v>483</v>
      </c>
      <c r="J61" s="1724">
        <f t="shared" si="8"/>
        <v>0.12568306010928962</v>
      </c>
    </row>
    <row r="62" spans="3:10">
      <c r="D62" s="1623" t="s">
        <v>1395</v>
      </c>
      <c r="E62" s="1720">
        <v>143555</v>
      </c>
      <c r="F62" s="1721">
        <f>15605*5+15083</f>
        <v>93108</v>
      </c>
      <c r="G62" s="1722">
        <f>1994*24</f>
        <v>47856</v>
      </c>
      <c r="H62" s="1725">
        <f t="shared" si="15"/>
        <v>50447</v>
      </c>
      <c r="I62" s="1723">
        <f t="shared" si="16"/>
        <v>2591</v>
      </c>
      <c r="J62" s="1724">
        <f t="shared" si="8"/>
        <v>5.1360834142763691E-2</v>
      </c>
    </row>
    <row r="63" spans="3:10">
      <c r="D63" s="1627" t="s">
        <v>1286</v>
      </c>
      <c r="E63" s="1606">
        <v>64001</v>
      </c>
      <c r="F63" s="1593">
        <f>6945*4+5654</f>
        <v>33434</v>
      </c>
      <c r="G63" s="1594">
        <f>2423*12</f>
        <v>29076</v>
      </c>
      <c r="H63" s="1605">
        <f t="shared" ref="H63:H68" si="17">+E63-F63</f>
        <v>30567</v>
      </c>
      <c r="I63" s="1595">
        <f t="shared" ref="I63:I68" si="18">+H63-G63</f>
        <v>1491</v>
      </c>
      <c r="J63" s="1724">
        <f t="shared" si="8"/>
        <v>4.8778094022965943E-2</v>
      </c>
    </row>
    <row r="64" spans="3:10">
      <c r="D64" s="1627" t="s">
        <v>1316</v>
      </c>
      <c r="E64" s="1606">
        <v>36718</v>
      </c>
      <c r="F64" s="1593">
        <f>6905+2719</f>
        <v>9624</v>
      </c>
      <c r="G64" s="1594">
        <f>2124*12</f>
        <v>25488</v>
      </c>
      <c r="H64" s="1605">
        <f t="shared" si="17"/>
        <v>27094</v>
      </c>
      <c r="I64" s="1595">
        <f t="shared" si="18"/>
        <v>1606</v>
      </c>
      <c r="J64" s="1724">
        <f t="shared" si="8"/>
        <v>5.9275116261903002E-2</v>
      </c>
    </row>
    <row r="65" spans="3:10">
      <c r="D65" s="1627" t="s">
        <v>1284</v>
      </c>
      <c r="E65" s="1606">
        <v>60282</v>
      </c>
      <c r="F65" s="1593">
        <v>4329</v>
      </c>
      <c r="G65" s="1594">
        <f>4442*12</f>
        <v>53304</v>
      </c>
      <c r="H65" s="1605">
        <f t="shared" si="17"/>
        <v>55953</v>
      </c>
      <c r="I65" s="1595">
        <f t="shared" si="18"/>
        <v>2649</v>
      </c>
      <c r="J65" s="1724">
        <f t="shared" si="8"/>
        <v>4.7343305988955017E-2</v>
      </c>
    </row>
    <row r="66" spans="3:10">
      <c r="C66" s="1728" t="s">
        <v>1278</v>
      </c>
      <c r="D66" s="1726" t="s">
        <v>1284</v>
      </c>
      <c r="E66" s="1600">
        <f>+E65+11556</f>
        <v>71838</v>
      </c>
      <c r="F66" s="1601">
        <f>+F65</f>
        <v>4329</v>
      </c>
      <c r="G66" s="1602">
        <f>5377*12</f>
        <v>64524</v>
      </c>
      <c r="H66" s="1597">
        <f t="shared" si="17"/>
        <v>67509</v>
      </c>
      <c r="I66" s="1603">
        <f t="shared" si="18"/>
        <v>2985</v>
      </c>
      <c r="J66" s="1727">
        <f t="shared" si="8"/>
        <v>4.4216326711993957E-2</v>
      </c>
    </row>
    <row r="67" spans="3:10">
      <c r="D67" s="1627" t="s">
        <v>1396</v>
      </c>
      <c r="E67" s="1606">
        <v>47070</v>
      </c>
      <c r="F67" s="1593">
        <f>3930+6735*2+4660</f>
        <v>22060</v>
      </c>
      <c r="G67" s="1594">
        <f>2040*12</f>
        <v>24480</v>
      </c>
      <c r="H67" s="1605">
        <f t="shared" si="17"/>
        <v>25010</v>
      </c>
      <c r="I67" s="1595">
        <f t="shared" si="18"/>
        <v>530</v>
      </c>
      <c r="J67" s="1724">
        <f t="shared" si="8"/>
        <v>2.1191523390643743E-2</v>
      </c>
    </row>
    <row r="68" spans="3:10">
      <c r="D68" s="1627" t="s">
        <v>1397</v>
      </c>
      <c r="E68" s="1606">
        <v>123384</v>
      </c>
      <c r="F68" s="1593">
        <f>15600*4+11444</f>
        <v>73844</v>
      </c>
      <c r="G68" s="1594">
        <f>2011*24</f>
        <v>48264</v>
      </c>
      <c r="H68" s="1605">
        <f t="shared" si="17"/>
        <v>49540</v>
      </c>
      <c r="I68" s="1595">
        <f t="shared" si="18"/>
        <v>1276</v>
      </c>
      <c r="J68" s="1724">
        <f t="shared" si="8"/>
        <v>2.5756964069438837E-2</v>
      </c>
    </row>
    <row r="69" spans="3:10">
      <c r="D69" s="1627" t="s">
        <v>1398</v>
      </c>
      <c r="E69" s="1606">
        <v>34753</v>
      </c>
      <c r="F69" s="1593">
        <f>6845*3+2480+254</f>
        <v>23269</v>
      </c>
      <c r="G69" s="1594">
        <f>877*12</f>
        <v>10524</v>
      </c>
      <c r="H69" s="1605">
        <f t="shared" ref="H69:H75" si="19">+E69-F69</f>
        <v>11484</v>
      </c>
      <c r="I69" s="1595">
        <f t="shared" ref="I69:I75" si="20">+H69-G69</f>
        <v>960</v>
      </c>
      <c r="J69" s="1724">
        <f t="shared" si="8"/>
        <v>8.3594566353187044E-2</v>
      </c>
    </row>
    <row r="70" spans="3:10">
      <c r="D70" s="1623" t="s">
        <v>1399</v>
      </c>
      <c r="E70" s="1606">
        <v>119894</v>
      </c>
      <c r="F70" s="1593">
        <f>15605*6+6367</f>
        <v>99997</v>
      </c>
      <c r="G70" s="1594">
        <f>799*24</f>
        <v>19176</v>
      </c>
      <c r="H70" s="1605">
        <f t="shared" si="19"/>
        <v>19897</v>
      </c>
      <c r="I70" s="1595">
        <f t="shared" si="20"/>
        <v>721</v>
      </c>
      <c r="J70" s="1724">
        <f t="shared" si="8"/>
        <v>3.6236618585716439E-2</v>
      </c>
    </row>
    <row r="71" spans="3:10">
      <c r="D71" s="1623" t="s">
        <v>1321</v>
      </c>
      <c r="E71" s="1606">
        <v>305921</v>
      </c>
      <c r="F71" s="1593">
        <f>10*25000+14500+25000</f>
        <v>289500</v>
      </c>
      <c r="G71" s="1594">
        <f>+G70</f>
        <v>19176</v>
      </c>
      <c r="H71" s="1605">
        <f t="shared" si="19"/>
        <v>16421</v>
      </c>
      <c r="I71" s="1595">
        <f t="shared" si="20"/>
        <v>-2755</v>
      </c>
      <c r="J71" s="1724">
        <f t="shared" si="8"/>
        <v>-0.16777297363132573</v>
      </c>
    </row>
    <row r="72" spans="3:10">
      <c r="D72" s="1623" t="s">
        <v>1322</v>
      </c>
      <c r="E72" s="1606">
        <v>7990</v>
      </c>
      <c r="F72" s="1593">
        <f>3*1600+1450+16*50+217</f>
        <v>7267</v>
      </c>
      <c r="G72" s="1594">
        <v>799</v>
      </c>
      <c r="H72" s="1605">
        <f t="shared" si="19"/>
        <v>723</v>
      </c>
      <c r="I72" s="1595">
        <f t="shared" si="20"/>
        <v>-76</v>
      </c>
      <c r="J72" s="1724">
        <f t="shared" si="8"/>
        <v>-0.10511756569847856</v>
      </c>
    </row>
    <row r="73" spans="3:10">
      <c r="C73">
        <v>33</v>
      </c>
      <c r="D73" s="1627" t="s">
        <v>1273</v>
      </c>
      <c r="E73" s="1606">
        <v>46773</v>
      </c>
      <c r="F73" s="1593">
        <f>6840*4+3175</f>
        <v>30535</v>
      </c>
      <c r="G73" s="1594">
        <f>1249*12</f>
        <v>14988</v>
      </c>
      <c r="H73" s="1605">
        <f t="shared" si="19"/>
        <v>16238</v>
      </c>
      <c r="I73" s="1595">
        <f t="shared" si="20"/>
        <v>1250</v>
      </c>
      <c r="J73" s="1724">
        <f t="shared" si="8"/>
        <v>7.6979923635915756E-2</v>
      </c>
    </row>
    <row r="74" spans="3:10">
      <c r="D74" s="1731" t="s">
        <v>1288</v>
      </c>
      <c r="E74" s="1606">
        <v>48356</v>
      </c>
      <c r="F74" s="1593">
        <f>2091+844</f>
        <v>2935</v>
      </c>
      <c r="G74" s="1594">
        <f>3704*12</f>
        <v>44448</v>
      </c>
      <c r="H74" s="1732">
        <f t="shared" si="19"/>
        <v>45421</v>
      </c>
      <c r="I74" s="1595">
        <f t="shared" si="20"/>
        <v>973</v>
      </c>
      <c r="J74" s="1724">
        <f t="shared" si="8"/>
        <v>2.1421809295259903E-2</v>
      </c>
    </row>
    <row r="75" spans="3:10">
      <c r="D75" s="1623" t="s">
        <v>1400</v>
      </c>
      <c r="E75" s="1606">
        <v>141919</v>
      </c>
      <c r="F75" s="1593">
        <f>5742+11120+12085+15605*2</f>
        <v>60157</v>
      </c>
      <c r="G75" s="1594">
        <f>3281*24</f>
        <v>78744</v>
      </c>
      <c r="H75" s="1732">
        <f t="shared" si="19"/>
        <v>81762</v>
      </c>
      <c r="I75" s="1595">
        <f t="shared" si="20"/>
        <v>3018</v>
      </c>
      <c r="J75" s="1724">
        <f t="shared" si="8"/>
        <v>3.6912012915535336E-2</v>
      </c>
    </row>
    <row r="76" spans="3:10">
      <c r="D76" s="1627" t="s">
        <v>1286</v>
      </c>
      <c r="E76" s="1606">
        <v>21162</v>
      </c>
      <c r="F76" s="1593">
        <v>0</v>
      </c>
      <c r="G76" s="1594">
        <f>1735*12</f>
        <v>20820</v>
      </c>
      <c r="H76" s="1605">
        <f t="shared" ref="H76:H84" si="21">+E76-F76</f>
        <v>21162</v>
      </c>
      <c r="I76" s="1595">
        <f t="shared" ref="I76:I84" si="22">+H76-G76</f>
        <v>342</v>
      </c>
      <c r="J76" s="1724">
        <f t="shared" si="8"/>
        <v>1.6161043379642755E-2</v>
      </c>
    </row>
    <row r="77" spans="3:10">
      <c r="D77" s="1627" t="s">
        <v>1285</v>
      </c>
      <c r="E77" s="1606">
        <v>197178</v>
      </c>
      <c r="F77" s="1593">
        <f>111015+12335*3+2259</f>
        <v>150279</v>
      </c>
      <c r="G77" s="1594">
        <f>1887*24</f>
        <v>45288</v>
      </c>
      <c r="H77" s="1605">
        <f t="shared" si="21"/>
        <v>46899</v>
      </c>
      <c r="I77" s="1595">
        <f t="shared" si="22"/>
        <v>1611</v>
      </c>
      <c r="J77" s="1724">
        <f t="shared" si="8"/>
        <v>3.4350412588754556E-2</v>
      </c>
    </row>
    <row r="78" spans="3:10">
      <c r="D78" s="1627" t="s">
        <v>1401</v>
      </c>
      <c r="E78" s="1606">
        <v>208706</v>
      </c>
      <c r="F78" s="1593">
        <f>124840+15605+2440</f>
        <v>142885</v>
      </c>
      <c r="G78" s="1594">
        <f>2667*24</f>
        <v>64008</v>
      </c>
      <c r="H78" s="1605">
        <f t="shared" si="21"/>
        <v>65821</v>
      </c>
      <c r="I78" s="1595">
        <f t="shared" si="22"/>
        <v>1813</v>
      </c>
      <c r="J78" s="1724">
        <f t="shared" si="8"/>
        <v>2.7544400723173455E-2</v>
      </c>
    </row>
    <row r="79" spans="3:10">
      <c r="D79" s="1624" t="s">
        <v>1401</v>
      </c>
      <c r="E79" s="1725">
        <f>208706+24225</f>
        <v>232931</v>
      </c>
      <c r="F79" s="1725">
        <f>+F78</f>
        <v>142885</v>
      </c>
      <c r="G79" s="1733">
        <f>+(2667+980)*24</f>
        <v>87528</v>
      </c>
      <c r="H79" s="1725">
        <f t="shared" si="21"/>
        <v>90046</v>
      </c>
      <c r="I79" s="1734">
        <f t="shared" si="22"/>
        <v>2518</v>
      </c>
      <c r="J79" s="1724">
        <f t="shared" si="8"/>
        <v>2.7963485329720365E-2</v>
      </c>
    </row>
    <row r="80" spans="3:10">
      <c r="C80">
        <v>35</v>
      </c>
      <c r="D80" s="1623" t="s">
        <v>1403</v>
      </c>
      <c r="E80" s="1606">
        <v>39997</v>
      </c>
      <c r="F80" s="1593">
        <v>5919</v>
      </c>
      <c r="G80" s="1594">
        <f>2388*12</f>
        <v>28656</v>
      </c>
      <c r="H80" s="1605">
        <f t="shared" si="21"/>
        <v>34078</v>
      </c>
      <c r="I80" s="1595">
        <f t="shared" si="22"/>
        <v>5422</v>
      </c>
      <c r="J80" s="1724">
        <f t="shared" si="8"/>
        <v>0.15910558131345737</v>
      </c>
    </row>
    <row r="81" spans="3:12">
      <c r="D81" s="1623" t="s">
        <v>1275</v>
      </c>
      <c r="E81" s="1606">
        <v>129675</v>
      </c>
      <c r="F81" s="1593">
        <f>12450*6+7409+7482</f>
        <v>89591</v>
      </c>
      <c r="G81" s="1594">
        <f>1613*24</f>
        <v>38712</v>
      </c>
      <c r="H81" s="1605">
        <f t="shared" si="21"/>
        <v>40084</v>
      </c>
      <c r="I81" s="1595">
        <f t="shared" si="22"/>
        <v>1372</v>
      </c>
      <c r="J81" s="1724">
        <f t="shared" si="8"/>
        <v>3.4228120946013373E-2</v>
      </c>
      <c r="L81" s="1739">
        <f>+Tabla4[[#This Row],[Consumo]]-32630</f>
        <v>7454</v>
      </c>
    </row>
    <row r="82" spans="3:12">
      <c r="D82" s="1623" t="s">
        <v>1395</v>
      </c>
      <c r="E82" s="1606">
        <v>136205</v>
      </c>
      <c r="F82" s="1593">
        <f>12085*4+14370*3+9901</f>
        <v>101351</v>
      </c>
      <c r="G82" s="1594">
        <f>1337*24</f>
        <v>32088</v>
      </c>
      <c r="H82" s="1605">
        <f t="shared" si="21"/>
        <v>34854</v>
      </c>
      <c r="I82" s="1595">
        <f t="shared" si="22"/>
        <v>2766</v>
      </c>
      <c r="J82" s="1724">
        <f t="shared" si="8"/>
        <v>7.9359614391461525E-2</v>
      </c>
      <c r="L82" s="1739">
        <f>+Tabla4[[#This Row],[Consumo]]-14832</f>
        <v>20022</v>
      </c>
    </row>
    <row r="83" spans="3:12">
      <c r="D83" s="1623" t="s">
        <v>1404</v>
      </c>
      <c r="E83" s="1606">
        <v>31765</v>
      </c>
      <c r="F83" s="1593">
        <f>11030+1311</f>
        <v>12341</v>
      </c>
      <c r="G83" s="1594">
        <f>1476*12</f>
        <v>17712</v>
      </c>
      <c r="H83" s="1605">
        <f t="shared" si="21"/>
        <v>19424</v>
      </c>
      <c r="I83" s="1595">
        <f t="shared" si="22"/>
        <v>1712</v>
      </c>
      <c r="J83" s="1724">
        <f t="shared" si="8"/>
        <v>8.8138385502471175E-2</v>
      </c>
    </row>
    <row r="84" spans="3:12">
      <c r="C84" s="1738" t="s">
        <v>1278</v>
      </c>
      <c r="D84" s="1624" t="str">
        <f>+D80</f>
        <v>ME1400002 - ENVASE MANZANA NATULAC 500 CM3 UHT Σ</v>
      </c>
      <c r="E84" s="1600">
        <f>+E80+23533</f>
        <v>63530</v>
      </c>
      <c r="F84" s="1601">
        <f>+F80</f>
        <v>5919</v>
      </c>
      <c r="G84" s="1602">
        <f>+(1904+2388)*12</f>
        <v>51504</v>
      </c>
      <c r="H84" s="1597">
        <f t="shared" si="21"/>
        <v>57611</v>
      </c>
      <c r="I84" s="1603">
        <f t="shared" si="22"/>
        <v>6107</v>
      </c>
      <c r="J84" s="1727">
        <f t="shared" si="8"/>
        <v>0.10600406172432349</v>
      </c>
    </row>
    <row r="85" spans="3:12">
      <c r="D85" s="1627" t="s">
        <v>1288</v>
      </c>
      <c r="E85" s="1606">
        <v>55340</v>
      </c>
      <c r="F85" s="1593">
        <f>6895+3263</f>
        <v>10158</v>
      </c>
      <c r="G85" s="1594">
        <f>3670*12</f>
        <v>44040</v>
      </c>
      <c r="H85" s="1605">
        <f t="shared" ref="H85:H92" si="23">+E85-F85</f>
        <v>45182</v>
      </c>
      <c r="I85" s="1595">
        <f t="shared" ref="I85:I92" si="24">+H85-G85</f>
        <v>1142</v>
      </c>
      <c r="J85" s="1727">
        <f t="shared" si="8"/>
        <v>2.5275552211057501E-2</v>
      </c>
    </row>
    <row r="86" spans="3:12">
      <c r="D86" s="1627" t="s">
        <v>1285</v>
      </c>
      <c r="E86" s="1606">
        <v>150279</v>
      </c>
      <c r="F86" s="1593">
        <f>12338*8+3179</f>
        <v>101883</v>
      </c>
      <c r="G86" s="1594">
        <f>1921*24</f>
        <v>46104</v>
      </c>
      <c r="H86" s="1605">
        <f t="shared" si="23"/>
        <v>48396</v>
      </c>
      <c r="I86" s="1595">
        <f t="shared" si="24"/>
        <v>2292</v>
      </c>
      <c r="J86" s="1727">
        <f t="shared" si="8"/>
        <v>4.7359285891395986E-2</v>
      </c>
    </row>
    <row r="87" spans="3:12">
      <c r="C87" s="1878" t="s">
        <v>445</v>
      </c>
      <c r="D87" s="1741" t="s">
        <v>1432</v>
      </c>
      <c r="E87" s="1606">
        <v>31510</v>
      </c>
      <c r="F87" s="1593">
        <f>11010+6926</f>
        <v>17936</v>
      </c>
      <c r="G87" s="1594">
        <f>757*12</f>
        <v>9084</v>
      </c>
      <c r="H87" s="1605">
        <f t="shared" si="23"/>
        <v>13574</v>
      </c>
      <c r="I87" s="1595">
        <f t="shared" si="24"/>
        <v>4490</v>
      </c>
      <c r="J87" s="1724">
        <f t="shared" si="8"/>
        <v>0.33077943126565496</v>
      </c>
    </row>
    <row r="88" spans="3:12">
      <c r="C88" s="1878"/>
      <c r="D88" s="1623" t="s">
        <v>1433</v>
      </c>
      <c r="E88" s="1606">
        <v>31830</v>
      </c>
      <c r="F88" s="1593">
        <f>11020+11030+2868</f>
        <v>24918</v>
      </c>
      <c r="G88" s="1594">
        <f>426*12</f>
        <v>5112</v>
      </c>
      <c r="H88" s="1605">
        <f t="shared" si="23"/>
        <v>6912</v>
      </c>
      <c r="I88" s="1595">
        <f t="shared" si="24"/>
        <v>1800</v>
      </c>
      <c r="J88" s="1724">
        <f t="shared" si="8"/>
        <v>0.26041666666666669</v>
      </c>
    </row>
    <row r="89" spans="3:12">
      <c r="C89" s="1878"/>
      <c r="D89" s="1623" t="s">
        <v>1434</v>
      </c>
      <c r="E89" s="1606">
        <v>5188</v>
      </c>
      <c r="F89" s="1593">
        <f>2*1600+16*50+28</f>
        <v>4028</v>
      </c>
      <c r="G89" s="1594">
        <f>757+426</f>
        <v>1183</v>
      </c>
      <c r="H89" s="1605">
        <f t="shared" si="23"/>
        <v>1160</v>
      </c>
      <c r="I89" s="1595">
        <f t="shared" si="24"/>
        <v>-23</v>
      </c>
      <c r="J89" s="1724">
        <f t="shared" si="8"/>
        <v>-1.9827586206896553E-2</v>
      </c>
      <c r="K89">
        <f>+Tabla4[[#This Row],[Consumo]]-772</f>
        <v>388</v>
      </c>
    </row>
    <row r="90" spans="3:12">
      <c r="D90" s="1627" t="s">
        <v>1435</v>
      </c>
      <c r="E90" s="1606">
        <v>22026</v>
      </c>
      <c r="F90" s="1593">
        <v>0</v>
      </c>
      <c r="G90" s="1594">
        <f>1765*12</f>
        <v>21180</v>
      </c>
      <c r="H90" s="1605">
        <f t="shared" si="23"/>
        <v>22026</v>
      </c>
      <c r="I90" s="1595">
        <f t="shared" si="24"/>
        <v>846</v>
      </c>
      <c r="J90" s="1724">
        <f t="shared" si="8"/>
        <v>3.8409152819395262E-2</v>
      </c>
    </row>
    <row r="91" spans="3:12">
      <c r="D91" s="1627" t="s">
        <v>1436</v>
      </c>
      <c r="E91" s="1606">
        <v>166594</v>
      </c>
      <c r="F91" s="1593">
        <f>3908+109800+10280</f>
        <v>123988</v>
      </c>
      <c r="G91" s="1594">
        <f>1724*24</f>
        <v>41376</v>
      </c>
      <c r="H91" s="1605">
        <f t="shared" si="23"/>
        <v>42606</v>
      </c>
      <c r="I91" s="1595">
        <f t="shared" si="24"/>
        <v>1230</v>
      </c>
      <c r="J91" s="1724">
        <f t="shared" si="8"/>
        <v>2.886917335586537E-2</v>
      </c>
    </row>
    <row r="92" spans="3:12">
      <c r="D92" s="1627" t="s">
        <v>1437</v>
      </c>
      <c r="E92" s="1606">
        <v>63402</v>
      </c>
      <c r="F92" s="1593">
        <f>6910*3+1812</f>
        <v>22542</v>
      </c>
      <c r="G92" s="1594">
        <f>3256*12</f>
        <v>39072</v>
      </c>
      <c r="H92" s="1605">
        <f t="shared" si="23"/>
        <v>40860</v>
      </c>
      <c r="I92" s="1595">
        <f t="shared" si="24"/>
        <v>1788</v>
      </c>
      <c r="J92" s="1724">
        <f t="shared" si="8"/>
        <v>4.3759177679882529E-2</v>
      </c>
    </row>
    <row r="93" spans="3:12">
      <c r="D93" s="1623" t="s">
        <v>1438</v>
      </c>
      <c r="E93" s="1606">
        <v>68333</v>
      </c>
      <c r="F93" s="1593">
        <v>6369</v>
      </c>
      <c r="G93" s="1594">
        <f>4975*12</f>
        <v>59700</v>
      </c>
      <c r="H93" s="1605">
        <f t="shared" ref="H93:H99" si="25">+E93-F93</f>
        <v>61964</v>
      </c>
      <c r="I93" s="1595">
        <f t="shared" ref="I93:I99" si="26">+H93-G93</f>
        <v>2264</v>
      </c>
      <c r="J93" s="1724">
        <f t="shared" si="8"/>
        <v>3.6537344264411596E-2</v>
      </c>
    </row>
    <row r="94" spans="3:12">
      <c r="D94" s="1623" t="s">
        <v>1290</v>
      </c>
      <c r="E94" s="1606">
        <v>195613</v>
      </c>
      <c r="F94" s="1593">
        <f>109515+6153+12320*3</f>
        <v>152628</v>
      </c>
      <c r="G94" s="1594">
        <f>1782*24</f>
        <v>42768</v>
      </c>
      <c r="H94" s="1605">
        <f t="shared" si="25"/>
        <v>42985</v>
      </c>
      <c r="I94" s="1595">
        <f t="shared" si="26"/>
        <v>217</v>
      </c>
      <c r="J94" s="1724">
        <f t="shared" si="8"/>
        <v>5.0482726532511341E-3</v>
      </c>
    </row>
    <row r="95" spans="3:12">
      <c r="D95" s="1623" t="s">
        <v>1400</v>
      </c>
      <c r="E95" s="1606">
        <v>137148</v>
      </c>
      <c r="F95" s="1593">
        <f>15605*7+13907+8948</f>
        <v>132090</v>
      </c>
      <c r="G95" s="1594">
        <f>57*24</f>
        <v>1368</v>
      </c>
      <c r="H95" s="1605">
        <f t="shared" si="25"/>
        <v>5058</v>
      </c>
      <c r="I95" s="1603">
        <f t="shared" si="26"/>
        <v>3690</v>
      </c>
      <c r="J95" s="1724">
        <f t="shared" si="8"/>
        <v>0.72953736654804269</v>
      </c>
    </row>
    <row r="96" spans="3:12">
      <c r="D96" s="1745" t="s">
        <v>1275</v>
      </c>
      <c r="E96" s="1569">
        <v>89109</v>
      </c>
      <c r="F96" s="1566">
        <f>4677+12450</f>
        <v>17127</v>
      </c>
      <c r="G96" s="1742">
        <f>2627*24</f>
        <v>63048</v>
      </c>
      <c r="H96" s="1743">
        <f t="shared" si="25"/>
        <v>71982</v>
      </c>
      <c r="I96" s="1744">
        <f t="shared" si="26"/>
        <v>8934</v>
      </c>
      <c r="J96" s="1724">
        <f t="shared" si="8"/>
        <v>0.12411436192381428</v>
      </c>
    </row>
    <row r="97" spans="3:10">
      <c r="D97" s="1623" t="s">
        <v>1439</v>
      </c>
      <c r="E97" s="1606">
        <v>54745</v>
      </c>
      <c r="F97" s="1593">
        <f>12200*2+11231+1852</f>
        <v>37483</v>
      </c>
      <c r="G97" s="1594">
        <f>679*24</f>
        <v>16296</v>
      </c>
      <c r="H97" s="1605">
        <f t="shared" si="25"/>
        <v>17262</v>
      </c>
      <c r="I97" s="1595">
        <f t="shared" si="26"/>
        <v>966</v>
      </c>
      <c r="J97" s="1724">
        <f t="shared" si="8"/>
        <v>5.5961070559610707E-2</v>
      </c>
    </row>
    <row r="98" spans="3:10">
      <c r="D98" s="1623" t="s">
        <v>1317</v>
      </c>
      <c r="E98" s="1606">
        <v>82340</v>
      </c>
      <c r="F98" s="1593">
        <f>1024+6910*4</f>
        <v>28664</v>
      </c>
      <c r="G98" s="1594">
        <f>4335*12</f>
        <v>52020</v>
      </c>
      <c r="H98" s="1605">
        <f t="shared" si="25"/>
        <v>53676</v>
      </c>
      <c r="I98" s="1595">
        <f t="shared" si="26"/>
        <v>1656</v>
      </c>
      <c r="J98" s="1724">
        <f t="shared" si="8"/>
        <v>3.085177733065057E-2</v>
      </c>
    </row>
    <row r="99" spans="3:10">
      <c r="D99" s="1623" t="s">
        <v>1314</v>
      </c>
      <c r="E99" s="1606">
        <v>240534</v>
      </c>
      <c r="F99" s="1593">
        <f>121430+2440+15605*5</f>
        <v>201895</v>
      </c>
      <c r="G99" s="1594">
        <f>1456*24</f>
        <v>34944</v>
      </c>
      <c r="H99" s="1605">
        <f t="shared" si="25"/>
        <v>38639</v>
      </c>
      <c r="I99" s="1595">
        <f t="shared" si="26"/>
        <v>3695</v>
      </c>
      <c r="J99" s="1724">
        <f t="shared" si="8"/>
        <v>9.5628768860477761E-2</v>
      </c>
    </row>
    <row r="100" spans="3:10">
      <c r="D100" s="1623" t="s">
        <v>1287</v>
      </c>
      <c r="E100" s="1606">
        <v>174489</v>
      </c>
      <c r="F100" s="1593">
        <f>34375+6875*4+6492</f>
        <v>68367</v>
      </c>
      <c r="G100" s="1594">
        <f>8691*12</f>
        <v>104292</v>
      </c>
      <c r="H100" s="1605">
        <f>+E100-F100</f>
        <v>106122</v>
      </c>
      <c r="I100" s="1595">
        <f>+H100-G100</f>
        <v>1830</v>
      </c>
      <c r="J100" s="1724">
        <f t="shared" si="8"/>
        <v>1.724430372590038E-2</v>
      </c>
    </row>
    <row r="101" spans="3:10">
      <c r="D101" s="1623" t="s">
        <v>1395</v>
      </c>
      <c r="E101" s="1606">
        <v>150054</v>
      </c>
      <c r="F101" s="1593">
        <f>15605*6</f>
        <v>93630</v>
      </c>
      <c r="G101" s="1594">
        <f>2302*24</f>
        <v>55248</v>
      </c>
      <c r="H101" s="1605">
        <f>+E101-F101</f>
        <v>56424</v>
      </c>
      <c r="I101" s="1595">
        <f>+H101-G101</f>
        <v>1176</v>
      </c>
      <c r="J101" s="1724">
        <f t="shared" si="8"/>
        <v>2.0842194810718844E-2</v>
      </c>
    </row>
    <row r="102" spans="3:10">
      <c r="C102" s="1879" t="s">
        <v>595</v>
      </c>
      <c r="D102" s="1624" t="s">
        <v>1314</v>
      </c>
      <c r="E102" s="1601">
        <v>201895</v>
      </c>
      <c r="F102" s="1601">
        <f>121430+15605+8510</f>
        <v>145545</v>
      </c>
      <c r="G102" s="1602">
        <f>2262*24</f>
        <v>54288</v>
      </c>
      <c r="H102" s="1597">
        <f>+E102-F102</f>
        <v>56350</v>
      </c>
      <c r="I102" s="1603">
        <f>+H102-G102</f>
        <v>2062</v>
      </c>
      <c r="J102" s="1727">
        <f t="shared" si="8"/>
        <v>3.6592724046140196E-2</v>
      </c>
    </row>
    <row r="103" spans="3:10">
      <c r="C103" s="1793"/>
      <c r="D103" s="1623" t="s">
        <v>1321</v>
      </c>
      <c r="E103" s="1606">
        <v>193889</v>
      </c>
      <c r="F103" s="1593">
        <f>5*25000+20300</f>
        <v>145300</v>
      </c>
      <c r="G103" s="1594">
        <f>2262*24</f>
        <v>54288</v>
      </c>
      <c r="H103" s="1605">
        <f>+E103-F103</f>
        <v>48589</v>
      </c>
      <c r="I103" s="1595">
        <f>+H103-G103</f>
        <v>-5699</v>
      </c>
      <c r="J103" s="1724">
        <f t="shared" si="8"/>
        <v>-0.11728992158719051</v>
      </c>
    </row>
    <row r="104" spans="3:10">
      <c r="C104" s="1793"/>
      <c r="D104" s="1623" t="s">
        <v>1322</v>
      </c>
      <c r="E104" s="1606">
        <v>10557</v>
      </c>
      <c r="F104" s="1593">
        <f>4*1800+1000</f>
        <v>8200</v>
      </c>
      <c r="G104" s="1594">
        <v>2262</v>
      </c>
      <c r="H104" s="1747">
        <f>+E104-F104</f>
        <v>2357</v>
      </c>
      <c r="I104" s="1748">
        <f>+H104-G104</f>
        <v>95</v>
      </c>
      <c r="J104" s="1724">
        <f t="shared" si="8"/>
        <v>4.0305473058973272E-2</v>
      </c>
    </row>
  </sheetData>
  <mergeCells count="3">
    <mergeCell ref="D6:J7"/>
    <mergeCell ref="C87:C89"/>
    <mergeCell ref="C102:C104"/>
  </mergeCells>
  <phoneticPr fontId="73" type="noConversion"/>
  <printOptions horizontalCentered="1" verticalCentered="1"/>
  <pageMargins left="0" right="0" top="0" bottom="0" header="0" footer="0"/>
  <pageSetup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B2:AP51"/>
  <sheetViews>
    <sheetView showGridLines="0" zoomScale="71" zoomScaleNormal="71" workbookViewId="0">
      <selection activeCell="M22" sqref="M22"/>
    </sheetView>
  </sheetViews>
  <sheetFormatPr baseColWidth="10" defaultColWidth="11.42578125" defaultRowHeight="15"/>
  <cols>
    <col min="1" max="1" width="3.28515625" style="310" customWidth="1"/>
    <col min="2" max="3" width="11.5703125" style="310" customWidth="1"/>
    <col min="4" max="4" width="13.28515625" style="310" bestFit="1" customWidth="1"/>
    <col min="5" max="5" width="11.5703125" style="310" customWidth="1"/>
    <col min="6" max="6" width="6.5703125" style="310" customWidth="1"/>
    <col min="7" max="7" width="13.140625" style="310" customWidth="1"/>
    <col min="8" max="8" width="14.28515625" style="310" customWidth="1"/>
    <col min="9" max="9" width="11.5703125" style="310" customWidth="1"/>
    <col min="10" max="10" width="12" style="310" customWidth="1"/>
    <col min="11" max="11" width="9.7109375" style="310" customWidth="1"/>
    <col min="12" max="14" width="11.5703125" style="310" customWidth="1"/>
    <col min="15" max="15" width="12.7109375" style="310" customWidth="1"/>
    <col min="16" max="16" width="12.42578125" style="310" customWidth="1"/>
    <col min="17" max="21" width="11.5703125" style="310" customWidth="1"/>
    <col min="22" max="22" width="12.140625" style="310" customWidth="1"/>
    <col min="23" max="23" width="13.5703125" style="310" customWidth="1"/>
    <col min="24" max="24" width="11.85546875" style="310" customWidth="1"/>
    <col min="25" max="25" width="11.7109375" style="310" customWidth="1"/>
    <col min="26" max="26" width="12" style="310" customWidth="1"/>
    <col min="27" max="27" width="11.42578125" style="310"/>
    <col min="28" max="28" width="10.28515625" style="310" customWidth="1"/>
    <col min="29" max="29" width="10.85546875" style="310" customWidth="1"/>
    <col min="30" max="30" width="13.5703125" style="310" customWidth="1"/>
    <col min="31" max="16384" width="11.42578125" style="310"/>
  </cols>
  <sheetData>
    <row r="2" spans="2:42" ht="26.25" customHeight="1">
      <c r="B2" s="1944" t="s">
        <v>116</v>
      </c>
      <c r="C2" s="1944"/>
      <c r="D2" s="1944"/>
      <c r="E2" s="1944"/>
      <c r="F2" s="958"/>
      <c r="J2" s="1945" t="s">
        <v>117</v>
      </c>
      <c r="K2" s="1946"/>
      <c r="L2" s="1946"/>
      <c r="M2" s="1947"/>
      <c r="P2" s="958"/>
      <c r="U2" s="1113"/>
      <c r="X2" s="1937" t="s">
        <v>118</v>
      </c>
      <c r="Y2" s="1948"/>
      <c r="Z2" s="1948"/>
      <c r="AA2" s="1948"/>
      <c r="AB2" s="1948"/>
      <c r="AC2" s="1948"/>
      <c r="AD2" s="1948"/>
      <c r="AE2" s="1948"/>
      <c r="AF2" s="1948"/>
      <c r="AG2" s="1948"/>
      <c r="AH2" s="1948"/>
      <c r="AI2" s="1881"/>
    </row>
    <row r="3" spans="2:42" ht="11.25" customHeight="1">
      <c r="X3" s="1937" t="s">
        <v>119</v>
      </c>
      <c r="Y3" s="1881"/>
      <c r="Z3" s="1937" t="s">
        <v>95</v>
      </c>
      <c r="AA3" s="1881"/>
      <c r="AB3" s="1937" t="s">
        <v>94</v>
      </c>
      <c r="AC3" s="1881"/>
      <c r="AD3" s="1937" t="s">
        <v>120</v>
      </c>
      <c r="AE3" s="1881"/>
      <c r="AF3" s="1937" t="s">
        <v>121</v>
      </c>
      <c r="AG3" s="1881"/>
      <c r="AH3" s="1937" t="s">
        <v>122</v>
      </c>
      <c r="AI3" s="1881"/>
      <c r="AM3" s="1886" t="s">
        <v>122</v>
      </c>
      <c r="AN3" s="1886"/>
    </row>
    <row r="4" spans="2:42" ht="15.75">
      <c r="B4" s="1938" t="s">
        <v>123</v>
      </c>
      <c r="C4" s="1939"/>
      <c r="D4" s="1940"/>
      <c r="E4" s="959">
        <v>1802</v>
      </c>
      <c r="F4" s="960"/>
      <c r="J4" s="1941" t="s">
        <v>123</v>
      </c>
      <c r="K4" s="1942"/>
      <c r="L4" s="1943"/>
      <c r="M4" s="1042">
        <v>0</v>
      </c>
      <c r="U4" s="362"/>
      <c r="X4" s="1922">
        <v>0.03</v>
      </c>
      <c r="Y4" s="1923"/>
      <c r="Z4" s="1922">
        <v>0.01</v>
      </c>
      <c r="AA4" s="1923"/>
      <c r="AB4" s="1922">
        <v>0.02</v>
      </c>
      <c r="AC4" s="1923"/>
      <c r="AD4" s="1922">
        <v>0.03</v>
      </c>
      <c r="AE4" s="1923"/>
      <c r="AF4" s="1922">
        <v>0.03</v>
      </c>
      <c r="AG4" s="1923"/>
      <c r="AH4" s="1922">
        <v>0.01</v>
      </c>
      <c r="AI4" s="1923"/>
      <c r="AM4" s="1924">
        <v>0.01</v>
      </c>
      <c r="AN4" s="1886"/>
    </row>
    <row r="5" spans="2:42" ht="16.5" thickBot="1">
      <c r="B5" s="961"/>
      <c r="C5" s="961"/>
      <c r="D5" s="961"/>
      <c r="E5" s="960"/>
      <c r="F5" s="960"/>
      <c r="J5" s="961"/>
      <c r="K5" s="961"/>
      <c r="L5" s="961"/>
      <c r="M5" s="960" t="s">
        <v>124</v>
      </c>
      <c r="U5" s="960"/>
      <c r="X5" s="1925" t="s">
        <v>125</v>
      </c>
      <c r="Y5" s="1926"/>
      <c r="Z5" s="1926"/>
      <c r="AA5" s="1926"/>
      <c r="AB5" s="1926"/>
      <c r="AC5" s="1926"/>
      <c r="AD5" s="1926"/>
      <c r="AE5" s="1926"/>
      <c r="AF5" s="1926"/>
      <c r="AG5" s="1926"/>
      <c r="AH5" s="1926"/>
      <c r="AI5" s="1916"/>
      <c r="AJ5" s="956"/>
      <c r="AK5" s="956"/>
      <c r="AO5" s="956"/>
      <c r="AP5" s="956"/>
    </row>
    <row r="6" spans="2:42" ht="15.75" thickBot="1">
      <c r="B6" s="1927" t="s">
        <v>126</v>
      </c>
      <c r="C6" s="1928"/>
      <c r="D6" s="1928"/>
      <c r="E6" s="1929"/>
      <c r="G6" s="1930" t="s">
        <v>127</v>
      </c>
      <c r="H6" s="1931"/>
      <c r="J6" s="1932" t="s">
        <v>126</v>
      </c>
      <c r="K6" s="1933"/>
      <c r="L6" s="1933"/>
      <c r="M6" s="1934"/>
      <c r="O6" s="1935" t="s">
        <v>128</v>
      </c>
      <c r="P6" s="1936"/>
      <c r="U6" s="956"/>
      <c r="X6" s="1937" t="s">
        <v>119</v>
      </c>
      <c r="Y6" s="1881"/>
      <c r="Z6" s="1937" t="s">
        <v>129</v>
      </c>
      <c r="AA6" s="1881"/>
      <c r="AB6" s="1937" t="s">
        <v>130</v>
      </c>
      <c r="AC6" s="1881"/>
      <c r="AD6" s="1937" t="s">
        <v>120</v>
      </c>
      <c r="AE6" s="1881"/>
      <c r="AF6" s="1937" t="s">
        <v>131</v>
      </c>
      <c r="AG6" s="1881"/>
      <c r="AH6" s="1937" t="s">
        <v>122</v>
      </c>
      <c r="AI6" s="1881"/>
      <c r="AJ6" s="1916" t="s">
        <v>132</v>
      </c>
      <c r="AK6" s="1917"/>
      <c r="AM6" s="1886" t="s">
        <v>122</v>
      </c>
      <c r="AN6" s="1886"/>
      <c r="AO6" s="1916" t="s">
        <v>132</v>
      </c>
      <c r="AP6" s="1917"/>
    </row>
    <row r="7" spans="2:42" s="956" customFormat="1" ht="15.75" thickBot="1">
      <c r="B7" s="1918" t="s">
        <v>133</v>
      </c>
      <c r="C7" s="1919"/>
      <c r="D7" s="962" t="s">
        <v>63</v>
      </c>
      <c r="E7" s="963" t="s">
        <v>134</v>
      </c>
      <c r="G7" s="964" t="s">
        <v>135</v>
      </c>
      <c r="H7" s="965">
        <v>24</v>
      </c>
      <c r="J7" s="1920" t="s">
        <v>133</v>
      </c>
      <c r="K7" s="1921"/>
      <c r="L7" s="1043" t="s">
        <v>63</v>
      </c>
      <c r="M7" s="1044" t="s">
        <v>134</v>
      </c>
      <c r="O7" s="1045" t="s">
        <v>135</v>
      </c>
      <c r="P7" s="1046">
        <v>12</v>
      </c>
      <c r="V7" s="310"/>
      <c r="W7" s="310"/>
      <c r="X7" s="1922">
        <v>0.03</v>
      </c>
      <c r="Y7" s="1923"/>
      <c r="Z7" s="1922">
        <v>0.01</v>
      </c>
      <c r="AA7" s="1923"/>
      <c r="AB7" s="1922">
        <v>0.02</v>
      </c>
      <c r="AC7" s="1923"/>
      <c r="AD7" s="1922">
        <v>0.03</v>
      </c>
      <c r="AE7" s="1923"/>
      <c r="AF7" s="1922">
        <v>0.03</v>
      </c>
      <c r="AG7" s="1923"/>
      <c r="AH7" s="1922">
        <v>0.01</v>
      </c>
      <c r="AI7" s="1923"/>
      <c r="AJ7" s="1923">
        <v>0.02</v>
      </c>
      <c r="AK7" s="1886"/>
      <c r="AL7" s="310"/>
      <c r="AM7" s="1924">
        <v>0.01</v>
      </c>
      <c r="AN7" s="1886"/>
      <c r="AO7" s="1923">
        <v>0.02</v>
      </c>
      <c r="AP7" s="1886"/>
    </row>
    <row r="8" spans="2:42" s="956" customFormat="1">
      <c r="B8" s="966" t="s">
        <v>136</v>
      </c>
      <c r="C8" s="967">
        <v>0.01</v>
      </c>
      <c r="D8" s="968">
        <f>ROUNDUP(+$E$4*24/(1-C8),0)</f>
        <v>43685</v>
      </c>
      <c r="E8" s="969">
        <f>+D8-($E$4*24)</f>
        <v>437</v>
      </c>
      <c r="G8" s="966" t="s">
        <v>129</v>
      </c>
      <c r="H8" s="970">
        <v>24</v>
      </c>
      <c r="J8" s="1047" t="s">
        <v>137</v>
      </c>
      <c r="K8" s="1048">
        <v>0.03</v>
      </c>
      <c r="L8" s="1049">
        <f>ROUNDUP(+M4*12/(1-K8),0)</f>
        <v>0</v>
      </c>
      <c r="M8" s="1050">
        <f>+L8-(M4*12)</f>
        <v>0</v>
      </c>
      <c r="O8" s="1051" t="s">
        <v>138</v>
      </c>
      <c r="P8" s="1052">
        <v>12</v>
      </c>
      <c r="U8" s="1041"/>
      <c r="V8" s="310"/>
      <c r="W8" s="1114"/>
      <c r="X8" s="1041"/>
      <c r="Y8" s="1129"/>
      <c r="Z8" s="1130"/>
      <c r="AA8" s="1131"/>
      <c r="AC8" s="1131"/>
      <c r="AD8" s="1132"/>
    </row>
    <row r="9" spans="2:42" ht="15.75" thickBot="1">
      <c r="B9" s="966" t="s">
        <v>129</v>
      </c>
      <c r="C9" s="967">
        <v>0.01</v>
      </c>
      <c r="D9" s="968">
        <f>ROUNDUP(+$E$4*24/(1-C9),0)</f>
        <v>43685</v>
      </c>
      <c r="E9" s="969">
        <f>+D9-($E$4*24)</f>
        <v>437</v>
      </c>
      <c r="F9" s="971"/>
      <c r="G9" s="972" t="s">
        <v>139</v>
      </c>
      <c r="H9" s="973">
        <v>1</v>
      </c>
      <c r="J9" s="1051" t="s">
        <v>138</v>
      </c>
      <c r="K9" s="1053">
        <v>0</v>
      </c>
      <c r="L9" s="1054">
        <f>ROUNDUP(+M4*12/(1-K9),0)</f>
        <v>0</v>
      </c>
      <c r="M9" s="1055">
        <f>IFERROR(L9-(M4*12),0)</f>
        <v>0</v>
      </c>
      <c r="O9" s="1056" t="s">
        <v>139</v>
      </c>
      <c r="P9" s="1057">
        <v>1</v>
      </c>
      <c r="U9" s="1041"/>
      <c r="W9" s="1115"/>
      <c r="X9" s="1116"/>
      <c r="Y9" s="1133"/>
      <c r="Z9" s="1134"/>
    </row>
    <row r="10" spans="2:42" ht="15.75" thickBot="1">
      <c r="B10" s="982" t="s">
        <v>140</v>
      </c>
      <c r="C10" s="1288">
        <v>0.02</v>
      </c>
      <c r="D10" s="1289">
        <f>ROUNDUP(+$E$4*1/(1-C10),0)</f>
        <v>1839</v>
      </c>
      <c r="E10" s="1290">
        <f>+D10-($E$4)</f>
        <v>37</v>
      </c>
      <c r="F10" s="971"/>
      <c r="G10" s="964" t="s">
        <v>141</v>
      </c>
      <c r="H10" s="974">
        <v>2.9</v>
      </c>
      <c r="J10" s="1056" t="s">
        <v>142</v>
      </c>
      <c r="K10" s="1058">
        <v>0.06</v>
      </c>
      <c r="L10" s="1059">
        <f>ROUNDUP(M4/(1-K10),0)</f>
        <v>0</v>
      </c>
      <c r="M10" s="1060">
        <f>+L10-M4</f>
        <v>0</v>
      </c>
      <c r="O10" s="1045" t="s">
        <v>141</v>
      </c>
      <c r="P10" s="1061">
        <v>1.9</v>
      </c>
      <c r="U10" s="1041"/>
      <c r="W10" s="1115"/>
      <c r="X10" s="1116"/>
      <c r="Y10" s="1133"/>
      <c r="Z10" s="1134"/>
      <c r="AA10" s="1041"/>
    </row>
    <row r="11" spans="2:42">
      <c r="B11" s="1285" t="s">
        <v>141</v>
      </c>
      <c r="C11" s="1286">
        <v>0.03</v>
      </c>
      <c r="D11" s="976">
        <f>+H10*$E$4*(1+C11)/1000</f>
        <v>5.3825740000000009</v>
      </c>
      <c r="E11" s="1287">
        <f>+D11-($E$4*H10)/1000</f>
        <v>0.15677400000000041</v>
      </c>
      <c r="F11" s="971"/>
      <c r="G11" s="966" t="s">
        <v>143</v>
      </c>
      <c r="H11" s="975">
        <v>15.6</v>
      </c>
      <c r="J11" s="1062" t="s">
        <v>141</v>
      </c>
      <c r="K11" s="1063">
        <v>0.15</v>
      </c>
      <c r="L11" s="1064">
        <f>+P10*$M$4*(1+K11)/1000</f>
        <v>0</v>
      </c>
      <c r="M11" s="1065">
        <f>+L11-($M$4*P10)/1000</f>
        <v>0</v>
      </c>
      <c r="O11" s="1051" t="s">
        <v>144</v>
      </c>
      <c r="P11" s="1066">
        <v>1.92</v>
      </c>
      <c r="U11" s="1116"/>
      <c r="W11" s="1117"/>
      <c r="X11" s="1118"/>
      <c r="Y11" s="1135"/>
      <c r="Z11" s="1136"/>
      <c r="AA11" s="1041"/>
      <c r="AB11" s="986"/>
      <c r="AC11" s="986"/>
    </row>
    <row r="12" spans="2:42" ht="15.75" thickBot="1">
      <c r="B12" s="966" t="s">
        <v>143</v>
      </c>
      <c r="C12" s="967">
        <v>0.1</v>
      </c>
      <c r="D12" s="976">
        <f>+H11*$E$4*(1+C12)/1000</f>
        <v>30.922320000000003</v>
      </c>
      <c r="E12" s="977">
        <f>+D12-($E$4*H11)/1000</f>
        <v>2.8111200000000025</v>
      </c>
      <c r="F12" s="971"/>
      <c r="G12" s="966" t="s">
        <v>132</v>
      </c>
      <c r="H12" s="978">
        <v>0.8</v>
      </c>
      <c r="J12" s="1051" t="s">
        <v>144</v>
      </c>
      <c r="K12" s="1067">
        <v>0</v>
      </c>
      <c r="L12" s="1068">
        <f>(P11/1000)*$M$4*(1+K12)</f>
        <v>0</v>
      </c>
      <c r="M12" s="1069">
        <f>+L12-($M$4*P11)/1000</f>
        <v>0</v>
      </c>
      <c r="O12" s="1056" t="s">
        <v>145</v>
      </c>
      <c r="P12" s="1070">
        <v>1</v>
      </c>
      <c r="U12" s="1116"/>
      <c r="W12" s="1114"/>
      <c r="X12" s="1041"/>
      <c r="Z12" s="1137"/>
      <c r="AA12" s="1041"/>
      <c r="AD12" s="986"/>
    </row>
    <row r="13" spans="2:42" ht="15.75" thickBot="1">
      <c r="B13" s="966" t="s">
        <v>132</v>
      </c>
      <c r="C13" s="967">
        <v>0.2</v>
      </c>
      <c r="D13" s="979">
        <f>+H12*$E$4*(1+C13)/1000</f>
        <v>1.7299200000000001</v>
      </c>
      <c r="E13" s="980">
        <f>+D13-($E$4*H12)/1000</f>
        <v>0.28831999999999991</v>
      </c>
      <c r="F13" s="971"/>
      <c r="G13" s="966" t="s">
        <v>145</v>
      </c>
      <c r="H13" s="981">
        <v>2.78</v>
      </c>
      <c r="J13" s="1056" t="s">
        <v>145</v>
      </c>
      <c r="K13" s="1071">
        <v>0</v>
      </c>
      <c r="L13" s="1072">
        <f>+P12*$M$4*(1+K13)/1000</f>
        <v>0</v>
      </c>
      <c r="M13" s="1073">
        <f>+L13-($M$4*P12)/1000</f>
        <v>0</v>
      </c>
      <c r="U13" s="1116"/>
      <c r="W13" s="1114"/>
      <c r="X13" s="1041"/>
      <c r="Y13" s="1138"/>
      <c r="Z13" s="1130"/>
      <c r="AA13" s="417"/>
      <c r="AB13" s="1132"/>
    </row>
    <row r="14" spans="2:42" ht="15.75" thickBot="1">
      <c r="B14" s="982" t="s">
        <v>145</v>
      </c>
      <c r="C14" s="1288">
        <v>0.05</v>
      </c>
      <c r="D14" s="983">
        <f>+H13*$E$4*(1+C14)/1000</f>
        <v>5.2600379999999998</v>
      </c>
      <c r="E14" s="984">
        <f>+D14-($E$4*H13)/1000</f>
        <v>0.2504780000000002</v>
      </c>
      <c r="F14" s="971"/>
      <c r="G14" s="982" t="s">
        <v>146</v>
      </c>
      <c r="H14" s="985">
        <v>1</v>
      </c>
      <c r="Q14" s="1106"/>
      <c r="R14" s="1107"/>
      <c r="S14" s="1108"/>
      <c r="T14" s="1109"/>
      <c r="U14" s="1109"/>
      <c r="W14" s="1114"/>
      <c r="X14" s="1041"/>
      <c r="Y14" s="1129"/>
      <c r="Z14" s="1130"/>
      <c r="AB14" s="986"/>
    </row>
    <row r="15" spans="2:42">
      <c r="C15" s="310">
        <v>0</v>
      </c>
      <c r="F15" s="310" t="s">
        <v>147</v>
      </c>
      <c r="T15" s="986"/>
      <c r="U15" s="986"/>
      <c r="W15" s="1115"/>
      <c r="X15" s="1116"/>
      <c r="Y15" s="1133"/>
      <c r="Z15" s="1134"/>
      <c r="AA15" s="986"/>
      <c r="AB15" s="986"/>
    </row>
    <row r="16" spans="2:42" ht="21">
      <c r="B16" s="1901" t="s">
        <v>148</v>
      </c>
      <c r="C16" s="1901"/>
      <c r="D16" s="1901"/>
      <c r="E16" s="1901"/>
      <c r="F16" s="986"/>
      <c r="J16" s="1902" t="s">
        <v>149</v>
      </c>
      <c r="K16" s="1902"/>
      <c r="L16" s="1902"/>
      <c r="M16" s="1902"/>
      <c r="W16" s="1117"/>
      <c r="X16" s="1118"/>
      <c r="Y16" s="1135"/>
      <c r="Z16" s="1136"/>
      <c r="AA16" s="986"/>
      <c r="AB16" s="986"/>
    </row>
    <row r="17" spans="2:28">
      <c r="G17" s="986"/>
      <c r="H17" s="986"/>
      <c r="T17" s="1041"/>
      <c r="U17" s="1041"/>
      <c r="AA17" s="986"/>
      <c r="AB17" s="986"/>
    </row>
    <row r="18" spans="2:28" ht="15.75">
      <c r="B18" s="1903" t="s">
        <v>123</v>
      </c>
      <c r="C18" s="1904"/>
      <c r="D18" s="1904"/>
      <c r="E18" s="987">
        <v>3624</v>
      </c>
      <c r="J18" s="1905" t="s">
        <v>123</v>
      </c>
      <c r="K18" s="1906"/>
      <c r="L18" s="1907"/>
      <c r="M18" s="1074">
        <v>0</v>
      </c>
      <c r="T18" s="1041"/>
      <c r="U18" s="1041"/>
      <c r="V18" s="986"/>
      <c r="W18" s="986"/>
      <c r="X18" s="986"/>
      <c r="AA18" s="986"/>
      <c r="AB18" s="986"/>
    </row>
    <row r="19" spans="2:28" ht="15.75">
      <c r="B19" s="961"/>
      <c r="C19" s="961"/>
      <c r="D19" s="961"/>
      <c r="E19" s="960"/>
      <c r="J19" s="961"/>
      <c r="K19" s="961"/>
      <c r="L19" s="961"/>
      <c r="M19" s="960" t="s">
        <v>124</v>
      </c>
      <c r="T19" s="1041"/>
      <c r="U19" s="1041"/>
      <c r="W19" s="986"/>
      <c r="AA19" s="986"/>
    </row>
    <row r="20" spans="2:28">
      <c r="B20" s="1908" t="s">
        <v>126</v>
      </c>
      <c r="C20" s="1909"/>
      <c r="D20" s="1909"/>
      <c r="E20" s="1910"/>
      <c r="F20" s="986"/>
      <c r="G20" s="1911" t="s">
        <v>150</v>
      </c>
      <c r="H20" s="1912"/>
      <c r="J20" s="1913" t="s">
        <v>126</v>
      </c>
      <c r="K20" s="1914"/>
      <c r="L20" s="1914"/>
      <c r="M20" s="1915"/>
      <c r="O20" s="1894" t="s">
        <v>151</v>
      </c>
      <c r="P20" s="1895"/>
      <c r="T20" s="1012"/>
      <c r="U20" s="1012"/>
      <c r="W20" s="986"/>
      <c r="X20" s="986"/>
      <c r="AA20" s="310" t="s">
        <v>152</v>
      </c>
    </row>
    <row r="21" spans="2:28">
      <c r="B21" s="1896" t="s">
        <v>133</v>
      </c>
      <c r="C21" s="1897"/>
      <c r="D21" s="988" t="s">
        <v>63</v>
      </c>
      <c r="E21" s="989" t="s">
        <v>134</v>
      </c>
      <c r="F21" s="971"/>
      <c r="G21" s="990" t="s">
        <v>135</v>
      </c>
      <c r="H21" s="991">
        <v>12</v>
      </c>
      <c r="J21" s="1898" t="s">
        <v>133</v>
      </c>
      <c r="K21" s="1899"/>
      <c r="L21" s="1075" t="s">
        <v>63</v>
      </c>
      <c r="M21" s="1076" t="s">
        <v>134</v>
      </c>
      <c r="O21" s="1077" t="s">
        <v>135</v>
      </c>
      <c r="P21" s="1078">
        <v>12</v>
      </c>
      <c r="T21" s="1012"/>
      <c r="U21" s="1012"/>
      <c r="X21" s="986"/>
    </row>
    <row r="22" spans="2:28">
      <c r="B22" s="992" t="s">
        <v>137</v>
      </c>
      <c r="C22" s="993">
        <v>3.2000000000000001E-2</v>
      </c>
      <c r="D22" s="994">
        <f>ROUNDUP(+E18*12/(1-C22),0)</f>
        <v>44926</v>
      </c>
      <c r="E22" s="995">
        <f>+D22-(E18*12)</f>
        <v>1438</v>
      </c>
      <c r="G22" s="996" t="s">
        <v>138</v>
      </c>
      <c r="H22" s="997">
        <v>12</v>
      </c>
      <c r="J22" s="1079" t="s">
        <v>137</v>
      </c>
      <c r="K22" s="1080">
        <v>0.03</v>
      </c>
      <c r="L22" s="1081">
        <f>ROUNDUP(+M18*12/(1-K22),0)</f>
        <v>0</v>
      </c>
      <c r="M22" s="1082">
        <f>+L22-(M18*12)</f>
        <v>0</v>
      </c>
      <c r="O22" s="1083" t="s">
        <v>138</v>
      </c>
      <c r="P22" s="1084">
        <v>12</v>
      </c>
      <c r="R22" s="1119">
        <v>55259</v>
      </c>
      <c r="S22" s="1120">
        <f>1996*24</f>
        <v>47904</v>
      </c>
      <c r="T22" s="1121">
        <f t="shared" ref="T22:T27" si="0">+R22-S22</f>
        <v>7355</v>
      </c>
      <c r="U22" s="1122">
        <f t="shared" ref="U22:U27" si="1">+T22/R22*100</f>
        <v>13.310049041785049</v>
      </c>
      <c r="Y22" s="1139"/>
    </row>
    <row r="23" spans="2:28">
      <c r="B23" s="996" t="s">
        <v>138</v>
      </c>
      <c r="C23" s="998">
        <v>0.01</v>
      </c>
      <c r="D23" s="999">
        <f>ROUNDUP(+E18*12/(1-C23),0)</f>
        <v>43928</v>
      </c>
      <c r="E23" s="1000">
        <f>IFERROR(D23-(E18*12),0)</f>
        <v>440</v>
      </c>
      <c r="G23" s="1001" t="s">
        <v>139</v>
      </c>
      <c r="H23" s="1002">
        <v>1</v>
      </c>
      <c r="J23" s="1083" t="s">
        <v>138</v>
      </c>
      <c r="K23" s="1085">
        <v>0.01</v>
      </c>
      <c r="L23" s="1086">
        <f>ROUNDUP(+M18*12/(1-K23),0)</f>
        <v>0</v>
      </c>
      <c r="M23" s="1087">
        <f>IFERROR(L23-(M18*12),0)</f>
        <v>0</v>
      </c>
      <c r="O23" s="1088" t="s">
        <v>139</v>
      </c>
      <c r="P23" s="1089">
        <v>1</v>
      </c>
      <c r="R23" s="1123">
        <v>48814</v>
      </c>
      <c r="S23" s="310">
        <f>1996*24</f>
        <v>47904</v>
      </c>
      <c r="T23" s="1012">
        <f t="shared" si="0"/>
        <v>910</v>
      </c>
      <c r="U23" s="1124">
        <f t="shared" si="1"/>
        <v>1.86421928135371</v>
      </c>
      <c r="Y23" s="1140"/>
      <c r="Z23" s="1141"/>
    </row>
    <row r="24" spans="2:28">
      <c r="B24" s="996" t="s">
        <v>153</v>
      </c>
      <c r="C24" s="998">
        <v>0.01</v>
      </c>
      <c r="D24" s="1003">
        <f>ROUNDUP(E18/(1-C24),0)</f>
        <v>3661</v>
      </c>
      <c r="E24" s="1000">
        <f>+D24-E18</f>
        <v>37</v>
      </c>
      <c r="G24" s="990" t="s">
        <v>141</v>
      </c>
      <c r="H24" s="1004">
        <v>1.9</v>
      </c>
      <c r="J24" s="1088" t="s">
        <v>154</v>
      </c>
      <c r="K24" s="1090">
        <v>0.01</v>
      </c>
      <c r="L24" s="1091">
        <f>ROUNDUP(M18/(1-K24),0)</f>
        <v>0</v>
      </c>
      <c r="M24" s="1092">
        <f>+L24-M18</f>
        <v>0</v>
      </c>
      <c r="O24" s="1077" t="s">
        <v>141</v>
      </c>
      <c r="P24" s="1093">
        <v>1.4</v>
      </c>
      <c r="R24" s="1125">
        <v>2108</v>
      </c>
      <c r="S24" s="310">
        <v>1996</v>
      </c>
      <c r="T24" s="1012">
        <f t="shared" si="0"/>
        <v>112</v>
      </c>
      <c r="U24" s="1124">
        <f t="shared" si="1"/>
        <v>5.3130929791271351</v>
      </c>
      <c r="Y24" s="1140"/>
      <c r="Z24" s="1142" t="s">
        <v>147</v>
      </c>
      <c r="AA24" s="986"/>
      <c r="AB24" s="986"/>
    </row>
    <row r="25" spans="2:28">
      <c r="B25" s="996" t="s">
        <v>141</v>
      </c>
      <c r="C25" s="998">
        <v>0.03</v>
      </c>
      <c r="D25" s="1005">
        <f>+H24*$E$18*(1+C25)/1000</f>
        <v>7.092168</v>
      </c>
      <c r="E25" s="1006">
        <f>+D25-($E$18*H24)/1000</f>
        <v>0.20656800000000075</v>
      </c>
      <c r="G25" s="996" t="s">
        <v>144</v>
      </c>
      <c r="H25" s="1007">
        <v>3.9</v>
      </c>
      <c r="J25" s="1094" t="s">
        <v>141</v>
      </c>
      <c r="K25" s="1095">
        <v>0.03</v>
      </c>
      <c r="L25" s="1096">
        <f>+P24*$M$18*(1+K25)/1000</f>
        <v>0</v>
      </c>
      <c r="M25" s="1097">
        <f>+L25-($M$18*P24)/1000</f>
        <v>0</v>
      </c>
      <c r="O25" s="1083" t="s">
        <v>144</v>
      </c>
      <c r="P25" s="1098">
        <v>3</v>
      </c>
      <c r="R25" s="1125">
        <v>4.5199999999999996</v>
      </c>
      <c r="S25" s="310">
        <v>4.3899999999999997</v>
      </c>
      <c r="T25" s="1012">
        <f t="shared" si="0"/>
        <v>0.12999999999999989</v>
      </c>
      <c r="U25" s="1124">
        <f t="shared" si="1"/>
        <v>2.8761061946902635</v>
      </c>
      <c r="Z25" s="986"/>
      <c r="AA25" s="1142"/>
    </row>
    <row r="26" spans="2:28">
      <c r="B26" s="996" t="s">
        <v>144</v>
      </c>
      <c r="C26" s="998">
        <v>0</v>
      </c>
      <c r="D26" s="1005">
        <f>+H25*$E$18*(1+C26)/1000</f>
        <v>14.133599999999999</v>
      </c>
      <c r="E26" s="1006">
        <f>+D26-($E$18*H25)/1000</f>
        <v>0</v>
      </c>
      <c r="G26" s="1001" t="s">
        <v>145</v>
      </c>
      <c r="H26" s="1008">
        <v>2.78</v>
      </c>
      <c r="J26" s="1083" t="s">
        <v>144</v>
      </c>
      <c r="K26" s="1099">
        <v>0.03</v>
      </c>
      <c r="L26" s="1100">
        <f>(P25/1000)*$M$18*(1+K26)</f>
        <v>0</v>
      </c>
      <c r="M26" s="1101">
        <f>+L26-($M$18*P25)/1000</f>
        <v>0</v>
      </c>
      <c r="O26" s="1083" t="s">
        <v>145</v>
      </c>
      <c r="P26" s="1098">
        <v>1</v>
      </c>
      <c r="Q26" s="971"/>
      <c r="R26" s="1125">
        <v>2.42</v>
      </c>
      <c r="S26" s="310">
        <v>2.4</v>
      </c>
      <c r="T26" s="1012">
        <f t="shared" si="0"/>
        <v>2.0000000000000018E-2</v>
      </c>
      <c r="U26" s="1124">
        <f t="shared" si="1"/>
        <v>0.82644628099173623</v>
      </c>
      <c r="AA26" s="986"/>
    </row>
    <row r="27" spans="2:28">
      <c r="B27" s="1001" t="s">
        <v>145</v>
      </c>
      <c r="C27" s="1009">
        <v>0.01</v>
      </c>
      <c r="D27" s="1010">
        <f>+H26*$E$18*(1+C27)/1000</f>
        <v>10.1754672</v>
      </c>
      <c r="E27" s="1011">
        <f>+D27-($E$18*H26)/1000</f>
        <v>0.1007472000000007</v>
      </c>
      <c r="H27" s="1012"/>
      <c r="J27" s="1088" t="s">
        <v>145</v>
      </c>
      <c r="K27" s="1102">
        <v>0.01</v>
      </c>
      <c r="L27" s="1103">
        <f>+P26*$M$18*(1+K27)/1000</f>
        <v>0</v>
      </c>
      <c r="M27" s="1104">
        <f>+L27-($M$18*P26)/1000</f>
        <v>0</v>
      </c>
      <c r="O27" s="1088" t="s">
        <v>155</v>
      </c>
      <c r="P27" s="1105">
        <v>0</v>
      </c>
      <c r="R27" s="1126">
        <v>3.03</v>
      </c>
      <c r="S27" s="1127">
        <v>2.99</v>
      </c>
      <c r="T27" s="1127">
        <f t="shared" si="0"/>
        <v>3.9999999999999591E-2</v>
      </c>
      <c r="U27" s="1128">
        <f t="shared" si="1"/>
        <v>1.3201320132013068</v>
      </c>
    </row>
    <row r="28" spans="2:28">
      <c r="C28" s="310">
        <v>0</v>
      </c>
      <c r="J28" s="1106"/>
      <c r="K28" s="1107"/>
      <c r="L28" s="1108"/>
      <c r="M28" s="1109"/>
    </row>
    <row r="29" spans="2:28" ht="21">
      <c r="B29" s="1900" t="s">
        <v>156</v>
      </c>
      <c r="C29" s="1900"/>
      <c r="D29" s="1900"/>
      <c r="E29" s="1900"/>
      <c r="F29" s="958"/>
      <c r="J29" s="1900" t="s">
        <v>157</v>
      </c>
      <c r="K29" s="1900"/>
      <c r="L29" s="1900"/>
      <c r="M29" s="1900"/>
      <c r="N29" s="958"/>
    </row>
    <row r="30" spans="2:28">
      <c r="U30" s="956"/>
    </row>
    <row r="31" spans="2:28" ht="15.75">
      <c r="B31" s="1888" t="s">
        <v>123</v>
      </c>
      <c r="C31" s="1889"/>
      <c r="D31" s="1890"/>
      <c r="E31" s="1013">
        <v>0</v>
      </c>
      <c r="F31" s="960"/>
      <c r="J31" s="1888" t="s">
        <v>123</v>
      </c>
      <c r="K31" s="1889"/>
      <c r="L31" s="1890"/>
      <c r="M31" s="1013">
        <v>3226</v>
      </c>
      <c r="N31" s="960"/>
      <c r="U31" s="956"/>
    </row>
    <row r="32" spans="2:28" ht="15.75">
      <c r="B32" s="961"/>
      <c r="C32" s="961"/>
      <c r="D32" s="961"/>
      <c r="E32" s="960"/>
      <c r="F32" s="960"/>
      <c r="J32" s="961"/>
      <c r="K32" s="961"/>
      <c r="L32" s="961"/>
      <c r="M32" s="960"/>
      <c r="N32" s="960"/>
    </row>
    <row r="33" spans="2:16">
      <c r="B33" s="1891" t="s">
        <v>126</v>
      </c>
      <c r="C33" s="1892"/>
      <c r="D33" s="1892"/>
      <c r="E33" s="1893"/>
      <c r="G33" s="1882" t="s">
        <v>127</v>
      </c>
      <c r="H33" s="1883"/>
      <c r="J33" s="1891" t="s">
        <v>126</v>
      </c>
      <c r="K33" s="1892"/>
      <c r="L33" s="1892"/>
      <c r="M33" s="1893"/>
      <c r="O33" s="1882" t="s">
        <v>158</v>
      </c>
      <c r="P33" s="1883"/>
    </row>
    <row r="34" spans="2:16">
      <c r="B34" s="1884" t="s">
        <v>133</v>
      </c>
      <c r="C34" s="1885"/>
      <c r="D34" s="1014" t="s">
        <v>63</v>
      </c>
      <c r="E34" s="1015" t="s">
        <v>134</v>
      </c>
      <c r="F34" s="956"/>
      <c r="G34" s="1016" t="s">
        <v>135</v>
      </c>
      <c r="H34" s="1017">
        <v>24</v>
      </c>
      <c r="J34" s="1884" t="s">
        <v>133</v>
      </c>
      <c r="K34" s="1885"/>
      <c r="L34" s="1014" t="s">
        <v>63</v>
      </c>
      <c r="M34" s="1015" t="s">
        <v>134</v>
      </c>
      <c r="N34" s="956"/>
      <c r="O34" s="1016" t="s">
        <v>135</v>
      </c>
      <c r="P34" s="1017">
        <v>24</v>
      </c>
    </row>
    <row r="35" spans="2:16">
      <c r="B35" s="1018" t="s">
        <v>136</v>
      </c>
      <c r="C35" s="1019">
        <v>0.03</v>
      </c>
      <c r="D35" s="1020">
        <f>ROUNDUP(+$E$31*24/(1-C35),0)</f>
        <v>0</v>
      </c>
      <c r="E35" s="1021">
        <f>+D35-($E$31*24)</f>
        <v>0</v>
      </c>
      <c r="F35" s="956"/>
      <c r="G35" s="1018" t="s">
        <v>129</v>
      </c>
      <c r="H35" s="1022">
        <v>24</v>
      </c>
      <c r="J35" s="1018" t="s">
        <v>136</v>
      </c>
      <c r="K35" s="1019">
        <v>0</v>
      </c>
      <c r="L35" s="1020">
        <f>ROUNDUP(+$M$31*24/(1-K35),0)</f>
        <v>77424</v>
      </c>
      <c r="M35" s="1021">
        <f>+L35-($M$31*24)</f>
        <v>0</v>
      </c>
      <c r="N35" s="956"/>
      <c r="O35" s="1018" t="s">
        <v>129</v>
      </c>
      <c r="P35" s="1022">
        <v>24</v>
      </c>
    </row>
    <row r="36" spans="2:16">
      <c r="B36" s="1018" t="s">
        <v>129</v>
      </c>
      <c r="C36" s="1019">
        <v>0.01</v>
      </c>
      <c r="D36" s="1020">
        <f>ROUNDUP(+$E$31*24/(1-C36),0)</f>
        <v>0</v>
      </c>
      <c r="E36" s="1021">
        <f>+D36-($E$31*24)</f>
        <v>0</v>
      </c>
      <c r="F36" s="971"/>
      <c r="G36" s="1023" t="s">
        <v>139</v>
      </c>
      <c r="H36" s="1024">
        <v>1</v>
      </c>
      <c r="J36" s="1018" t="s">
        <v>129</v>
      </c>
      <c r="K36" s="1019">
        <v>0</v>
      </c>
      <c r="L36" s="1020">
        <f>ROUNDUP(+$M$31*24/(1-K36),0)</f>
        <v>77424</v>
      </c>
      <c r="M36" s="1021">
        <f>+L36-($M$31*24)</f>
        <v>0</v>
      </c>
      <c r="N36" s="971"/>
      <c r="O36" s="1023" t="s">
        <v>139</v>
      </c>
      <c r="P36" s="1024">
        <v>1</v>
      </c>
    </row>
    <row r="37" spans="2:16">
      <c r="B37" s="1023" t="s">
        <v>140</v>
      </c>
      <c r="C37" s="1019">
        <v>0.01</v>
      </c>
      <c r="D37" s="1025">
        <f>ROUNDUP(+$E$31*1/(1-C37),0)</f>
        <v>0</v>
      </c>
      <c r="E37" s="1026">
        <f>+D37-($E$31)</f>
        <v>0</v>
      </c>
      <c r="F37" s="971"/>
      <c r="G37" s="1016" t="s">
        <v>141</v>
      </c>
      <c r="H37" s="1027">
        <v>2.9</v>
      </c>
      <c r="J37" s="1023" t="s">
        <v>140</v>
      </c>
      <c r="K37" s="1019">
        <v>0</v>
      </c>
      <c r="L37" s="1025">
        <f>ROUNDUP(+$M$31*1/(1-K37),0)</f>
        <v>3226</v>
      </c>
      <c r="M37" s="1026">
        <f>+L37-($M$31)</f>
        <v>0</v>
      </c>
      <c r="N37" s="971"/>
      <c r="O37" s="1016" t="s">
        <v>141</v>
      </c>
      <c r="P37" s="1027">
        <v>2.9</v>
      </c>
    </row>
    <row r="38" spans="2:16">
      <c r="B38" s="1016" t="s">
        <v>141</v>
      </c>
      <c r="C38" s="1019">
        <v>0.03</v>
      </c>
      <c r="D38" s="1028">
        <f>+H37*$E$31*(1+C38)/1000</f>
        <v>0</v>
      </c>
      <c r="E38" s="1029">
        <f>+D38-($E$31*H37)/1000</f>
        <v>0</v>
      </c>
      <c r="F38" s="971"/>
      <c r="G38" s="1018" t="s">
        <v>132</v>
      </c>
      <c r="H38" s="1030">
        <v>1.2</v>
      </c>
      <c r="J38" s="1016" t="s">
        <v>141</v>
      </c>
      <c r="K38" s="1019">
        <v>0.03</v>
      </c>
      <c r="L38" s="1028">
        <f>+P37*$M$31*(1+K38)/1000</f>
        <v>9.636061999999999</v>
      </c>
      <c r="M38" s="1029">
        <f>+L38-($M$31*P37)/1000</f>
        <v>0.28066199999999952</v>
      </c>
      <c r="N38" s="971"/>
      <c r="O38" s="1018" t="s">
        <v>132</v>
      </c>
      <c r="P38" s="1030">
        <v>1.2</v>
      </c>
    </row>
    <row r="39" spans="2:16">
      <c r="B39" s="1018" t="s">
        <v>132</v>
      </c>
      <c r="C39" s="1019">
        <v>0.03</v>
      </c>
      <c r="D39" s="1031">
        <f>+H38*$E$31*(1+C39)/1000</f>
        <v>0</v>
      </c>
      <c r="E39" s="1032">
        <f>+D39-($E$31*H38)/1000</f>
        <v>0</v>
      </c>
      <c r="F39" s="971"/>
      <c r="G39" s="1033" t="s">
        <v>146</v>
      </c>
      <c r="H39" s="1034">
        <v>2.78</v>
      </c>
      <c r="J39" s="1018" t="s">
        <v>132</v>
      </c>
      <c r="K39" s="1019">
        <v>0</v>
      </c>
      <c r="L39" s="1031">
        <f>+P38*$M$31*(1+K39)/1000</f>
        <v>3.8712</v>
      </c>
      <c r="M39" s="1032">
        <f>+L39-($M$31*P38)/1000</f>
        <v>0</v>
      </c>
      <c r="N39" s="971"/>
      <c r="O39" s="1033" t="s">
        <v>146</v>
      </c>
      <c r="P39" s="1034">
        <v>2.78</v>
      </c>
    </row>
    <row r="40" spans="2:16">
      <c r="B40" s="1033" t="s">
        <v>145</v>
      </c>
      <c r="C40" s="1019">
        <v>0.01</v>
      </c>
      <c r="D40" s="1035">
        <f>+H39*$E$31*(1+C40)/1000</f>
        <v>0</v>
      </c>
      <c r="E40" s="1036">
        <f>+D40-($E$31*H39)/1000</f>
        <v>0</v>
      </c>
      <c r="F40" s="971"/>
      <c r="J40" s="1033" t="s">
        <v>145</v>
      </c>
      <c r="K40" s="1019">
        <v>0</v>
      </c>
      <c r="L40" s="1035">
        <f>+P39*$M$31*(1+K40)/1000</f>
        <v>8.9682799999999983</v>
      </c>
      <c r="M40" s="1036">
        <f>+L40-($M$31*P39)/1000</f>
        <v>0</v>
      </c>
      <c r="N40" s="971"/>
    </row>
    <row r="41" spans="2:16" s="957" customFormat="1">
      <c r="C41" s="1037"/>
      <c r="D41" s="1038"/>
      <c r="E41" s="1039"/>
      <c r="F41" s="1040"/>
      <c r="K41" s="957">
        <v>0</v>
      </c>
    </row>
    <row r="42" spans="2:16" s="957" customFormat="1">
      <c r="C42" s="1037"/>
      <c r="D42" s="1038"/>
      <c r="E42" s="1039"/>
      <c r="F42" s="1040"/>
    </row>
    <row r="43" spans="2:16">
      <c r="E43" s="1041"/>
      <c r="J43" s="1886" t="s">
        <v>159</v>
      </c>
      <c r="K43" s="1886"/>
      <c r="L43" s="1886"/>
      <c r="M43" s="1886"/>
      <c r="N43" s="1886"/>
      <c r="O43" s="1886"/>
      <c r="P43" s="1886"/>
    </row>
    <row r="44" spans="2:16">
      <c r="E44" s="1041"/>
      <c r="J44" s="1887" t="s">
        <v>160</v>
      </c>
      <c r="K44" s="1887"/>
      <c r="L44" s="1887" t="s">
        <v>120</v>
      </c>
      <c r="M44" s="1887"/>
      <c r="N44" s="1111" t="s">
        <v>121</v>
      </c>
      <c r="O44" s="1887" t="s">
        <v>161</v>
      </c>
      <c r="P44" s="1887"/>
    </row>
    <row r="45" spans="2:16">
      <c r="E45" s="1012"/>
      <c r="J45" s="1880">
        <f>+D27+D14+L13+D40</f>
        <v>15.4355052</v>
      </c>
      <c r="K45" s="1881"/>
      <c r="L45" s="1880">
        <f>+D11+D25+D38+L25+L11+L38</f>
        <v>22.110804000000002</v>
      </c>
      <c r="M45" s="1881"/>
      <c r="N45" s="1112">
        <f>+D26+L12+L26</f>
        <v>14.133599999999999</v>
      </c>
      <c r="O45" s="1880">
        <f>+D39+D13+L39</f>
        <v>5.6011199999999999</v>
      </c>
      <c r="P45" s="1881"/>
    </row>
    <row r="46" spans="2:16">
      <c r="E46" s="1012"/>
      <c r="K46" s="310">
        <f>19+20+7.5+7.5+7.5</f>
        <v>61.5</v>
      </c>
      <c r="L46" s="986">
        <f>+J45+K46</f>
        <v>76.935505199999994</v>
      </c>
      <c r="M46" s="1041"/>
      <c r="N46" s="986">
        <f>32.5+2.5+2</f>
        <v>37</v>
      </c>
      <c r="P46" s="310">
        <f>25+3.1+2.5+3.7</f>
        <v>34.300000000000004</v>
      </c>
    </row>
    <row r="47" spans="2:16">
      <c r="E47" s="1012"/>
      <c r="J47" s="986"/>
      <c r="K47" s="310">
        <v>114.47</v>
      </c>
      <c r="L47" s="986">
        <f>+K47-L46</f>
        <v>37.534494800000004</v>
      </c>
      <c r="M47" s="1041"/>
      <c r="P47" s="986">
        <f>+O45+P46</f>
        <v>39.901120000000006</v>
      </c>
    </row>
    <row r="48" spans="2:16">
      <c r="E48" s="1012"/>
      <c r="M48" s="1012"/>
    </row>
    <row r="49" spans="13:14">
      <c r="M49" s="1012"/>
      <c r="N49" s="310">
        <v>109.28</v>
      </c>
    </row>
    <row r="50" spans="13:14">
      <c r="M50" s="1012"/>
      <c r="N50" s="310">
        <v>180.48</v>
      </c>
    </row>
    <row r="51" spans="13:14">
      <c r="M51" s="1012"/>
      <c r="N51" s="310">
        <f>+N50-N49</f>
        <v>71.199999999999989</v>
      </c>
    </row>
  </sheetData>
  <mergeCells count="71">
    <mergeCell ref="B2:E2"/>
    <mergeCell ref="J2:M2"/>
    <mergeCell ref="X2:AI2"/>
    <mergeCell ref="X3:Y3"/>
    <mergeCell ref="Z3:AA3"/>
    <mergeCell ref="AB3:AC3"/>
    <mergeCell ref="AD3:AE3"/>
    <mergeCell ref="AF3:AG3"/>
    <mergeCell ref="AH3:AI3"/>
    <mergeCell ref="AM3:AN3"/>
    <mergeCell ref="B4:D4"/>
    <mergeCell ref="J4:L4"/>
    <mergeCell ref="X4:Y4"/>
    <mergeCell ref="Z4:AA4"/>
    <mergeCell ref="AB4:AC4"/>
    <mergeCell ref="AD4:AE4"/>
    <mergeCell ref="AF4:AG4"/>
    <mergeCell ref="AH4:AI4"/>
    <mergeCell ref="AM4:AN4"/>
    <mergeCell ref="X5:AI5"/>
    <mergeCell ref="B6:E6"/>
    <mergeCell ref="G6:H6"/>
    <mergeCell ref="J6:M6"/>
    <mergeCell ref="O6:P6"/>
    <mergeCell ref="X6:Y6"/>
    <mergeCell ref="Z6:AA6"/>
    <mergeCell ref="AB6:AC6"/>
    <mergeCell ref="AD6:AE6"/>
    <mergeCell ref="AF6:AG6"/>
    <mergeCell ref="AH6:AI6"/>
    <mergeCell ref="AJ6:AK6"/>
    <mergeCell ref="AM6:AN6"/>
    <mergeCell ref="AO6:AP6"/>
    <mergeCell ref="B7:C7"/>
    <mergeCell ref="J7:K7"/>
    <mergeCell ref="X7:Y7"/>
    <mergeCell ref="Z7:AA7"/>
    <mergeCell ref="AB7:AC7"/>
    <mergeCell ref="AD7:AE7"/>
    <mergeCell ref="AF7:AG7"/>
    <mergeCell ref="AH7:AI7"/>
    <mergeCell ref="AJ7:AK7"/>
    <mergeCell ref="AM7:AN7"/>
    <mergeCell ref="AO7:AP7"/>
    <mergeCell ref="B16:E16"/>
    <mergeCell ref="J16:M16"/>
    <mergeCell ref="B18:D18"/>
    <mergeCell ref="J18:L18"/>
    <mergeCell ref="B20:E20"/>
    <mergeCell ref="G20:H20"/>
    <mergeCell ref="J20:M20"/>
    <mergeCell ref="O20:P20"/>
    <mergeCell ref="B21:C21"/>
    <mergeCell ref="J21:K21"/>
    <mergeCell ref="B29:E29"/>
    <mergeCell ref="J29:M29"/>
    <mergeCell ref="B31:D31"/>
    <mergeCell ref="J31:L31"/>
    <mergeCell ref="B33:E33"/>
    <mergeCell ref="G33:H33"/>
    <mergeCell ref="J33:M33"/>
    <mergeCell ref="J45:K45"/>
    <mergeCell ref="L45:M45"/>
    <mergeCell ref="O45:P45"/>
    <mergeCell ref="O33:P33"/>
    <mergeCell ref="B34:C34"/>
    <mergeCell ref="J34:K34"/>
    <mergeCell ref="J43:P43"/>
    <mergeCell ref="J44:K44"/>
    <mergeCell ref="L44:M44"/>
    <mergeCell ref="O44:P44"/>
  </mergeCell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D310-09C0-463E-AC18-038E4ED11B27}">
  <dimension ref="C2:H16"/>
  <sheetViews>
    <sheetView workbookViewId="0">
      <selection activeCell="E15" sqref="E15"/>
    </sheetView>
  </sheetViews>
  <sheetFormatPr baseColWidth="10" defaultRowHeight="15"/>
  <cols>
    <col min="3" max="3" width="15.85546875" bestFit="1" customWidth="1"/>
    <col min="4" max="4" width="15" bestFit="1" customWidth="1"/>
    <col min="5" max="5" width="12.7109375" bestFit="1" customWidth="1"/>
  </cols>
  <sheetData>
    <row r="2" spans="3:8" ht="15.75" thickBot="1"/>
    <row r="3" spans="3:8" ht="15.75" thickBot="1">
      <c r="G3" s="1650">
        <f ca="1">+TODAY()</f>
        <v>46276</v>
      </c>
    </row>
    <row r="4" spans="3:8" ht="15.75" thickBot="1">
      <c r="C4" s="1423" t="s">
        <v>798</v>
      </c>
      <c r="D4" s="1423" t="s">
        <v>615</v>
      </c>
      <c r="E4" s="1423" t="s">
        <v>808</v>
      </c>
      <c r="F4" s="1423" t="s">
        <v>1363</v>
      </c>
      <c r="G4" s="1423" t="s">
        <v>1365</v>
      </c>
    </row>
    <row r="5" spans="3:8" ht="15.75" thickBot="1">
      <c r="C5" s="1949" t="s">
        <v>444</v>
      </c>
      <c r="D5" s="1647" t="s">
        <v>1366</v>
      </c>
      <c r="E5" s="1736" t="s">
        <v>1367</v>
      </c>
      <c r="F5" s="1369">
        <v>106</v>
      </c>
      <c r="G5" s="1369">
        <f>+F5/2</f>
        <v>53</v>
      </c>
    </row>
    <row r="6" spans="3:8" ht="15.75" thickBot="1">
      <c r="C6" s="1949"/>
      <c r="D6" s="1647" t="s">
        <v>1368</v>
      </c>
      <c r="E6" s="1647" t="s">
        <v>1369</v>
      </c>
      <c r="F6" s="1369">
        <v>0</v>
      </c>
      <c r="G6" s="1369">
        <v>0</v>
      </c>
    </row>
    <row r="7" spans="3:8" ht="15.75" thickBot="1">
      <c r="C7" s="1949"/>
      <c r="D7" s="1647" t="s">
        <v>1368</v>
      </c>
      <c r="E7" s="1647" t="s">
        <v>1370</v>
      </c>
      <c r="F7" s="1369">
        <v>80</v>
      </c>
      <c r="G7" s="1369">
        <f>+F7/4</f>
        <v>20</v>
      </c>
    </row>
    <row r="8" spans="3:8" ht="15.75" thickBot="1">
      <c r="C8" s="1949"/>
      <c r="D8" s="1647" t="s">
        <v>1368</v>
      </c>
      <c r="E8" s="1653" t="s">
        <v>1371</v>
      </c>
      <c r="F8" s="1369">
        <v>8</v>
      </c>
      <c r="G8" s="1369">
        <f>+F8/4</f>
        <v>2</v>
      </c>
    </row>
    <row r="9" spans="3:8" ht="15.75" thickBot="1">
      <c r="C9" s="1949"/>
      <c r="D9" s="1647" t="s">
        <v>1372</v>
      </c>
      <c r="E9" s="1746" t="s">
        <v>1374</v>
      </c>
      <c r="F9" s="1369">
        <v>2</v>
      </c>
      <c r="G9" s="1369">
        <v>2</v>
      </c>
    </row>
    <row r="10" spans="3:8" ht="15.75" thickBot="1">
      <c r="C10" s="1949"/>
      <c r="D10" s="1651" t="s">
        <v>1372</v>
      </c>
      <c r="E10" s="1654" t="s">
        <v>1377</v>
      </c>
      <c r="F10" s="1652">
        <v>20</v>
      </c>
      <c r="G10" s="1652">
        <v>20</v>
      </c>
      <c r="H10" t="s">
        <v>1402</v>
      </c>
    </row>
    <row r="11" spans="3:8" ht="15.75" thickBot="1">
      <c r="C11" s="1950" t="s">
        <v>785</v>
      </c>
      <c r="D11" s="1647" t="s">
        <v>1375</v>
      </c>
      <c r="E11" s="1647" t="s">
        <v>1376</v>
      </c>
      <c r="F11" s="1369">
        <v>4</v>
      </c>
      <c r="G11" s="1369">
        <v>4</v>
      </c>
    </row>
    <row r="12" spans="3:8" ht="15.75" thickBot="1">
      <c r="C12" s="1950"/>
      <c r="D12" s="1648" t="s">
        <v>1386</v>
      </c>
      <c r="E12" s="1648" t="s">
        <v>1388</v>
      </c>
      <c r="F12" s="1649">
        <v>0</v>
      </c>
      <c r="G12" s="1649">
        <v>0</v>
      </c>
      <c r="H12">
        <v>42</v>
      </c>
    </row>
    <row r="13" spans="3:8" ht="15.75" thickBot="1">
      <c r="C13" s="1647" t="s">
        <v>1378</v>
      </c>
      <c r="D13" s="1647" t="s">
        <v>1379</v>
      </c>
      <c r="E13" s="1653" t="s">
        <v>1373</v>
      </c>
      <c r="F13" s="1369">
        <v>6</v>
      </c>
      <c r="G13" s="1369">
        <v>6</v>
      </c>
    </row>
    <row r="14" spans="3:8" ht="15.75" thickBot="1">
      <c r="C14" s="1647" t="s">
        <v>1378</v>
      </c>
      <c r="D14" s="1647" t="s">
        <v>1382</v>
      </c>
      <c r="E14" s="1647" t="s">
        <v>1383</v>
      </c>
      <c r="F14" s="1369">
        <v>40</v>
      </c>
      <c r="G14" s="1369">
        <v>40</v>
      </c>
    </row>
    <row r="15" spans="3:8" ht="15.75" thickBot="1">
      <c r="C15" s="1647" t="s">
        <v>1387</v>
      </c>
      <c r="D15" s="1647" t="s">
        <v>1384</v>
      </c>
      <c r="E15" s="1746" t="s">
        <v>1385</v>
      </c>
      <c r="F15" s="1369">
        <v>160</v>
      </c>
      <c r="G15" s="1369">
        <f>+F15/4</f>
        <v>40</v>
      </c>
    </row>
    <row r="16" spans="3:8" ht="15.75" thickBot="1">
      <c r="C16" s="1369"/>
      <c r="D16" s="1647" t="s">
        <v>1381</v>
      </c>
      <c r="E16" s="1647" t="s">
        <v>1380</v>
      </c>
      <c r="F16" s="1369">
        <v>160</v>
      </c>
      <c r="G16" s="1647">
        <v>160</v>
      </c>
    </row>
  </sheetData>
  <mergeCells count="2">
    <mergeCell ref="C5:C10"/>
    <mergeCell ref="C11:C1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"/>
  <dimension ref="A1:IW130"/>
  <sheetViews>
    <sheetView zoomScale="73" zoomScaleNormal="73" workbookViewId="0">
      <pane xSplit="4" topLeftCell="BQ1" activePane="topRight" state="frozen"/>
      <selection pane="topRight" activeCell="BK10" sqref="BK10"/>
    </sheetView>
  </sheetViews>
  <sheetFormatPr baseColWidth="10" defaultColWidth="11.42578125" defaultRowHeight="15" outlineLevelCol="1"/>
  <cols>
    <col min="1" max="1" width="2.140625" style="476" customWidth="1"/>
    <col min="2" max="2" width="20.7109375" style="476" customWidth="1"/>
    <col min="3" max="3" width="69.5703125" style="476" customWidth="1"/>
    <col min="4" max="4" width="17.140625" style="476" customWidth="1"/>
    <col min="5" max="68" width="20.7109375" style="476" hidden="1" customWidth="1" outlineLevel="1"/>
    <col min="69" max="69" width="17.140625" style="476" customWidth="1" collapsed="1"/>
    <col min="70" max="74" width="20.7109375" style="476" hidden="1" customWidth="1" outlineLevel="1"/>
    <col min="75" max="75" width="25" style="476" hidden="1" customWidth="1" outlineLevel="1"/>
    <col min="76" max="94" width="20.7109375" style="476" hidden="1" customWidth="1" outlineLevel="1"/>
    <col min="95" max="95" width="19.28515625" style="476" customWidth="1" collapsed="1"/>
    <col min="96" max="99" width="15.7109375" style="476" hidden="1" customWidth="1" outlineLevel="1"/>
    <col min="100" max="100" width="19" style="476" hidden="1" customWidth="1" outlineLevel="1"/>
    <col min="101" max="104" width="15.7109375" style="476" hidden="1" customWidth="1" outlineLevel="1"/>
    <col min="105" max="105" width="20" style="476" hidden="1" customWidth="1" outlineLevel="1"/>
    <col min="106" max="106" width="15.7109375" style="476" hidden="1" customWidth="1" outlineLevel="1"/>
    <col min="107" max="107" width="17.28515625" style="476" hidden="1" customWidth="1" outlineLevel="1"/>
    <col min="108" max="108" width="18.7109375" style="477" hidden="1" customWidth="1" outlineLevel="1"/>
    <col min="109" max="109" width="17.7109375" style="476" hidden="1" customWidth="1" outlineLevel="1"/>
    <col min="110" max="110" width="19.140625" style="476" hidden="1" customWidth="1" outlineLevel="1"/>
    <col min="111" max="119" width="15.7109375" style="476" hidden="1" customWidth="1" outlineLevel="1"/>
    <col min="120" max="120" width="19.28515625" style="476" customWidth="1" collapsed="1"/>
    <col min="121" max="121" width="17.42578125" style="476" customWidth="1"/>
    <col min="122" max="122" width="15.85546875" style="476" hidden="1" customWidth="1" outlineLevel="1"/>
    <col min="123" max="123" width="16.140625" style="476" hidden="1" customWidth="1" outlineLevel="1"/>
    <col min="124" max="124" width="15.28515625" style="476" hidden="1" customWidth="1" outlineLevel="1"/>
    <col min="125" max="125" width="18" style="476" hidden="1" customWidth="1" outlineLevel="1"/>
    <col min="126" max="126" width="13.7109375" style="476" hidden="1" customWidth="1" outlineLevel="1"/>
    <col min="127" max="127" width="14.85546875" style="476" hidden="1" customWidth="1" outlineLevel="1"/>
    <col min="128" max="128" width="13.7109375" style="476" hidden="1" customWidth="1" outlineLevel="1"/>
    <col min="129" max="129" width="17" style="476" hidden="1" customWidth="1" outlineLevel="1"/>
    <col min="130" max="133" width="13.7109375" style="476" hidden="1" customWidth="1" outlineLevel="1"/>
    <col min="134" max="134" width="18.28515625" style="476" hidden="1" customWidth="1" outlineLevel="1"/>
    <col min="135" max="168" width="13.7109375" style="476" hidden="1" customWidth="1" outlineLevel="1"/>
    <col min="169" max="169" width="19.5703125" style="476" customWidth="1" collapsed="1"/>
    <col min="170" max="184" width="13.7109375" style="476" hidden="1" customWidth="1" outlineLevel="1"/>
    <col min="185" max="185" width="22.42578125" style="476" hidden="1" customWidth="1" collapsed="1"/>
    <col min="186" max="200" width="13.7109375" style="476" hidden="1" customWidth="1" outlineLevel="1"/>
    <col min="201" max="201" width="25.42578125" style="476" hidden="1" customWidth="1" collapsed="1"/>
    <col min="202" max="211" width="13.7109375" style="476" hidden="1" customWidth="1" outlineLevel="1"/>
    <col min="212" max="212" width="21.5703125" style="476" hidden="1" customWidth="1" collapsed="1"/>
    <col min="213" max="213" width="17.140625" style="476" hidden="1" customWidth="1"/>
    <col min="214" max="214" width="20.85546875" style="476" hidden="1" customWidth="1"/>
    <col min="215" max="215" width="17.140625" style="476" hidden="1" customWidth="1"/>
    <col min="216" max="216" width="32" style="476" hidden="1" customWidth="1" outlineLevel="1"/>
    <col min="217" max="217" width="20.5703125" style="476" customWidth="1" collapsed="1"/>
    <col min="218" max="218" width="37.42578125" style="476" customWidth="1"/>
    <col min="219" max="219" width="25" style="476" customWidth="1"/>
    <col min="220" max="220" width="15.5703125" style="476" customWidth="1"/>
    <col min="221" max="221" width="12.140625" style="476" customWidth="1"/>
    <col min="222" max="228" width="11.42578125" style="476" customWidth="1"/>
    <col min="229" max="229" width="21.85546875" style="476" customWidth="1"/>
    <col min="230" max="230" width="15.140625" style="476" customWidth="1"/>
    <col min="231" max="236" width="11.42578125" style="476" customWidth="1"/>
    <col min="237" max="237" width="11.42578125" style="476"/>
    <col min="238" max="238" width="15.7109375" style="476" customWidth="1"/>
    <col min="239" max="242" width="11.42578125" style="476"/>
    <col min="243" max="243" width="15.5703125" style="476" customWidth="1"/>
    <col min="244" max="247" width="11.42578125" style="476"/>
    <col min="248" max="248" width="14.7109375" style="476" customWidth="1"/>
    <col min="249" max="16384" width="11.42578125" style="476"/>
  </cols>
  <sheetData>
    <row r="1" spans="1:237">
      <c r="B1" s="478"/>
      <c r="C1" s="479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C1" s="478"/>
      <c r="AD1" s="478"/>
      <c r="AE1" s="478"/>
      <c r="AF1" s="478"/>
      <c r="AG1" s="478"/>
      <c r="AH1" s="478"/>
      <c r="AI1" s="478"/>
      <c r="AJ1" s="478"/>
      <c r="AK1" s="478"/>
      <c r="AL1" s="478"/>
      <c r="AM1" s="478"/>
      <c r="AN1" s="478"/>
      <c r="AO1" s="478"/>
      <c r="AP1" s="478"/>
      <c r="AQ1" s="478"/>
      <c r="AR1" s="478"/>
      <c r="AS1" s="478"/>
      <c r="AT1" s="478"/>
      <c r="AU1" s="478"/>
      <c r="AV1" s="478"/>
      <c r="AW1" s="478"/>
      <c r="AX1" s="478"/>
      <c r="AY1" s="478"/>
      <c r="AZ1" s="478"/>
      <c r="BA1" s="478"/>
      <c r="BB1" s="478"/>
      <c r="BC1" s="478"/>
      <c r="BD1" s="478"/>
      <c r="BE1" s="478"/>
      <c r="BF1" s="478"/>
      <c r="BG1" s="478"/>
      <c r="BH1" s="478"/>
      <c r="BI1" s="478"/>
      <c r="BJ1" s="478"/>
      <c r="BK1" s="478"/>
      <c r="BL1" s="478"/>
      <c r="BM1" s="478"/>
      <c r="BN1" s="478"/>
      <c r="BO1" s="478"/>
      <c r="BP1" s="478"/>
      <c r="BQ1" s="478"/>
      <c r="BR1" s="478"/>
      <c r="BS1" s="478"/>
      <c r="BT1" s="478"/>
      <c r="BU1" s="478"/>
      <c r="BV1" s="478"/>
      <c r="BW1" s="478"/>
      <c r="BX1" s="478"/>
      <c r="BY1" s="478"/>
      <c r="BZ1" s="478"/>
      <c r="CA1" s="478"/>
      <c r="CB1" s="478"/>
      <c r="CC1" s="478"/>
      <c r="CD1" s="478"/>
      <c r="CE1" s="478"/>
      <c r="CF1" s="478"/>
      <c r="CG1" s="478"/>
      <c r="CH1" s="478"/>
      <c r="CI1" s="478"/>
      <c r="CJ1" s="478"/>
      <c r="CK1" s="478"/>
      <c r="CL1" s="478"/>
      <c r="CM1" s="478"/>
      <c r="CN1" s="478"/>
      <c r="CO1" s="478"/>
      <c r="CP1" s="478"/>
      <c r="CQ1" s="478"/>
      <c r="CR1" s="478"/>
      <c r="CS1" s="478"/>
      <c r="CT1" s="478"/>
      <c r="CU1" s="478"/>
      <c r="CV1" s="478"/>
      <c r="CW1" s="478"/>
      <c r="CX1" s="478"/>
      <c r="CY1" s="478"/>
      <c r="CZ1" s="478"/>
      <c r="DA1" s="478"/>
      <c r="DB1" s="478"/>
      <c r="DC1" s="478"/>
      <c r="DD1" s="478"/>
      <c r="DE1" s="478"/>
      <c r="DF1" s="478"/>
      <c r="DG1" s="478"/>
      <c r="DH1" s="478"/>
      <c r="DI1" s="478"/>
      <c r="DJ1" s="478"/>
      <c r="DK1" s="478"/>
      <c r="DL1" s="478"/>
      <c r="DM1" s="478"/>
      <c r="DN1" s="478"/>
      <c r="DO1" s="478"/>
      <c r="DP1" s="478"/>
      <c r="DQ1" s="478"/>
      <c r="DR1" s="478"/>
      <c r="DS1" s="478"/>
      <c r="DT1" s="478"/>
      <c r="DU1" s="478"/>
      <c r="DV1" s="478"/>
      <c r="DW1" s="478"/>
      <c r="DX1" s="478"/>
      <c r="DY1" s="478"/>
      <c r="DZ1" s="478"/>
      <c r="EA1" s="478"/>
      <c r="EB1" s="478"/>
      <c r="EC1" s="478"/>
      <c r="ED1" s="478"/>
      <c r="EE1" s="478"/>
      <c r="EF1" s="478"/>
      <c r="EG1" s="478"/>
      <c r="EH1" s="478"/>
      <c r="EI1" s="478"/>
      <c r="EJ1" s="478"/>
      <c r="EK1" s="478"/>
      <c r="EL1" s="478"/>
      <c r="EM1" s="478"/>
      <c r="EN1" s="478"/>
      <c r="EO1" s="478"/>
      <c r="EP1" s="478"/>
      <c r="EQ1" s="478"/>
      <c r="ER1" s="478"/>
      <c r="ES1" s="478"/>
      <c r="ET1" s="478"/>
      <c r="EU1" s="478"/>
      <c r="EV1" s="478"/>
      <c r="EW1" s="478"/>
      <c r="EX1" s="478"/>
      <c r="EY1" s="478"/>
      <c r="EZ1" s="478"/>
      <c r="FA1" s="478"/>
      <c r="FB1" s="478"/>
      <c r="FC1" s="478"/>
      <c r="FD1" s="478"/>
      <c r="FE1" s="478"/>
      <c r="FF1" s="478"/>
      <c r="FG1" s="478"/>
      <c r="FH1" s="478"/>
      <c r="FI1" s="478"/>
      <c r="FJ1" s="478"/>
      <c r="FK1" s="478"/>
      <c r="FL1" s="478"/>
      <c r="FM1" s="478"/>
      <c r="FN1" s="478"/>
      <c r="FO1" s="478"/>
      <c r="FP1" s="478"/>
      <c r="FQ1" s="478"/>
      <c r="FR1" s="478"/>
      <c r="FS1" s="478"/>
      <c r="FT1" s="478"/>
      <c r="FU1" s="478"/>
      <c r="FV1" s="478"/>
      <c r="FW1" s="478"/>
      <c r="FX1" s="478"/>
      <c r="FY1" s="478"/>
      <c r="FZ1" s="478"/>
      <c r="GA1" s="478"/>
      <c r="GB1" s="478"/>
      <c r="GC1" s="478"/>
      <c r="GD1" s="478"/>
      <c r="GE1" s="478"/>
      <c r="GF1" s="478"/>
      <c r="GG1" s="478"/>
      <c r="GH1" s="478"/>
      <c r="GI1" s="478"/>
      <c r="GJ1" s="478"/>
      <c r="GK1" s="478"/>
      <c r="GL1" s="478"/>
      <c r="GM1" s="478"/>
      <c r="GN1" s="478"/>
      <c r="GO1" s="478"/>
      <c r="GP1" s="478"/>
      <c r="GQ1" s="478"/>
      <c r="GR1" s="478"/>
      <c r="GS1" s="478"/>
      <c r="GT1" s="478"/>
      <c r="GU1" s="478"/>
      <c r="GV1" s="478"/>
      <c r="GW1" s="478"/>
      <c r="GX1" s="478"/>
      <c r="GY1" s="478"/>
      <c r="GZ1" s="478"/>
      <c r="HA1" s="478"/>
      <c r="HB1" s="478"/>
      <c r="HC1" s="478"/>
      <c r="HD1" s="478"/>
      <c r="HE1" s="478"/>
      <c r="HF1" s="478"/>
      <c r="HG1" s="478"/>
      <c r="HH1" s="478"/>
      <c r="HI1" s="478"/>
      <c r="HJ1" s="478"/>
    </row>
    <row r="2" spans="1:237" ht="18.75" customHeight="1">
      <c r="B2" s="480"/>
      <c r="C2" s="481" t="s">
        <v>162</v>
      </c>
      <c r="D2" s="482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8"/>
      <c r="R2" s="478"/>
      <c r="S2" s="478"/>
      <c r="T2" s="478"/>
      <c r="U2" s="478"/>
      <c r="V2" s="478"/>
      <c r="W2" s="478"/>
      <c r="X2" s="478"/>
      <c r="Y2" s="478"/>
      <c r="Z2" s="478"/>
      <c r="AA2" s="478"/>
      <c r="AB2" s="478"/>
      <c r="AC2" s="478"/>
      <c r="AD2" s="478"/>
      <c r="AE2" s="478"/>
      <c r="AF2" s="478"/>
      <c r="AG2" s="478"/>
      <c r="AH2" s="478"/>
      <c r="AI2" s="478"/>
      <c r="AJ2" s="478"/>
      <c r="AK2" s="478"/>
      <c r="AL2" s="478"/>
      <c r="AM2" s="478"/>
      <c r="AN2" s="478"/>
      <c r="AO2" s="478"/>
      <c r="AP2" s="478"/>
      <c r="AQ2" s="478"/>
      <c r="AR2" s="478"/>
      <c r="AS2" s="478"/>
      <c r="AT2" s="478"/>
      <c r="AU2" s="478"/>
      <c r="AV2" s="478"/>
      <c r="AW2" s="478"/>
      <c r="AX2" s="478"/>
      <c r="AY2" s="478"/>
      <c r="AZ2" s="478"/>
      <c r="BA2" s="478"/>
      <c r="BB2" s="478"/>
      <c r="BC2" s="478"/>
      <c r="BD2" s="478"/>
      <c r="BE2" s="478"/>
      <c r="BF2" s="478"/>
      <c r="BG2" s="478"/>
      <c r="BH2" s="478"/>
      <c r="BI2" s="478"/>
      <c r="BJ2" s="478"/>
      <c r="BK2" s="478"/>
      <c r="BL2" s="478"/>
      <c r="BM2" s="478"/>
      <c r="BN2" s="478"/>
      <c r="BO2" s="478"/>
      <c r="BP2" s="478"/>
      <c r="BQ2" s="478"/>
      <c r="BR2" s="478"/>
      <c r="BS2" s="478"/>
      <c r="BT2" s="478"/>
      <c r="BU2" s="478"/>
      <c r="BV2" s="478"/>
      <c r="BW2" s="478"/>
      <c r="BX2" s="478"/>
      <c r="BY2" s="478"/>
      <c r="BZ2" s="478"/>
      <c r="CA2" s="478"/>
      <c r="CB2" s="478"/>
      <c r="CC2" s="478"/>
      <c r="CD2" s="478"/>
      <c r="CE2" s="478"/>
      <c r="CF2" s="478"/>
      <c r="CG2" s="478"/>
      <c r="CH2" s="478"/>
      <c r="CI2" s="478"/>
      <c r="CJ2" s="478"/>
      <c r="CK2" s="478"/>
      <c r="CL2" s="478"/>
      <c r="CM2" s="478"/>
      <c r="CN2" s="478"/>
      <c r="CO2" s="478"/>
      <c r="CP2" s="478"/>
      <c r="CQ2" s="478"/>
      <c r="CR2" s="478"/>
      <c r="CS2" s="478"/>
      <c r="CT2" s="478"/>
      <c r="CU2" s="478"/>
      <c r="CV2" s="478"/>
      <c r="CW2" s="478"/>
      <c r="CX2" s="478"/>
      <c r="CY2" s="478"/>
      <c r="CZ2" s="478"/>
      <c r="DA2" s="478"/>
      <c r="DB2" s="478"/>
      <c r="DC2" s="478"/>
      <c r="DD2" s="478"/>
      <c r="DE2" s="478"/>
      <c r="DF2" s="478"/>
      <c r="DG2" s="478"/>
      <c r="DH2" s="478"/>
      <c r="DI2" s="478"/>
      <c r="DJ2" s="478"/>
      <c r="DK2" s="478"/>
      <c r="DL2" s="478"/>
      <c r="DM2" s="478"/>
      <c r="DN2" s="478"/>
      <c r="DO2" s="478"/>
      <c r="DP2" s="478"/>
      <c r="DQ2" s="478"/>
      <c r="DR2" s="478"/>
      <c r="DS2" s="478"/>
      <c r="DT2" s="478"/>
      <c r="DU2" s="478"/>
      <c r="DV2" s="478"/>
      <c r="DW2" s="478"/>
      <c r="DX2" s="478"/>
      <c r="DY2" s="478"/>
      <c r="DZ2" s="478"/>
      <c r="EA2" s="478"/>
      <c r="EB2" s="478"/>
      <c r="EC2" s="478"/>
      <c r="ED2" s="478"/>
      <c r="EE2" s="478"/>
      <c r="EF2" s="478"/>
      <c r="EG2" s="478"/>
      <c r="EH2" s="478"/>
      <c r="EI2" s="478"/>
      <c r="EJ2" s="478"/>
      <c r="EK2" s="478"/>
      <c r="EL2" s="478"/>
      <c r="EM2" s="478"/>
      <c r="EN2" s="478"/>
      <c r="EO2" s="478"/>
      <c r="EP2" s="478"/>
      <c r="EQ2" s="478"/>
      <c r="ER2" s="478"/>
      <c r="ES2" s="478"/>
      <c r="ET2" s="478"/>
      <c r="EU2" s="478"/>
      <c r="EV2" s="478"/>
      <c r="EW2" s="478"/>
      <c r="EX2" s="478"/>
      <c r="EY2" s="478"/>
      <c r="EZ2" s="478"/>
      <c r="FA2" s="478"/>
      <c r="FB2" s="478"/>
      <c r="FC2" s="478"/>
      <c r="FD2" s="478"/>
      <c r="FE2" s="478"/>
      <c r="FF2" s="478"/>
      <c r="FG2" s="478"/>
      <c r="FH2" s="478"/>
      <c r="FI2" s="478"/>
      <c r="FJ2" s="478"/>
      <c r="FK2" s="478"/>
      <c r="FL2" s="478"/>
      <c r="FM2" s="478"/>
      <c r="FN2" s="478"/>
      <c r="FO2" s="478"/>
      <c r="FP2" s="478"/>
      <c r="FQ2" s="478"/>
      <c r="FR2" s="478"/>
      <c r="FS2" s="478"/>
      <c r="FT2" s="478"/>
      <c r="FU2" s="478"/>
      <c r="FV2" s="478"/>
      <c r="FW2" s="478"/>
      <c r="FX2" s="478"/>
      <c r="FY2" s="478"/>
      <c r="FZ2" s="478"/>
      <c r="GA2" s="478"/>
      <c r="GB2" s="478"/>
      <c r="GC2" s="478"/>
      <c r="GD2" s="478"/>
      <c r="GE2" s="478"/>
      <c r="GF2" s="478"/>
      <c r="GG2" s="478"/>
      <c r="GH2" s="478"/>
      <c r="GI2" s="478"/>
      <c r="GJ2" s="478"/>
      <c r="GK2" s="478"/>
      <c r="GL2" s="478"/>
      <c r="GM2" s="478"/>
      <c r="GN2" s="478"/>
      <c r="GO2" s="478"/>
      <c r="GP2" s="478"/>
      <c r="GQ2" s="478"/>
      <c r="GR2" s="478"/>
      <c r="GS2" s="478"/>
      <c r="GT2" s="478"/>
      <c r="GU2" s="478"/>
      <c r="GV2" s="478"/>
      <c r="GW2" s="478"/>
      <c r="GX2" s="478"/>
      <c r="GY2" s="478"/>
      <c r="GZ2" s="478"/>
      <c r="HA2" s="478"/>
      <c r="HB2" s="478"/>
      <c r="HC2" s="478"/>
      <c r="HD2" s="478"/>
      <c r="HE2" s="478"/>
      <c r="HF2" s="478"/>
      <c r="HG2" s="478"/>
      <c r="HH2" s="478"/>
      <c r="HI2" s="478"/>
      <c r="HJ2" s="478"/>
    </row>
    <row r="3" spans="1:237" ht="18.75" customHeight="1">
      <c r="B3" s="480"/>
      <c r="C3" s="483" t="s">
        <v>163</v>
      </c>
      <c r="D3" s="482"/>
      <c r="E3" s="478"/>
      <c r="F3" s="478"/>
      <c r="G3" s="478"/>
      <c r="H3" s="478"/>
      <c r="I3" s="478"/>
      <c r="J3" s="478"/>
      <c r="K3" s="478"/>
      <c r="L3" s="478"/>
      <c r="M3" s="478"/>
      <c r="N3" s="478"/>
      <c r="O3" s="478"/>
      <c r="P3" s="478"/>
      <c r="Q3" s="478"/>
      <c r="R3" s="478"/>
      <c r="S3" s="478"/>
      <c r="T3" s="478"/>
      <c r="U3" s="478"/>
      <c r="V3" s="478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8"/>
      <c r="AI3" s="478"/>
      <c r="AJ3" s="478"/>
      <c r="AK3" s="478"/>
      <c r="AL3" s="478"/>
      <c r="AM3" s="478"/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8"/>
      <c r="BC3" s="478"/>
      <c r="BD3" s="478"/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8"/>
      <c r="BT3" s="478"/>
      <c r="BU3" s="478"/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8"/>
      <c r="CK3" s="478"/>
      <c r="CL3" s="478"/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8"/>
      <c r="DB3" s="478"/>
      <c r="DC3" s="478"/>
      <c r="DD3" s="478"/>
      <c r="DE3" s="478"/>
      <c r="DF3" s="478"/>
      <c r="DG3" s="478"/>
      <c r="DH3" s="478"/>
      <c r="DI3" s="478"/>
      <c r="DJ3" s="478"/>
      <c r="DK3" s="478"/>
      <c r="DL3" s="478"/>
      <c r="DM3" s="478"/>
      <c r="DN3" s="478"/>
      <c r="DO3" s="478"/>
      <c r="DP3" s="478"/>
      <c r="DQ3" s="478"/>
      <c r="DR3" s="478"/>
      <c r="DS3" s="478"/>
      <c r="DT3" s="478"/>
      <c r="DU3" s="478"/>
      <c r="DV3" s="478"/>
      <c r="DW3" s="478" t="s">
        <v>164</v>
      </c>
      <c r="DX3" s="478"/>
      <c r="DY3" s="478"/>
      <c r="DZ3" s="478"/>
      <c r="EA3" s="478"/>
      <c r="EB3" s="478"/>
      <c r="EC3" s="478"/>
      <c r="ED3" s="478"/>
      <c r="EE3" s="478"/>
      <c r="EF3" s="478"/>
      <c r="EG3" s="478"/>
      <c r="EH3" s="478"/>
      <c r="EI3" s="478"/>
      <c r="EJ3" s="478"/>
      <c r="EK3" s="478"/>
      <c r="EL3" s="478"/>
      <c r="EM3" s="478"/>
      <c r="EN3" s="478"/>
      <c r="EO3" s="478"/>
      <c r="EP3" s="478"/>
      <c r="EQ3" s="478"/>
      <c r="ER3" s="478"/>
      <c r="ES3" s="478"/>
      <c r="ET3" s="478"/>
      <c r="EU3" s="478"/>
      <c r="EV3" s="478"/>
      <c r="EW3" s="478"/>
      <c r="EX3" s="478"/>
      <c r="EY3" s="478"/>
      <c r="EZ3" s="478"/>
      <c r="FA3" s="478"/>
      <c r="FB3" s="478"/>
      <c r="FC3" s="478"/>
      <c r="FD3" s="478"/>
      <c r="FE3" s="478"/>
      <c r="FF3" s="478"/>
      <c r="FG3" s="478"/>
      <c r="FH3" s="478"/>
      <c r="FI3" s="478"/>
      <c r="FJ3" s="478"/>
      <c r="FK3" s="478"/>
      <c r="FL3" s="478"/>
      <c r="FM3" s="478"/>
      <c r="FN3" s="478"/>
      <c r="FO3" s="478"/>
      <c r="FP3" s="478"/>
      <c r="FQ3" s="478"/>
      <c r="FR3" s="478"/>
      <c r="FS3" s="478"/>
      <c r="FT3" s="478"/>
      <c r="FU3" s="478"/>
      <c r="FV3" s="478"/>
      <c r="FW3" s="478"/>
      <c r="FX3" s="478"/>
      <c r="FY3" s="478"/>
      <c r="FZ3" s="478"/>
      <c r="GA3" s="478"/>
      <c r="GB3" s="478"/>
      <c r="GC3" s="478"/>
      <c r="GD3" s="478"/>
      <c r="GE3" s="478"/>
      <c r="GF3" s="478"/>
      <c r="GG3" s="478"/>
      <c r="GH3" s="478"/>
      <c r="GI3" s="478"/>
      <c r="GJ3" s="478"/>
      <c r="GK3" s="478"/>
      <c r="GL3" s="478"/>
      <c r="GM3" s="478"/>
      <c r="GN3" s="478"/>
      <c r="GO3" s="478"/>
      <c r="GP3" s="478"/>
      <c r="GQ3" s="478"/>
      <c r="GR3" s="478"/>
      <c r="GS3" s="478"/>
      <c r="GT3" s="478"/>
      <c r="GU3" s="478"/>
      <c r="GV3" s="478"/>
      <c r="GW3" s="478"/>
      <c r="GX3" s="478"/>
      <c r="GY3" s="478"/>
      <c r="GZ3" s="478"/>
      <c r="HA3" s="478"/>
      <c r="HB3" s="478"/>
      <c r="HC3" s="478"/>
      <c r="HD3" s="478"/>
      <c r="HE3" s="478"/>
      <c r="HF3" s="478"/>
      <c r="HG3" s="478"/>
      <c r="HH3" s="478"/>
      <c r="HI3" s="478"/>
      <c r="HJ3" s="478"/>
    </row>
    <row r="4" spans="1:237" ht="18.75" customHeight="1">
      <c r="B4" s="480"/>
      <c r="C4" s="484" t="s">
        <v>165</v>
      </c>
      <c r="D4" s="485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78"/>
      <c r="R4" s="478"/>
      <c r="S4" s="478"/>
      <c r="T4" s="478"/>
      <c r="U4" s="478"/>
      <c r="V4" s="478"/>
      <c r="W4" s="478"/>
      <c r="X4" s="478"/>
      <c r="Y4" s="478"/>
      <c r="Z4" s="478"/>
      <c r="AA4" s="478"/>
      <c r="AB4" s="478"/>
      <c r="AC4" s="478"/>
      <c r="AD4" s="478"/>
      <c r="AE4" s="478"/>
      <c r="AF4" s="478"/>
      <c r="AG4" s="478"/>
      <c r="AH4" s="478"/>
      <c r="AI4" s="478"/>
      <c r="AJ4" s="478"/>
      <c r="AK4" s="478"/>
      <c r="AL4" s="478"/>
      <c r="AM4" s="478"/>
      <c r="AN4" s="478"/>
      <c r="AO4" s="478"/>
      <c r="AP4" s="478"/>
      <c r="AQ4" s="478"/>
      <c r="AR4" s="478"/>
      <c r="AS4" s="478"/>
      <c r="AT4" s="478"/>
      <c r="AU4" s="478"/>
      <c r="AV4" s="478"/>
      <c r="AW4" s="478"/>
      <c r="AX4" s="478"/>
      <c r="AY4" s="478"/>
      <c r="AZ4" s="478"/>
      <c r="BA4" s="478"/>
      <c r="BB4" s="478"/>
      <c r="BC4" s="478"/>
      <c r="BD4" s="478"/>
      <c r="BE4" s="478"/>
      <c r="BF4" s="478"/>
      <c r="BG4" s="478"/>
      <c r="BH4" s="478"/>
      <c r="BI4" s="478"/>
      <c r="BJ4" s="478"/>
      <c r="BK4" s="478"/>
      <c r="BL4" s="478"/>
      <c r="BM4" s="478"/>
      <c r="BN4" s="478"/>
      <c r="BO4" s="478"/>
      <c r="BP4" s="478"/>
      <c r="BQ4" s="478"/>
      <c r="BR4" s="478"/>
      <c r="BS4" s="478"/>
      <c r="BT4" s="478"/>
      <c r="BU4" s="478"/>
      <c r="BV4" s="478"/>
      <c r="BW4" s="478"/>
      <c r="BX4" s="478"/>
      <c r="BY4" s="478"/>
      <c r="BZ4" s="478"/>
      <c r="CA4" s="478"/>
      <c r="CB4" s="478"/>
      <c r="CC4" s="478"/>
      <c r="CD4" s="478"/>
      <c r="CE4" s="478"/>
      <c r="CF4" s="478"/>
      <c r="CG4" s="478"/>
      <c r="CH4" s="478"/>
      <c r="CI4" s="478"/>
      <c r="CJ4" s="478"/>
      <c r="CK4" s="478"/>
      <c r="CL4" s="478"/>
      <c r="CM4" s="478"/>
      <c r="CN4" s="478"/>
      <c r="CO4" s="478"/>
      <c r="CP4" s="478"/>
      <c r="CQ4" s="478"/>
      <c r="CR4" s="478"/>
      <c r="CS4" s="478"/>
      <c r="CT4" s="478"/>
      <c r="CU4" s="478"/>
      <c r="CV4" s="478"/>
      <c r="CW4" s="478"/>
      <c r="CX4" s="478"/>
      <c r="CY4" s="478"/>
      <c r="CZ4" s="478"/>
      <c r="DA4" s="478"/>
      <c r="DB4" s="478"/>
      <c r="DC4" s="478"/>
      <c r="DD4" s="478"/>
      <c r="DE4" s="478"/>
      <c r="DF4" s="478"/>
      <c r="DG4" s="478"/>
      <c r="DH4" s="478"/>
      <c r="DI4" s="478"/>
      <c r="DJ4" s="478"/>
      <c r="DK4" s="478"/>
      <c r="DL4" s="478"/>
      <c r="DM4" s="478"/>
      <c r="DN4" s="478"/>
      <c r="DO4" s="478"/>
      <c r="DP4" s="478"/>
      <c r="DQ4" s="478"/>
      <c r="DR4" s="478"/>
      <c r="DS4" s="478"/>
      <c r="DT4" s="478"/>
      <c r="DU4" s="478"/>
      <c r="DV4" s="478"/>
      <c r="DW4" s="478"/>
      <c r="DX4" s="478"/>
      <c r="DY4" s="478"/>
      <c r="DZ4" s="478"/>
      <c r="EA4" s="478"/>
      <c r="EB4" s="478"/>
      <c r="EC4" s="478"/>
      <c r="ED4" s="478"/>
      <c r="EE4" s="478"/>
      <c r="EF4" s="478"/>
      <c r="EG4" s="478"/>
      <c r="EH4" s="478"/>
      <c r="EI4" s="478"/>
      <c r="EJ4" s="478"/>
      <c r="EK4" s="478"/>
      <c r="EL4" s="478"/>
      <c r="EM4" s="478"/>
      <c r="EN4" s="478"/>
      <c r="EO4" s="478"/>
      <c r="EP4" s="478"/>
      <c r="EQ4" s="478"/>
      <c r="ER4" s="478"/>
      <c r="ES4" s="478"/>
      <c r="ET4" s="478"/>
      <c r="EU4" s="478"/>
      <c r="EV4" s="478"/>
      <c r="EW4" s="478"/>
      <c r="EX4" s="478"/>
      <c r="EY4" s="478"/>
      <c r="EZ4" s="478"/>
      <c r="FA4" s="478"/>
      <c r="FB4" s="478"/>
      <c r="FC4" s="478"/>
      <c r="FD4" s="478"/>
      <c r="FE4" s="478"/>
      <c r="FF4" s="478"/>
      <c r="FG4" s="478"/>
      <c r="FH4" s="478"/>
      <c r="FI4" s="478"/>
      <c r="FJ4" s="478"/>
      <c r="FK4" s="478"/>
      <c r="FL4" s="478"/>
      <c r="FM4" s="478"/>
      <c r="FN4" s="478"/>
      <c r="FO4" s="478"/>
      <c r="FP4" s="478"/>
      <c r="FQ4" s="478"/>
      <c r="FR4" s="478"/>
      <c r="FS4" s="478"/>
      <c r="FT4" s="478"/>
      <c r="FU4" s="478"/>
      <c r="FV4" s="478"/>
      <c r="FW4" s="478"/>
      <c r="FX4" s="478"/>
      <c r="FY4" s="478"/>
      <c r="FZ4" s="478"/>
      <c r="GA4" s="478"/>
      <c r="GB4" s="478"/>
      <c r="GC4" s="478"/>
      <c r="GD4" s="478"/>
      <c r="GE4" s="478"/>
      <c r="GF4" s="478"/>
      <c r="GG4" s="478"/>
      <c r="GH4" s="478"/>
      <c r="GI4" s="478"/>
      <c r="GJ4" s="478"/>
      <c r="GK4" s="478"/>
      <c r="GL4" s="478"/>
      <c r="GM4" s="478"/>
      <c r="GN4" s="478"/>
      <c r="GO4" s="478"/>
      <c r="GP4" s="478"/>
      <c r="GQ4" s="478"/>
      <c r="GR4" s="478"/>
      <c r="GS4" s="478"/>
      <c r="GT4" s="478"/>
      <c r="GU4" s="478"/>
      <c r="GV4" s="478"/>
      <c r="GW4" s="478"/>
      <c r="GX4" s="478"/>
      <c r="GY4" s="478"/>
      <c r="GZ4" s="478"/>
      <c r="HA4" s="478"/>
      <c r="HB4" s="478"/>
      <c r="HC4" s="478"/>
      <c r="HD4" s="478"/>
      <c r="HE4" s="478"/>
      <c r="HF4" s="478"/>
      <c r="HG4" s="478"/>
      <c r="HH4" s="478"/>
      <c r="HI4" s="478"/>
      <c r="HJ4" s="478"/>
    </row>
    <row r="5" spans="1:237" ht="21">
      <c r="B5" s="480"/>
      <c r="C5" s="486">
        <v>45505</v>
      </c>
      <c r="D5" s="485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78"/>
      <c r="R5" s="478"/>
      <c r="S5" s="478"/>
      <c r="T5" s="478"/>
      <c r="U5" s="478"/>
      <c r="V5" s="478"/>
      <c r="W5" s="478"/>
      <c r="X5" s="478"/>
      <c r="Y5" s="478"/>
      <c r="Z5" s="478"/>
      <c r="AA5" s="478"/>
      <c r="AB5" s="478"/>
      <c r="AC5" s="478"/>
      <c r="AD5" s="478"/>
      <c r="AE5" s="478"/>
      <c r="AF5" s="478"/>
      <c r="AG5" s="478"/>
      <c r="AH5" s="478"/>
      <c r="AI5" s="478"/>
      <c r="AJ5" s="478"/>
      <c r="AK5" s="478"/>
      <c r="AL5" s="478"/>
      <c r="AM5" s="478"/>
      <c r="AN5" s="478"/>
      <c r="AO5" s="478"/>
      <c r="AP5" s="478"/>
      <c r="AQ5" s="478"/>
      <c r="AR5" s="478"/>
      <c r="AS5" s="478"/>
      <c r="AT5" s="478"/>
      <c r="AU5" s="478"/>
      <c r="AV5" s="478"/>
      <c r="AW5" s="478"/>
      <c r="AX5" s="478"/>
      <c r="AY5" s="478"/>
      <c r="AZ5" s="478"/>
      <c r="BA5" s="478"/>
      <c r="BB5" s="478"/>
      <c r="BC5" s="478"/>
      <c r="BD5" s="478"/>
      <c r="BE5" s="478"/>
      <c r="BF5" s="478"/>
      <c r="BG5" s="478"/>
      <c r="BH5" s="478"/>
      <c r="BI5" s="478"/>
      <c r="BJ5" s="478"/>
      <c r="BK5" s="478"/>
      <c r="BL5" s="478"/>
      <c r="BM5" s="478"/>
      <c r="BN5" s="478"/>
      <c r="BO5" s="478"/>
      <c r="BP5" s="478"/>
      <c r="BQ5" s="478"/>
      <c r="BR5" s="478"/>
      <c r="BS5" s="478"/>
      <c r="BT5" s="478"/>
      <c r="BU5" s="478"/>
      <c r="BV5" s="478"/>
      <c r="BW5" s="478"/>
      <c r="BX5" s="478"/>
      <c r="BY5" s="478"/>
      <c r="BZ5" s="478"/>
      <c r="CA5" s="478"/>
      <c r="CB5" s="478"/>
      <c r="CC5" s="478"/>
      <c r="CD5" s="478"/>
      <c r="CE5" s="478"/>
      <c r="CF5" s="478"/>
      <c r="CG5" s="478"/>
      <c r="CH5" s="478"/>
      <c r="CI5" s="478"/>
      <c r="CJ5" s="478"/>
      <c r="CK5" s="478"/>
      <c r="CL5" s="478"/>
      <c r="CM5" s="478"/>
      <c r="CN5" s="478"/>
      <c r="CO5" s="478"/>
      <c r="CP5" s="478"/>
      <c r="CQ5" s="478"/>
      <c r="CR5" s="478"/>
      <c r="CS5" s="478"/>
      <c r="CT5" s="478"/>
      <c r="CU5" s="478"/>
      <c r="CV5" s="478"/>
      <c r="CW5" s="478"/>
      <c r="CX5" s="478"/>
      <c r="CY5" s="478"/>
      <c r="CZ5" s="478"/>
      <c r="DA5" s="478"/>
      <c r="DB5" s="478"/>
      <c r="DC5" s="478"/>
      <c r="DD5" s="478"/>
      <c r="DE5" s="478"/>
      <c r="DF5" s="478"/>
      <c r="DG5" s="478"/>
      <c r="DH5" s="478"/>
      <c r="DI5" s="478"/>
      <c r="DJ5" s="478"/>
      <c r="DK5" s="478"/>
      <c r="DL5" s="478"/>
      <c r="DM5" s="478"/>
      <c r="DN5" s="478"/>
      <c r="DO5" s="478"/>
      <c r="DP5" s="478"/>
      <c r="DQ5" s="478"/>
      <c r="DR5" s="478"/>
      <c r="DS5" s="478"/>
      <c r="DT5" s="478"/>
      <c r="DU5" s="478"/>
      <c r="DV5" s="478"/>
      <c r="DW5" s="478"/>
      <c r="DX5" s="478"/>
      <c r="DY5" s="478"/>
      <c r="DZ5" s="478"/>
      <c r="EA5" s="478"/>
      <c r="EB5" s="478"/>
      <c r="EC5" s="478"/>
      <c r="ED5" s="478"/>
      <c r="EE5" s="478"/>
      <c r="EF5" s="478"/>
      <c r="EG5" s="478"/>
      <c r="EH5" s="478"/>
      <c r="EI5" s="478"/>
      <c r="EJ5" s="478"/>
      <c r="EK5" s="478"/>
      <c r="EL5" s="478"/>
      <c r="EM5" s="478"/>
      <c r="EN5" s="478"/>
      <c r="EO5" s="478"/>
      <c r="EP5" s="478"/>
      <c r="EQ5" s="478"/>
      <c r="ER5" s="478"/>
      <c r="ES5" s="478"/>
      <c r="ET5" s="478"/>
      <c r="EU5" s="478"/>
      <c r="EV5" s="478"/>
      <c r="EW5" s="478"/>
      <c r="EX5" s="478"/>
      <c r="EY5" s="478"/>
      <c r="EZ5" s="478"/>
      <c r="FA5" s="478"/>
      <c r="FB5" s="478"/>
      <c r="FC5" s="478"/>
      <c r="FD5" s="478"/>
      <c r="FE5" s="478"/>
      <c r="FF5" s="478"/>
      <c r="FG5" s="478"/>
      <c r="FH5" s="478"/>
      <c r="FI5" s="478"/>
      <c r="FJ5" s="478"/>
      <c r="FK5" s="478"/>
      <c r="FL5" s="478"/>
      <c r="FM5" s="478"/>
      <c r="FN5" s="478"/>
      <c r="FO5" s="478"/>
      <c r="FP5" s="478"/>
      <c r="FQ5" s="478"/>
      <c r="FR5" s="478"/>
      <c r="FS5" s="478"/>
      <c r="FT5" s="478"/>
      <c r="FU5" s="478"/>
      <c r="FV5" s="478"/>
      <c r="FW5" s="478"/>
      <c r="FX5" s="478"/>
      <c r="FY5" s="478"/>
      <c r="FZ5" s="478"/>
      <c r="GA5" s="478"/>
      <c r="GB5" s="478"/>
      <c r="GC5" s="478"/>
      <c r="GD5" s="478"/>
      <c r="GE5" s="478"/>
      <c r="GF5" s="478"/>
      <c r="GG5" s="478"/>
      <c r="GH5" s="478"/>
      <c r="GI5" s="478"/>
      <c r="GJ5" s="478"/>
      <c r="GK5" s="478"/>
      <c r="GL5" s="478"/>
      <c r="GM5" s="478"/>
      <c r="GN5" s="478"/>
      <c r="GO5" s="478"/>
      <c r="GP5" s="478"/>
      <c r="GQ5" s="478"/>
      <c r="GR5" s="478"/>
      <c r="GS5" s="478"/>
      <c r="GT5" s="478"/>
      <c r="GU5" s="478"/>
      <c r="GV5" s="478"/>
      <c r="GW5" s="478"/>
      <c r="GX5" s="478"/>
      <c r="GY5" s="478"/>
      <c r="GZ5" s="478"/>
      <c r="HA5" s="478"/>
      <c r="HB5" s="478"/>
      <c r="HC5" s="478"/>
      <c r="HD5" s="478"/>
      <c r="HE5" s="478"/>
      <c r="HF5" s="478"/>
      <c r="HG5" s="478"/>
      <c r="HH5" s="478"/>
      <c r="HI5" s="478"/>
      <c r="HJ5" s="478"/>
    </row>
    <row r="6" spans="1:237" ht="21" customHeight="1">
      <c r="B6" s="478"/>
      <c r="C6" s="479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78"/>
      <c r="R6" s="478"/>
      <c r="S6" s="478"/>
      <c r="T6" s="478"/>
      <c r="U6" s="478"/>
      <c r="V6" s="478"/>
      <c r="W6" s="478"/>
      <c r="X6" s="478"/>
      <c r="Y6" s="478"/>
      <c r="Z6" s="478"/>
      <c r="AA6" s="478"/>
      <c r="AB6" s="478"/>
      <c r="AC6" s="478"/>
      <c r="AD6" s="478"/>
      <c r="AE6" s="478"/>
      <c r="AF6" s="478"/>
      <c r="AG6" s="478"/>
      <c r="AH6" s="478"/>
      <c r="AI6" s="478"/>
      <c r="AJ6" s="478"/>
      <c r="AK6" s="478"/>
      <c r="AL6" s="478"/>
      <c r="AM6" s="478"/>
      <c r="AN6" s="478"/>
      <c r="AO6" s="478"/>
      <c r="AP6" s="478"/>
      <c r="AQ6" s="478"/>
      <c r="AR6" s="478"/>
      <c r="AS6" s="478"/>
      <c r="AT6" s="478"/>
      <c r="AU6" s="478"/>
      <c r="AV6" s="478"/>
      <c r="AW6" s="478"/>
      <c r="AX6" s="478"/>
      <c r="AY6" s="478"/>
      <c r="AZ6" s="478"/>
      <c r="BA6" s="478"/>
      <c r="BB6" s="478"/>
      <c r="BC6" s="478"/>
      <c r="BD6" s="478"/>
      <c r="BE6" s="478"/>
      <c r="BF6" s="478"/>
      <c r="BG6" s="478"/>
      <c r="BH6" s="478"/>
      <c r="BI6" s="478"/>
      <c r="BJ6" s="478"/>
      <c r="BK6" s="478"/>
      <c r="BL6" s="478"/>
      <c r="BM6" s="478"/>
      <c r="BN6" s="478"/>
      <c r="BO6" s="478"/>
      <c r="BP6" s="478"/>
      <c r="BQ6" s="478"/>
      <c r="BR6" s="1975"/>
      <c r="BS6" s="1975"/>
      <c r="BT6" s="1975"/>
      <c r="BU6" s="1975"/>
      <c r="BV6" s="1975"/>
      <c r="BW6" s="1975"/>
      <c r="BX6" s="1975"/>
      <c r="BY6" s="1975"/>
      <c r="BZ6" s="1975"/>
      <c r="CA6" s="1975"/>
      <c r="CB6" s="1975"/>
      <c r="CC6" s="1975"/>
      <c r="CD6" s="1975"/>
      <c r="CE6" s="1975"/>
      <c r="CF6" s="478"/>
      <c r="CG6" s="478"/>
      <c r="CH6" s="478"/>
      <c r="CI6" s="478"/>
      <c r="CJ6" s="478"/>
      <c r="CK6" s="478"/>
      <c r="CL6" s="478"/>
      <c r="CM6" s="478"/>
      <c r="CN6" s="478"/>
      <c r="CO6" s="478"/>
      <c r="CP6" s="478"/>
      <c r="CQ6" s="478"/>
      <c r="CR6" s="1975"/>
      <c r="CS6" s="1975"/>
      <c r="CT6" s="478"/>
      <c r="CU6" s="1975"/>
      <c r="CV6" s="1975"/>
      <c r="CW6" s="1975"/>
      <c r="CX6" s="1975"/>
      <c r="CY6" s="1975"/>
      <c r="CZ6" s="1975"/>
      <c r="DA6" s="1975"/>
      <c r="DB6" s="1975"/>
      <c r="DC6" s="1975"/>
      <c r="DD6" s="478"/>
      <c r="DE6" s="478"/>
      <c r="DF6" s="478"/>
      <c r="DG6" s="478"/>
      <c r="DH6" s="478"/>
      <c r="DI6" s="478"/>
      <c r="DJ6" s="478"/>
      <c r="DK6" s="478"/>
      <c r="DL6" s="478"/>
      <c r="DM6" s="478"/>
      <c r="DN6" s="478"/>
      <c r="DO6" s="478"/>
      <c r="DP6" s="1976"/>
      <c r="DQ6" s="1976"/>
      <c r="DR6" s="1976"/>
      <c r="DS6" s="1976"/>
      <c r="DT6" s="1976"/>
      <c r="DU6" s="1976"/>
      <c r="DV6" s="1976"/>
      <c r="DW6" s="1976"/>
      <c r="DX6" s="1976"/>
      <c r="DY6" s="1976"/>
      <c r="DZ6" s="1976"/>
      <c r="EA6" s="1976"/>
      <c r="EB6" s="1976"/>
      <c r="EC6" s="1976"/>
      <c r="ED6" s="1976"/>
      <c r="EE6" s="1976"/>
      <c r="EF6" s="1976"/>
      <c r="EG6" s="1976"/>
      <c r="EH6" s="1976"/>
      <c r="EI6" s="1976"/>
      <c r="EJ6" s="1976"/>
      <c r="EK6" s="1976"/>
      <c r="EL6" s="1976"/>
      <c r="EM6" s="1976"/>
      <c r="EN6" s="1976"/>
      <c r="EO6" s="1976"/>
      <c r="EP6" s="1976"/>
      <c r="EQ6" s="1976"/>
      <c r="ER6" s="1976"/>
      <c r="ES6" s="1976"/>
      <c r="ET6" s="1976"/>
      <c r="EU6" s="1976"/>
      <c r="EV6" s="478"/>
      <c r="EW6" s="478"/>
      <c r="EX6" s="478"/>
      <c r="EY6" s="478"/>
      <c r="EZ6" s="478"/>
      <c r="FA6" s="478"/>
      <c r="FB6" s="478"/>
      <c r="FC6" s="478"/>
      <c r="FD6" s="478"/>
      <c r="FE6" s="478"/>
      <c r="FF6" s="478"/>
      <c r="FG6" s="478"/>
      <c r="FH6" s="478"/>
      <c r="FI6" s="478"/>
      <c r="FJ6" s="478"/>
      <c r="FK6" s="478"/>
      <c r="FL6" s="478"/>
      <c r="FM6" s="478"/>
      <c r="FN6" s="478"/>
      <c r="FO6" s="478"/>
      <c r="FP6" s="478"/>
      <c r="FQ6" s="478"/>
      <c r="FR6" s="478"/>
      <c r="FS6" s="478"/>
      <c r="FT6" s="478"/>
      <c r="FU6" s="478"/>
      <c r="FV6" s="478"/>
      <c r="FW6" s="478"/>
      <c r="FX6" s="478"/>
      <c r="FY6" s="478"/>
      <c r="FZ6" s="478"/>
      <c r="GA6" s="478"/>
      <c r="GB6" s="478"/>
      <c r="GC6" s="478"/>
      <c r="GD6" s="478"/>
      <c r="GE6" s="478"/>
      <c r="GF6" s="478"/>
      <c r="GG6" s="478"/>
      <c r="GH6" s="478"/>
      <c r="GI6" s="478"/>
      <c r="GJ6" s="478"/>
      <c r="GK6" s="478"/>
      <c r="GL6" s="478"/>
      <c r="GM6" s="478"/>
      <c r="GN6" s="478"/>
      <c r="GO6" s="478"/>
      <c r="GP6" s="478"/>
      <c r="GQ6" s="478"/>
      <c r="GR6" s="478"/>
      <c r="GS6" s="478"/>
      <c r="GT6" s="478"/>
      <c r="GU6" s="478"/>
      <c r="GV6" s="478"/>
      <c r="GW6" s="478"/>
      <c r="GX6" s="478"/>
      <c r="GY6" s="478"/>
      <c r="GZ6" s="478"/>
      <c r="HA6" s="478"/>
      <c r="HB6" s="478"/>
      <c r="HC6" s="478"/>
      <c r="HD6" s="478"/>
      <c r="HE6" s="478"/>
      <c r="HF6" s="478"/>
      <c r="HG6" s="478"/>
      <c r="HH6" s="478"/>
      <c r="HI6" s="478"/>
      <c r="HJ6" s="478"/>
    </row>
    <row r="7" spans="1:237" ht="20.100000000000001" customHeight="1">
      <c r="B7" s="1961" t="s">
        <v>166</v>
      </c>
      <c r="C7" s="1963" t="s">
        <v>167</v>
      </c>
      <c r="D7" s="1966" t="s">
        <v>168</v>
      </c>
      <c r="E7" s="487" t="s">
        <v>169</v>
      </c>
      <c r="F7" s="488" t="s">
        <v>169</v>
      </c>
      <c r="G7" s="488" t="s">
        <v>169</v>
      </c>
      <c r="H7" s="488" t="s">
        <v>169</v>
      </c>
      <c r="I7" s="488" t="s">
        <v>169</v>
      </c>
      <c r="J7" s="488" t="s">
        <v>169</v>
      </c>
      <c r="K7" s="488" t="s">
        <v>169</v>
      </c>
      <c r="L7" s="488" t="s">
        <v>169</v>
      </c>
      <c r="M7" s="488" t="s">
        <v>169</v>
      </c>
      <c r="N7" s="488" t="s">
        <v>169</v>
      </c>
      <c r="O7" s="488" t="s">
        <v>169</v>
      </c>
      <c r="P7" s="488" t="s">
        <v>169</v>
      </c>
      <c r="Q7" s="488" t="s">
        <v>169</v>
      </c>
      <c r="R7" s="488" t="s">
        <v>169</v>
      </c>
      <c r="S7" s="488" t="s">
        <v>169</v>
      </c>
      <c r="T7" s="488" t="s">
        <v>169</v>
      </c>
      <c r="U7" s="488" t="s">
        <v>169</v>
      </c>
      <c r="V7" s="488" t="s">
        <v>169</v>
      </c>
      <c r="W7" s="488" t="s">
        <v>169</v>
      </c>
      <c r="X7" s="488" t="s">
        <v>169</v>
      </c>
      <c r="Y7" s="488" t="s">
        <v>169</v>
      </c>
      <c r="Z7" s="488" t="s">
        <v>169</v>
      </c>
      <c r="AA7" s="488" t="s">
        <v>169</v>
      </c>
      <c r="AB7" s="488" t="s">
        <v>169</v>
      </c>
      <c r="AC7" s="488" t="s">
        <v>169</v>
      </c>
      <c r="AD7" s="488" t="s">
        <v>169</v>
      </c>
      <c r="AE7" s="488" t="s">
        <v>169</v>
      </c>
      <c r="AF7" s="488" t="s">
        <v>169</v>
      </c>
      <c r="AG7" s="488" t="s">
        <v>169</v>
      </c>
      <c r="AH7" s="488" t="s">
        <v>169</v>
      </c>
      <c r="AI7" s="488" t="s">
        <v>169</v>
      </c>
      <c r="AJ7" s="488" t="s">
        <v>169</v>
      </c>
      <c r="AK7" s="488" t="s">
        <v>169</v>
      </c>
      <c r="AL7" s="488" t="s">
        <v>169</v>
      </c>
      <c r="AM7" s="488" t="s">
        <v>169</v>
      </c>
      <c r="AN7" s="488" t="s">
        <v>169</v>
      </c>
      <c r="AO7" s="488" t="s">
        <v>169</v>
      </c>
      <c r="AP7" s="488" t="s">
        <v>169</v>
      </c>
      <c r="AQ7" s="488" t="s">
        <v>169</v>
      </c>
      <c r="AR7" s="488" t="s">
        <v>169</v>
      </c>
      <c r="AS7" s="488" t="s">
        <v>169</v>
      </c>
      <c r="AT7" s="488" t="s">
        <v>169</v>
      </c>
      <c r="AU7" s="488" t="s">
        <v>169</v>
      </c>
      <c r="AV7" s="488" t="s">
        <v>169</v>
      </c>
      <c r="AW7" s="488" t="s">
        <v>169</v>
      </c>
      <c r="AX7" s="488" t="s">
        <v>169</v>
      </c>
      <c r="AY7" s="488" t="s">
        <v>169</v>
      </c>
      <c r="AZ7" s="488" t="s">
        <v>169</v>
      </c>
      <c r="BA7" s="488" t="s">
        <v>169</v>
      </c>
      <c r="BB7" s="488" t="s">
        <v>169</v>
      </c>
      <c r="BC7" s="488" t="s">
        <v>169</v>
      </c>
      <c r="BD7" s="488" t="s">
        <v>169</v>
      </c>
      <c r="BE7" s="488" t="s">
        <v>169</v>
      </c>
      <c r="BF7" s="488" t="s">
        <v>169</v>
      </c>
      <c r="BG7" s="488" t="s">
        <v>169</v>
      </c>
      <c r="BH7" s="488" t="s">
        <v>169</v>
      </c>
      <c r="BI7" s="488" t="s">
        <v>169</v>
      </c>
      <c r="BJ7" s="488" t="s">
        <v>169</v>
      </c>
      <c r="BK7" s="488" t="s">
        <v>169</v>
      </c>
      <c r="BL7" s="488" t="s">
        <v>169</v>
      </c>
      <c r="BM7" s="488" t="s">
        <v>169</v>
      </c>
      <c r="BN7" s="488" t="s">
        <v>169</v>
      </c>
      <c r="BO7" s="488" t="s">
        <v>169</v>
      </c>
      <c r="BP7" s="488" t="s">
        <v>169</v>
      </c>
      <c r="BQ7" s="1969" t="s">
        <v>170</v>
      </c>
      <c r="BR7" s="592" t="s">
        <v>171</v>
      </c>
      <c r="BS7" s="592" t="s">
        <v>171</v>
      </c>
      <c r="BT7" s="592" t="s">
        <v>171</v>
      </c>
      <c r="BU7" s="592" t="s">
        <v>171</v>
      </c>
      <c r="BV7" s="592" t="s">
        <v>171</v>
      </c>
      <c r="BW7" s="592" t="s">
        <v>172</v>
      </c>
      <c r="BX7" s="592" t="s">
        <v>171</v>
      </c>
      <c r="BY7" s="592" t="s">
        <v>171</v>
      </c>
      <c r="BZ7" s="592" t="s">
        <v>171</v>
      </c>
      <c r="CA7" s="592" t="s">
        <v>171</v>
      </c>
      <c r="CB7" s="592" t="s">
        <v>171</v>
      </c>
      <c r="CC7" s="592" t="s">
        <v>171</v>
      </c>
      <c r="CD7" s="592" t="s">
        <v>171</v>
      </c>
      <c r="CE7" s="592" t="s">
        <v>171</v>
      </c>
      <c r="CF7" s="592" t="s">
        <v>171</v>
      </c>
      <c r="CG7" s="592" t="s">
        <v>171</v>
      </c>
      <c r="CH7" s="592" t="s">
        <v>171</v>
      </c>
      <c r="CI7" s="592" t="s">
        <v>171</v>
      </c>
      <c r="CJ7" s="592" t="s">
        <v>171</v>
      </c>
      <c r="CK7" s="592" t="s">
        <v>171</v>
      </c>
      <c r="CL7" s="592" t="s">
        <v>171</v>
      </c>
      <c r="CM7" s="592" t="s">
        <v>171</v>
      </c>
      <c r="CN7" s="592" t="s">
        <v>171</v>
      </c>
      <c r="CO7" s="592" t="s">
        <v>171</v>
      </c>
      <c r="CP7" s="592" t="s">
        <v>171</v>
      </c>
      <c r="CQ7" s="1972" t="s">
        <v>173</v>
      </c>
      <c r="CR7" s="656" t="s">
        <v>171</v>
      </c>
      <c r="CS7" s="656" t="s">
        <v>171</v>
      </c>
      <c r="CT7" s="656" t="s">
        <v>171</v>
      </c>
      <c r="CU7" s="656" t="s">
        <v>171</v>
      </c>
      <c r="CV7" s="656" t="s">
        <v>171</v>
      </c>
      <c r="CW7" s="656" t="s">
        <v>171</v>
      </c>
      <c r="CX7" s="656" t="s">
        <v>171</v>
      </c>
      <c r="CY7" s="656" t="s">
        <v>171</v>
      </c>
      <c r="CZ7" s="656" t="s">
        <v>171</v>
      </c>
      <c r="DA7" s="656" t="s">
        <v>171</v>
      </c>
      <c r="DB7" s="656" t="s">
        <v>171</v>
      </c>
      <c r="DC7" s="656" t="s">
        <v>171</v>
      </c>
      <c r="DD7" s="702" t="s">
        <v>171</v>
      </c>
      <c r="DE7" s="656" t="s">
        <v>171</v>
      </c>
      <c r="DF7" s="656" t="s">
        <v>171</v>
      </c>
      <c r="DG7" s="656" t="s">
        <v>171</v>
      </c>
      <c r="DH7" s="656" t="s">
        <v>171</v>
      </c>
      <c r="DI7" s="656" t="s">
        <v>171</v>
      </c>
      <c r="DJ7" s="656" t="s">
        <v>171</v>
      </c>
      <c r="DK7" s="656" t="s">
        <v>171</v>
      </c>
      <c r="DL7" s="656" t="s">
        <v>171</v>
      </c>
      <c r="DM7" s="656" t="s">
        <v>171</v>
      </c>
      <c r="DN7" s="656" t="s">
        <v>171</v>
      </c>
      <c r="DO7" s="656" t="s">
        <v>171</v>
      </c>
      <c r="DP7" s="1977" t="s">
        <v>174</v>
      </c>
      <c r="DQ7" s="1980" t="s">
        <v>175</v>
      </c>
      <c r="DR7" s="592" t="s">
        <v>169</v>
      </c>
      <c r="DS7" s="592" t="s">
        <v>169</v>
      </c>
      <c r="DT7" s="592" t="s">
        <v>169</v>
      </c>
      <c r="DU7" s="592" t="s">
        <v>169</v>
      </c>
      <c r="DV7" s="592" t="s">
        <v>169</v>
      </c>
      <c r="DW7" s="592" t="s">
        <v>169</v>
      </c>
      <c r="DX7" s="592" t="s">
        <v>169</v>
      </c>
      <c r="DY7" s="592" t="s">
        <v>169</v>
      </c>
      <c r="DZ7" s="592" t="s">
        <v>169</v>
      </c>
      <c r="EA7" s="592" t="s">
        <v>169</v>
      </c>
      <c r="EB7" s="592" t="s">
        <v>169</v>
      </c>
      <c r="EC7" s="592" t="s">
        <v>169</v>
      </c>
      <c r="ED7" s="592" t="s">
        <v>169</v>
      </c>
      <c r="EE7" s="592" t="s">
        <v>169</v>
      </c>
      <c r="EF7" s="592" t="s">
        <v>169</v>
      </c>
      <c r="EG7" s="592" t="s">
        <v>169</v>
      </c>
      <c r="EH7" s="592" t="s">
        <v>169</v>
      </c>
      <c r="EI7" s="592" t="s">
        <v>169</v>
      </c>
      <c r="EJ7" s="592" t="s">
        <v>169</v>
      </c>
      <c r="EK7" s="592" t="s">
        <v>169</v>
      </c>
      <c r="EL7" s="592" t="s">
        <v>169</v>
      </c>
      <c r="EM7" s="592" t="s">
        <v>169</v>
      </c>
      <c r="EN7" s="592" t="s">
        <v>169</v>
      </c>
      <c r="EO7" s="592" t="s">
        <v>169</v>
      </c>
      <c r="EP7" s="592" t="s">
        <v>169</v>
      </c>
      <c r="EQ7" s="592" t="s">
        <v>169</v>
      </c>
      <c r="ER7" s="592" t="s">
        <v>169</v>
      </c>
      <c r="ES7" s="592" t="s">
        <v>169</v>
      </c>
      <c r="ET7" s="592" t="s">
        <v>169</v>
      </c>
      <c r="EU7" s="592" t="s">
        <v>169</v>
      </c>
      <c r="EV7" s="592" t="s">
        <v>169</v>
      </c>
      <c r="EW7" s="592" t="s">
        <v>169</v>
      </c>
      <c r="EX7" s="592" t="s">
        <v>169</v>
      </c>
      <c r="EY7" s="592" t="s">
        <v>169</v>
      </c>
      <c r="EZ7" s="592" t="s">
        <v>169</v>
      </c>
      <c r="FA7" s="592" t="s">
        <v>169</v>
      </c>
      <c r="FB7" s="592" t="s">
        <v>169</v>
      </c>
      <c r="FC7" s="592" t="s">
        <v>169</v>
      </c>
      <c r="FD7" s="592" t="s">
        <v>169</v>
      </c>
      <c r="FE7" s="592" t="s">
        <v>169</v>
      </c>
      <c r="FF7" s="592" t="s">
        <v>169</v>
      </c>
      <c r="FG7" s="592" t="s">
        <v>169</v>
      </c>
      <c r="FH7" s="592" t="s">
        <v>169</v>
      </c>
      <c r="FI7" s="592" t="s">
        <v>169</v>
      </c>
      <c r="FJ7" s="592" t="s">
        <v>169</v>
      </c>
      <c r="FK7" s="592" t="s">
        <v>169</v>
      </c>
      <c r="FL7" s="592" t="s">
        <v>169</v>
      </c>
      <c r="FM7" s="1983" t="s">
        <v>176</v>
      </c>
      <c r="FN7" s="748" t="s">
        <v>177</v>
      </c>
      <c r="FO7" s="748" t="s">
        <v>178</v>
      </c>
      <c r="FP7" s="748" t="s">
        <v>179</v>
      </c>
      <c r="FQ7" s="748" t="s">
        <v>180</v>
      </c>
      <c r="FR7" s="748" t="s">
        <v>181</v>
      </c>
      <c r="FS7" s="748" t="s">
        <v>182</v>
      </c>
      <c r="FT7" s="748" t="s">
        <v>183</v>
      </c>
      <c r="FU7" s="748" t="s">
        <v>184</v>
      </c>
      <c r="FV7" s="748" t="s">
        <v>185</v>
      </c>
      <c r="FW7" s="748" t="s">
        <v>186</v>
      </c>
      <c r="FX7" s="748" t="s">
        <v>187</v>
      </c>
      <c r="FY7" s="748" t="s">
        <v>188</v>
      </c>
      <c r="FZ7" s="748" t="s">
        <v>189</v>
      </c>
      <c r="GA7" s="748" t="s">
        <v>190</v>
      </c>
      <c r="GB7" s="748" t="s">
        <v>191</v>
      </c>
      <c r="GC7" s="1986" t="s">
        <v>192</v>
      </c>
      <c r="GD7" s="748" t="s">
        <v>193</v>
      </c>
      <c r="GE7" s="748" t="s">
        <v>194</v>
      </c>
      <c r="GF7" s="748" t="s">
        <v>195</v>
      </c>
      <c r="GG7" s="748" t="s">
        <v>196</v>
      </c>
      <c r="GH7" s="748" t="s">
        <v>197</v>
      </c>
      <c r="GI7" s="748" t="s">
        <v>198</v>
      </c>
      <c r="GJ7" s="748" t="s">
        <v>199</v>
      </c>
      <c r="GK7" s="748" t="s">
        <v>200</v>
      </c>
      <c r="GL7" s="748" t="s">
        <v>201</v>
      </c>
      <c r="GM7" s="748" t="s">
        <v>202</v>
      </c>
      <c r="GN7" s="748" t="s">
        <v>203</v>
      </c>
      <c r="GO7" s="748" t="s">
        <v>204</v>
      </c>
      <c r="GP7" s="748" t="s">
        <v>205</v>
      </c>
      <c r="GQ7" s="748" t="s">
        <v>206</v>
      </c>
      <c r="GR7" s="748" t="s">
        <v>207</v>
      </c>
      <c r="GS7" s="1986" t="s">
        <v>208</v>
      </c>
      <c r="GT7" s="748" t="s">
        <v>201</v>
      </c>
      <c r="GU7" s="748" t="s">
        <v>202</v>
      </c>
      <c r="GV7" s="748" t="s">
        <v>203</v>
      </c>
      <c r="GW7" s="748" t="s">
        <v>204</v>
      </c>
      <c r="GX7" s="748" t="s">
        <v>205</v>
      </c>
      <c r="GY7" s="748" t="s">
        <v>206</v>
      </c>
      <c r="GZ7" s="748" t="s">
        <v>207</v>
      </c>
      <c r="HA7" s="748" t="s">
        <v>209</v>
      </c>
      <c r="HB7" s="748" t="s">
        <v>210</v>
      </c>
      <c r="HC7" s="748" t="s">
        <v>211</v>
      </c>
      <c r="HD7" s="1986" t="s">
        <v>212</v>
      </c>
      <c r="HE7" s="1986" t="s">
        <v>213</v>
      </c>
      <c r="HF7" s="1986" t="s">
        <v>214</v>
      </c>
      <c r="HG7" s="1986" t="s">
        <v>215</v>
      </c>
      <c r="HH7" s="1988" t="s">
        <v>216</v>
      </c>
      <c r="HI7" s="1990" t="s">
        <v>217</v>
      </c>
      <c r="HJ7" s="1951" t="s">
        <v>218</v>
      </c>
      <c r="HK7" s="1954" t="s">
        <v>219</v>
      </c>
    </row>
    <row r="8" spans="1:237" ht="20.100000000000001" customHeight="1">
      <c r="B8" s="1961"/>
      <c r="C8" s="1964"/>
      <c r="D8" s="1967"/>
      <c r="E8" s="489">
        <v>2412</v>
      </c>
      <c r="F8" s="490">
        <v>2416</v>
      </c>
      <c r="G8" s="490">
        <v>2413</v>
      </c>
      <c r="H8" s="490">
        <v>2417</v>
      </c>
      <c r="I8" s="490">
        <v>2418</v>
      </c>
      <c r="J8" s="490">
        <v>2415</v>
      </c>
      <c r="K8" s="490">
        <v>2409</v>
      </c>
      <c r="L8" s="490">
        <v>2420</v>
      </c>
      <c r="M8" s="490">
        <v>2419</v>
      </c>
      <c r="N8" s="490">
        <v>2421</v>
      </c>
      <c r="O8" s="490">
        <v>2413</v>
      </c>
      <c r="P8" s="490">
        <v>2418</v>
      </c>
      <c r="Q8" s="490">
        <v>2416</v>
      </c>
      <c r="R8" s="490">
        <v>2427</v>
      </c>
      <c r="S8" s="490">
        <v>2426</v>
      </c>
      <c r="T8" s="490">
        <v>2435</v>
      </c>
      <c r="U8" s="490">
        <v>2422</v>
      </c>
      <c r="V8" s="490">
        <v>2419</v>
      </c>
      <c r="W8" s="490">
        <v>2417</v>
      </c>
      <c r="X8" s="490">
        <v>2412</v>
      </c>
      <c r="Y8" s="490">
        <v>2428</v>
      </c>
      <c r="Z8" s="490">
        <v>2443</v>
      </c>
      <c r="AA8" s="490">
        <v>2445</v>
      </c>
      <c r="AB8" s="490">
        <v>2434</v>
      </c>
      <c r="AC8" s="490"/>
      <c r="AD8" s="490"/>
      <c r="AE8" s="490"/>
      <c r="AF8" s="490"/>
      <c r="AG8" s="490"/>
      <c r="AH8" s="490"/>
      <c r="AI8" s="490"/>
      <c r="AJ8" s="490"/>
      <c r="AK8" s="490"/>
      <c r="AL8" s="490"/>
      <c r="AM8" s="490"/>
      <c r="AN8" s="490"/>
      <c r="AO8" s="490"/>
      <c r="AP8" s="490"/>
      <c r="AQ8" s="490"/>
      <c r="AR8" s="490"/>
      <c r="AS8" s="490"/>
      <c r="AT8" s="490"/>
      <c r="AU8" s="490"/>
      <c r="AV8" s="490"/>
      <c r="AW8" s="490"/>
      <c r="AX8" s="490"/>
      <c r="AY8" s="490"/>
      <c r="AZ8" s="490"/>
      <c r="BA8" s="490"/>
      <c r="BB8" s="490"/>
      <c r="BC8" s="490"/>
      <c r="BD8" s="490"/>
      <c r="BE8" s="490"/>
      <c r="BF8" s="490"/>
      <c r="BG8" s="490"/>
      <c r="BH8" s="490"/>
      <c r="BI8" s="490"/>
      <c r="BJ8" s="490"/>
      <c r="BK8" s="490"/>
      <c r="BL8" s="490"/>
      <c r="BM8" s="490"/>
      <c r="BN8" s="490"/>
      <c r="BO8" s="490"/>
      <c r="BP8" s="490"/>
      <c r="BQ8" s="1970"/>
      <c r="BR8" s="593">
        <v>16555</v>
      </c>
      <c r="BS8" s="593">
        <v>16556</v>
      </c>
      <c r="BT8" s="593"/>
      <c r="BU8" s="593"/>
      <c r="BV8" s="593"/>
      <c r="BW8" s="593"/>
      <c r="BX8" s="593"/>
      <c r="BY8" s="593"/>
      <c r="BZ8" s="593"/>
      <c r="CA8" s="593"/>
      <c r="CB8" s="593"/>
      <c r="CC8" s="593"/>
      <c r="CD8" s="593"/>
      <c r="CE8" s="593"/>
      <c r="CF8" s="593"/>
      <c r="CG8" s="593"/>
      <c r="CH8" s="593"/>
      <c r="CI8" s="593"/>
      <c r="CJ8" s="593"/>
      <c r="CK8" s="593"/>
      <c r="CL8" s="593"/>
      <c r="CM8" s="593"/>
      <c r="CN8" s="593"/>
      <c r="CO8" s="593"/>
      <c r="CP8" s="593"/>
      <c r="CQ8" s="1973"/>
      <c r="CR8" s="657"/>
      <c r="CS8" s="657"/>
      <c r="CT8" s="657"/>
      <c r="CU8" s="657"/>
      <c r="CV8" s="657"/>
      <c r="CW8" s="657"/>
      <c r="CX8" s="657"/>
      <c r="CY8" s="657"/>
      <c r="CZ8" s="657"/>
      <c r="DA8" s="657"/>
      <c r="DB8" s="657"/>
      <c r="DC8" s="657"/>
      <c r="DD8" s="703"/>
      <c r="DE8" s="657"/>
      <c r="DF8" s="657"/>
      <c r="DG8" s="657"/>
      <c r="DH8" s="657"/>
      <c r="DI8" s="657"/>
      <c r="DJ8" s="657"/>
      <c r="DK8" s="657"/>
      <c r="DL8" s="657"/>
      <c r="DM8" s="657"/>
      <c r="DN8" s="657"/>
      <c r="DO8" s="657"/>
      <c r="DP8" s="1978"/>
      <c r="DQ8" s="1981"/>
      <c r="DR8" s="593">
        <v>2414</v>
      </c>
      <c r="DS8" s="593">
        <v>2414</v>
      </c>
      <c r="DT8" s="593"/>
      <c r="DU8" s="593"/>
      <c r="DV8" s="593"/>
      <c r="DW8" s="593"/>
      <c r="DX8" s="593"/>
      <c r="DY8" s="593"/>
      <c r="DZ8" s="593"/>
      <c r="EA8" s="593"/>
      <c r="EB8" s="593"/>
      <c r="EC8" s="593"/>
      <c r="ED8" s="593"/>
      <c r="EE8" s="593"/>
      <c r="EF8" s="593"/>
      <c r="EG8" s="593"/>
      <c r="EH8" s="593"/>
      <c r="EI8" s="593"/>
      <c r="EJ8" s="593"/>
      <c r="EK8" s="593"/>
      <c r="EL8" s="593"/>
      <c r="EM8" s="593"/>
      <c r="EN8" s="593"/>
      <c r="EO8" s="593"/>
      <c r="EP8" s="593"/>
      <c r="EQ8" s="593"/>
      <c r="ER8" s="593"/>
      <c r="ES8" s="593"/>
      <c r="ET8" s="593"/>
      <c r="EU8" s="593"/>
      <c r="EV8" s="593"/>
      <c r="EW8" s="593"/>
      <c r="EX8" s="593"/>
      <c r="EY8" s="593"/>
      <c r="EZ8" s="593"/>
      <c r="FA8" s="593"/>
      <c r="FB8" s="593"/>
      <c r="FC8" s="593"/>
      <c r="FD8" s="593"/>
      <c r="FE8" s="593"/>
      <c r="FF8" s="593"/>
      <c r="FG8" s="593"/>
      <c r="FH8" s="593"/>
      <c r="FI8" s="593"/>
      <c r="FJ8" s="593"/>
      <c r="FK8" s="593"/>
      <c r="FL8" s="593"/>
      <c r="FM8" s="1984"/>
      <c r="FN8" s="749"/>
      <c r="FO8" s="749"/>
      <c r="FP8" s="749"/>
      <c r="FQ8" s="749"/>
      <c r="FR8" s="749"/>
      <c r="FS8" s="749"/>
      <c r="FT8" s="749"/>
      <c r="FU8" s="749"/>
      <c r="FV8" s="749"/>
      <c r="FW8" s="749"/>
      <c r="FX8" s="749"/>
      <c r="FY8" s="749"/>
      <c r="FZ8" s="749"/>
      <c r="GA8" s="749"/>
      <c r="GB8" s="749"/>
      <c r="GC8" s="1987"/>
      <c r="GD8" s="749"/>
      <c r="GE8" s="749"/>
      <c r="GF8" s="749"/>
      <c r="GG8" s="749"/>
      <c r="GH8" s="749"/>
      <c r="GI8" s="749"/>
      <c r="GJ8" s="749"/>
      <c r="GK8" s="749"/>
      <c r="GL8" s="749"/>
      <c r="GM8" s="749"/>
      <c r="GN8" s="749"/>
      <c r="GO8" s="749"/>
      <c r="GP8" s="749"/>
      <c r="GQ8" s="749"/>
      <c r="GR8" s="749"/>
      <c r="GS8" s="1987"/>
      <c r="GT8" s="770"/>
      <c r="GU8" s="770"/>
      <c r="GV8" s="770"/>
      <c r="GW8" s="770"/>
      <c r="GX8" s="770"/>
      <c r="GY8" s="770"/>
      <c r="GZ8" s="770"/>
      <c r="HA8" s="770"/>
      <c r="HB8" s="770"/>
      <c r="HC8" s="770"/>
      <c r="HD8" s="1987"/>
      <c r="HE8" s="1987"/>
      <c r="HF8" s="1987"/>
      <c r="HG8" s="1987"/>
      <c r="HH8" s="1989"/>
      <c r="HI8" s="1991"/>
      <c r="HJ8" s="1952"/>
      <c r="HK8" s="1955"/>
    </row>
    <row r="9" spans="1:237" ht="20.100000000000001" customHeight="1">
      <c r="B9" s="1961"/>
      <c r="C9" s="1964"/>
      <c r="D9" s="1967"/>
      <c r="E9" s="489" t="s">
        <v>220</v>
      </c>
      <c r="F9" s="489" t="s">
        <v>220</v>
      </c>
      <c r="G9" s="489" t="s">
        <v>220</v>
      </c>
      <c r="H9" s="489" t="s">
        <v>220</v>
      </c>
      <c r="I9" s="489" t="s">
        <v>220</v>
      </c>
      <c r="J9" s="489" t="s">
        <v>220</v>
      </c>
      <c r="K9" s="489" t="s">
        <v>220</v>
      </c>
      <c r="L9" s="489" t="s">
        <v>220</v>
      </c>
      <c r="M9" s="489" t="s">
        <v>220</v>
      </c>
      <c r="N9" s="489" t="s">
        <v>220</v>
      </c>
      <c r="O9" s="489" t="s">
        <v>220</v>
      </c>
      <c r="P9" s="489" t="s">
        <v>220</v>
      </c>
      <c r="Q9" s="489" t="s">
        <v>220</v>
      </c>
      <c r="R9" s="489" t="s">
        <v>220</v>
      </c>
      <c r="S9" s="489" t="s">
        <v>220</v>
      </c>
      <c r="T9" s="489" t="s">
        <v>221</v>
      </c>
      <c r="U9" s="489" t="s">
        <v>220</v>
      </c>
      <c r="V9" s="489" t="s">
        <v>220</v>
      </c>
      <c r="W9" s="489" t="s">
        <v>220</v>
      </c>
      <c r="X9" s="489" t="s">
        <v>220</v>
      </c>
      <c r="Y9" s="489" t="s">
        <v>220</v>
      </c>
      <c r="Z9" s="489" t="s">
        <v>220</v>
      </c>
      <c r="AA9" s="489" t="s">
        <v>220</v>
      </c>
      <c r="AB9" s="489" t="s">
        <v>220</v>
      </c>
      <c r="AC9" s="489" t="s">
        <v>220</v>
      </c>
      <c r="AD9" s="489" t="s">
        <v>220</v>
      </c>
      <c r="AE9" s="489" t="s">
        <v>220</v>
      </c>
      <c r="AF9" s="489" t="s">
        <v>220</v>
      </c>
      <c r="AG9" s="489" t="s">
        <v>220</v>
      </c>
      <c r="AH9" s="489" t="s">
        <v>220</v>
      </c>
      <c r="AI9" s="489" t="s">
        <v>220</v>
      </c>
      <c r="AJ9" s="489" t="s">
        <v>220</v>
      </c>
      <c r="AK9" s="489" t="s">
        <v>220</v>
      </c>
      <c r="AL9" s="489" t="s">
        <v>220</v>
      </c>
      <c r="AM9" s="489" t="s">
        <v>220</v>
      </c>
      <c r="AN9" s="489" t="s">
        <v>220</v>
      </c>
      <c r="AO9" s="489" t="s">
        <v>220</v>
      </c>
      <c r="AP9" s="489" t="s">
        <v>220</v>
      </c>
      <c r="AQ9" s="489" t="s">
        <v>220</v>
      </c>
      <c r="AR9" s="489" t="s">
        <v>220</v>
      </c>
      <c r="AS9" s="489" t="s">
        <v>220</v>
      </c>
      <c r="AT9" s="489" t="s">
        <v>220</v>
      </c>
      <c r="AU9" s="489" t="s">
        <v>220</v>
      </c>
      <c r="AV9" s="489" t="s">
        <v>220</v>
      </c>
      <c r="AW9" s="489" t="s">
        <v>220</v>
      </c>
      <c r="AX9" s="489" t="s">
        <v>220</v>
      </c>
      <c r="AY9" s="489" t="s">
        <v>220</v>
      </c>
      <c r="AZ9" s="489" t="s">
        <v>220</v>
      </c>
      <c r="BA9" s="489" t="s">
        <v>220</v>
      </c>
      <c r="BB9" s="489" t="s">
        <v>220</v>
      </c>
      <c r="BC9" s="489" t="s">
        <v>220</v>
      </c>
      <c r="BD9" s="489" t="s">
        <v>220</v>
      </c>
      <c r="BE9" s="489" t="s">
        <v>220</v>
      </c>
      <c r="BF9" s="489" t="s">
        <v>220</v>
      </c>
      <c r="BG9" s="489" t="s">
        <v>220</v>
      </c>
      <c r="BH9" s="489" t="s">
        <v>220</v>
      </c>
      <c r="BI9" s="489" t="s">
        <v>220</v>
      </c>
      <c r="BJ9" s="489" t="s">
        <v>220</v>
      </c>
      <c r="BK9" s="489" t="s">
        <v>220</v>
      </c>
      <c r="BL9" s="489" t="s">
        <v>220</v>
      </c>
      <c r="BM9" s="489" t="s">
        <v>220</v>
      </c>
      <c r="BN9" s="489" t="s">
        <v>220</v>
      </c>
      <c r="BO9" s="489" t="s">
        <v>220</v>
      </c>
      <c r="BP9" s="489" t="s">
        <v>220</v>
      </c>
      <c r="BQ9" s="1970"/>
      <c r="BR9" s="593" t="s">
        <v>222</v>
      </c>
      <c r="BS9" s="593" t="s">
        <v>222</v>
      </c>
      <c r="BT9" s="593" t="s">
        <v>222</v>
      </c>
      <c r="BU9" s="593" t="s">
        <v>222</v>
      </c>
      <c r="BV9" s="593" t="s">
        <v>222</v>
      </c>
      <c r="BW9" s="593" t="s">
        <v>222</v>
      </c>
      <c r="BX9" s="593" t="s">
        <v>222</v>
      </c>
      <c r="BY9" s="593" t="s">
        <v>222</v>
      </c>
      <c r="BZ9" s="593" t="s">
        <v>222</v>
      </c>
      <c r="CA9" s="593" t="s">
        <v>222</v>
      </c>
      <c r="CB9" s="593" t="s">
        <v>222</v>
      </c>
      <c r="CC9" s="593" t="s">
        <v>222</v>
      </c>
      <c r="CD9" s="593" t="s">
        <v>222</v>
      </c>
      <c r="CE9" s="593" t="s">
        <v>222</v>
      </c>
      <c r="CF9" s="593" t="s">
        <v>222</v>
      </c>
      <c r="CG9" s="593" t="s">
        <v>222</v>
      </c>
      <c r="CH9" s="593" t="s">
        <v>222</v>
      </c>
      <c r="CI9" s="593" t="s">
        <v>222</v>
      </c>
      <c r="CJ9" s="593" t="s">
        <v>222</v>
      </c>
      <c r="CK9" s="593" t="s">
        <v>222</v>
      </c>
      <c r="CL9" s="593" t="s">
        <v>222</v>
      </c>
      <c r="CM9" s="593" t="s">
        <v>222</v>
      </c>
      <c r="CN9" s="593" t="s">
        <v>222</v>
      </c>
      <c r="CO9" s="593" t="s">
        <v>222</v>
      </c>
      <c r="CP9" s="593" t="s">
        <v>222</v>
      </c>
      <c r="CQ9" s="1973"/>
      <c r="CR9" s="658" t="s">
        <v>222</v>
      </c>
      <c r="CS9" s="658" t="s">
        <v>222</v>
      </c>
      <c r="CT9" s="658" t="s">
        <v>222</v>
      </c>
      <c r="CU9" s="658" t="s">
        <v>222</v>
      </c>
      <c r="CV9" s="658" t="s">
        <v>222</v>
      </c>
      <c r="CW9" s="658" t="s">
        <v>222</v>
      </c>
      <c r="CX9" s="658" t="s">
        <v>222</v>
      </c>
      <c r="CY9" s="658" t="s">
        <v>222</v>
      </c>
      <c r="CZ9" s="658" t="s">
        <v>222</v>
      </c>
      <c r="DA9" s="658" t="s">
        <v>222</v>
      </c>
      <c r="DB9" s="658" t="s">
        <v>222</v>
      </c>
      <c r="DC9" s="658" t="s">
        <v>222</v>
      </c>
      <c r="DD9" s="704" t="s">
        <v>222</v>
      </c>
      <c r="DE9" s="658" t="s">
        <v>222</v>
      </c>
      <c r="DF9" s="658" t="s">
        <v>222</v>
      </c>
      <c r="DG9" s="658" t="s">
        <v>222</v>
      </c>
      <c r="DH9" s="658" t="s">
        <v>222</v>
      </c>
      <c r="DI9" s="658" t="s">
        <v>222</v>
      </c>
      <c r="DJ9" s="658" t="s">
        <v>222</v>
      </c>
      <c r="DK9" s="658" t="s">
        <v>222</v>
      </c>
      <c r="DL9" s="658" t="s">
        <v>222</v>
      </c>
      <c r="DM9" s="658" t="s">
        <v>222</v>
      </c>
      <c r="DN9" s="658" t="s">
        <v>222</v>
      </c>
      <c r="DO9" s="658" t="s">
        <v>222</v>
      </c>
      <c r="DP9" s="1978"/>
      <c r="DQ9" s="1981"/>
      <c r="DR9" s="593" t="s">
        <v>223</v>
      </c>
      <c r="DS9" s="593" t="s">
        <v>223</v>
      </c>
      <c r="DT9" s="593" t="s">
        <v>223</v>
      </c>
      <c r="DU9" s="593" t="s">
        <v>223</v>
      </c>
      <c r="DV9" s="593" t="s">
        <v>223</v>
      </c>
      <c r="DW9" s="593" t="s">
        <v>223</v>
      </c>
      <c r="DX9" s="593" t="s">
        <v>223</v>
      </c>
      <c r="DY9" s="593" t="s">
        <v>223</v>
      </c>
      <c r="DZ9" s="593" t="s">
        <v>223</v>
      </c>
      <c r="EA9" s="593" t="s">
        <v>223</v>
      </c>
      <c r="EB9" s="593" t="s">
        <v>223</v>
      </c>
      <c r="EC9" s="593" t="s">
        <v>223</v>
      </c>
      <c r="ED9" s="593" t="s">
        <v>223</v>
      </c>
      <c r="EE9" s="593" t="s">
        <v>223</v>
      </c>
      <c r="EF9" s="593" t="s">
        <v>223</v>
      </c>
      <c r="EG9" s="593" t="s">
        <v>223</v>
      </c>
      <c r="EH9" s="593" t="s">
        <v>223</v>
      </c>
      <c r="EI9" s="593" t="s">
        <v>223</v>
      </c>
      <c r="EJ9" s="593" t="s">
        <v>223</v>
      </c>
      <c r="EK9" s="593" t="s">
        <v>223</v>
      </c>
      <c r="EL9" s="593" t="s">
        <v>223</v>
      </c>
      <c r="EM9" s="593" t="s">
        <v>223</v>
      </c>
      <c r="EN9" s="593" t="s">
        <v>223</v>
      </c>
      <c r="EO9" s="593" t="s">
        <v>223</v>
      </c>
      <c r="EP9" s="593" t="s">
        <v>223</v>
      </c>
      <c r="EQ9" s="593" t="s">
        <v>223</v>
      </c>
      <c r="ER9" s="593" t="s">
        <v>223</v>
      </c>
      <c r="ES9" s="593" t="s">
        <v>223</v>
      </c>
      <c r="ET9" s="593" t="s">
        <v>223</v>
      </c>
      <c r="EU9" s="593" t="s">
        <v>223</v>
      </c>
      <c r="EV9" s="593" t="s">
        <v>223</v>
      </c>
      <c r="EW9" s="593" t="s">
        <v>223</v>
      </c>
      <c r="EX9" s="593" t="s">
        <v>223</v>
      </c>
      <c r="EY9" s="593" t="s">
        <v>223</v>
      </c>
      <c r="EZ9" s="593" t="s">
        <v>223</v>
      </c>
      <c r="FA9" s="593" t="s">
        <v>223</v>
      </c>
      <c r="FB9" s="593" t="s">
        <v>223</v>
      </c>
      <c r="FC9" s="593" t="s">
        <v>223</v>
      </c>
      <c r="FD9" s="593" t="s">
        <v>223</v>
      </c>
      <c r="FE9" s="593" t="s">
        <v>223</v>
      </c>
      <c r="FF9" s="593" t="s">
        <v>223</v>
      </c>
      <c r="FG9" s="593" t="s">
        <v>223</v>
      </c>
      <c r="FH9" s="593" t="s">
        <v>223</v>
      </c>
      <c r="FI9" s="593" t="s">
        <v>223</v>
      </c>
      <c r="FJ9" s="593" t="s">
        <v>223</v>
      </c>
      <c r="FK9" s="593" t="s">
        <v>223</v>
      </c>
      <c r="FL9" s="593" t="s">
        <v>223</v>
      </c>
      <c r="FM9" s="1984"/>
      <c r="FN9" s="749"/>
      <c r="FO9" s="749"/>
      <c r="FP9" s="749"/>
      <c r="FQ9" s="749"/>
      <c r="FR9" s="749"/>
      <c r="FS9" s="749"/>
      <c r="FT9" s="749"/>
      <c r="FU9" s="749"/>
      <c r="FV9" s="749"/>
      <c r="FW9" s="749"/>
      <c r="FX9" s="749"/>
      <c r="FY9" s="749"/>
      <c r="FZ9" s="749"/>
      <c r="GA9" s="749"/>
      <c r="GB9" s="749"/>
      <c r="GC9" s="1987"/>
      <c r="GD9" s="749"/>
      <c r="GE9" s="749"/>
      <c r="GF9" s="749"/>
      <c r="GG9" s="749"/>
      <c r="GH9" s="749"/>
      <c r="GI9" s="749"/>
      <c r="GJ9" s="749"/>
      <c r="GK9" s="749"/>
      <c r="GL9" s="749"/>
      <c r="GM9" s="749"/>
      <c r="GN9" s="749"/>
      <c r="GO9" s="749"/>
      <c r="GP9" s="749"/>
      <c r="GQ9" s="749"/>
      <c r="GR9" s="749"/>
      <c r="GS9" s="1987"/>
      <c r="GT9" s="770"/>
      <c r="GU9" s="770"/>
      <c r="GV9" s="770"/>
      <c r="GW9" s="770"/>
      <c r="GX9" s="770"/>
      <c r="GY9" s="770"/>
      <c r="GZ9" s="770"/>
      <c r="HA9" s="770"/>
      <c r="HB9" s="770"/>
      <c r="HC9" s="770"/>
      <c r="HD9" s="1987"/>
      <c r="HE9" s="1987"/>
      <c r="HF9" s="1987"/>
      <c r="HG9" s="1987"/>
      <c r="HH9" s="1989"/>
      <c r="HI9" s="1991"/>
      <c r="HJ9" s="1952"/>
      <c r="HK9" s="1955"/>
    </row>
    <row r="10" spans="1:237" ht="24.75" customHeight="1">
      <c r="B10" s="1962"/>
      <c r="C10" s="1965"/>
      <c r="D10" s="1968"/>
      <c r="E10" s="491"/>
      <c r="F10" s="492"/>
      <c r="G10" s="492"/>
      <c r="H10" s="492"/>
      <c r="I10" s="492"/>
      <c r="J10" s="492"/>
      <c r="K10" s="492"/>
      <c r="L10" s="492"/>
      <c r="M10" s="492"/>
      <c r="N10" s="492"/>
      <c r="O10" s="492"/>
      <c r="P10" s="492"/>
      <c r="Q10" s="492"/>
      <c r="R10" s="492"/>
      <c r="S10" s="492"/>
      <c r="T10" s="492"/>
      <c r="U10" s="492"/>
      <c r="V10" s="492"/>
      <c r="W10" s="492"/>
      <c r="X10" s="492"/>
      <c r="Y10" s="492"/>
      <c r="Z10" s="492"/>
      <c r="AA10" s="492"/>
      <c r="AB10" s="492"/>
      <c r="AC10" s="492"/>
      <c r="AD10" s="492"/>
      <c r="AE10" s="492"/>
      <c r="AF10" s="492"/>
      <c r="AG10" s="492"/>
      <c r="AH10" s="492"/>
      <c r="AI10" s="492"/>
      <c r="AJ10" s="492"/>
      <c r="AK10" s="492"/>
      <c r="AL10" s="492"/>
      <c r="AM10" s="492"/>
      <c r="AN10" s="492"/>
      <c r="AO10" s="492"/>
      <c r="AP10" s="492"/>
      <c r="AQ10" s="492"/>
      <c r="AR10" s="492"/>
      <c r="AS10" s="492"/>
      <c r="AT10" s="492"/>
      <c r="AU10" s="492"/>
      <c r="AV10" s="492"/>
      <c r="AW10" s="492"/>
      <c r="AX10" s="492"/>
      <c r="AY10" s="492"/>
      <c r="AZ10" s="492"/>
      <c r="BA10" s="492"/>
      <c r="BB10" s="492"/>
      <c r="BC10" s="492"/>
      <c r="BD10" s="492"/>
      <c r="BE10" s="492"/>
      <c r="BF10" s="492"/>
      <c r="BG10" s="492"/>
      <c r="BH10" s="492"/>
      <c r="BI10" s="492"/>
      <c r="BJ10" s="492"/>
      <c r="BK10" s="492"/>
      <c r="BL10" s="492"/>
      <c r="BM10" s="492"/>
      <c r="BN10" s="492"/>
      <c r="BO10" s="492"/>
      <c r="BP10" s="492"/>
      <c r="BQ10" s="1971"/>
      <c r="BR10" s="594" t="s">
        <v>224</v>
      </c>
      <c r="BS10" s="594" t="s">
        <v>225</v>
      </c>
      <c r="BT10" s="594"/>
      <c r="BU10" s="594"/>
      <c r="BV10" s="594"/>
      <c r="BW10" s="594"/>
      <c r="BX10" s="594"/>
      <c r="BY10" s="594"/>
      <c r="BZ10" s="594"/>
      <c r="CA10" s="594"/>
      <c r="CB10" s="594"/>
      <c r="CC10" s="594"/>
      <c r="CD10" s="594"/>
      <c r="CE10" s="594"/>
      <c r="CF10" s="594"/>
      <c r="CG10" s="594"/>
      <c r="CH10" s="594"/>
      <c r="CI10" s="594"/>
      <c r="CJ10" s="594"/>
      <c r="CK10" s="594"/>
      <c r="CL10" s="594"/>
      <c r="CM10" s="594"/>
      <c r="CN10" s="594"/>
      <c r="CO10" s="594"/>
      <c r="CP10" s="594"/>
      <c r="CQ10" s="1974"/>
      <c r="CR10" s="659"/>
      <c r="CS10" s="672"/>
      <c r="CT10" s="672"/>
      <c r="CU10" s="672"/>
      <c r="CV10" s="659"/>
      <c r="CW10" s="673"/>
      <c r="CX10" s="674"/>
      <c r="CY10" s="672"/>
      <c r="CZ10" s="672"/>
      <c r="DA10" s="705"/>
      <c r="DB10" s="672"/>
      <c r="DC10" s="672"/>
      <c r="DD10" s="672"/>
      <c r="DE10" s="672"/>
      <c r="DF10" s="672"/>
      <c r="DG10" s="672"/>
      <c r="DH10" s="672"/>
      <c r="DI10" s="672"/>
      <c r="DJ10" s="672"/>
      <c r="DK10" s="672"/>
      <c r="DL10" s="672"/>
      <c r="DM10" s="672"/>
      <c r="DN10" s="672"/>
      <c r="DO10" s="672"/>
      <c r="DP10" s="1979"/>
      <c r="DQ10" s="1982"/>
      <c r="DR10" s="594"/>
      <c r="DS10" s="594"/>
      <c r="DT10" s="594"/>
      <c r="DU10" s="594"/>
      <c r="DV10" s="594"/>
      <c r="DW10" s="594"/>
      <c r="DX10" s="594"/>
      <c r="DY10" s="594"/>
      <c r="DZ10" s="594"/>
      <c r="EA10" s="594"/>
      <c r="EB10" s="594"/>
      <c r="EC10" s="594"/>
      <c r="ED10" s="594"/>
      <c r="EE10" s="594"/>
      <c r="EF10" s="594"/>
      <c r="EG10" s="594"/>
      <c r="EH10" s="594"/>
      <c r="EI10" s="594"/>
      <c r="EJ10" s="594"/>
      <c r="EK10" s="594"/>
      <c r="EL10" s="594"/>
      <c r="EM10" s="594"/>
      <c r="EN10" s="594"/>
      <c r="EO10" s="594"/>
      <c r="EP10" s="594"/>
      <c r="EQ10" s="594"/>
      <c r="ER10" s="594"/>
      <c r="ES10" s="594"/>
      <c r="ET10" s="594"/>
      <c r="EU10" s="594"/>
      <c r="EV10" s="594"/>
      <c r="EW10" s="594"/>
      <c r="EX10" s="594"/>
      <c r="EY10" s="594"/>
      <c r="EZ10" s="594"/>
      <c r="FA10" s="594"/>
      <c r="FB10" s="594"/>
      <c r="FC10" s="594"/>
      <c r="FD10" s="594"/>
      <c r="FE10" s="594"/>
      <c r="FF10" s="594"/>
      <c r="FG10" s="594"/>
      <c r="FH10" s="594"/>
      <c r="FI10" s="594"/>
      <c r="FJ10" s="594"/>
      <c r="FK10" s="594"/>
      <c r="FL10" s="594"/>
      <c r="FM10" s="1985"/>
      <c r="FN10" s="750"/>
      <c r="FO10" s="750"/>
      <c r="FP10" s="750"/>
      <c r="FQ10" s="750"/>
      <c r="FR10" s="750"/>
      <c r="FS10" s="750"/>
      <c r="FT10" s="750"/>
      <c r="FU10" s="750"/>
      <c r="FV10" s="750"/>
      <c r="FW10" s="750"/>
      <c r="FX10" s="750"/>
      <c r="FY10" s="750"/>
      <c r="FZ10" s="750"/>
      <c r="GA10" s="750"/>
      <c r="GB10" s="750"/>
      <c r="GC10" s="1987"/>
      <c r="GD10" s="750"/>
      <c r="GE10" s="750"/>
      <c r="GF10" s="750"/>
      <c r="GG10" s="750"/>
      <c r="GH10" s="750"/>
      <c r="GI10" s="750"/>
      <c r="GJ10" s="750"/>
      <c r="GK10" s="750"/>
      <c r="GL10" s="750"/>
      <c r="GM10" s="750"/>
      <c r="GN10" s="750"/>
      <c r="GO10" s="750"/>
      <c r="GP10" s="750"/>
      <c r="GQ10" s="750"/>
      <c r="GR10" s="750"/>
      <c r="GS10" s="1987"/>
      <c r="GT10" s="771"/>
      <c r="GU10" s="771"/>
      <c r="GV10" s="771"/>
      <c r="GW10" s="771"/>
      <c r="GX10" s="771"/>
      <c r="GY10" s="771"/>
      <c r="GZ10" s="771"/>
      <c r="HA10" s="771"/>
      <c r="HB10" s="771"/>
      <c r="HC10" s="771"/>
      <c r="HD10" s="1987"/>
      <c r="HE10" s="1987"/>
      <c r="HF10" s="1987"/>
      <c r="HG10" s="1987"/>
      <c r="HH10" s="1989"/>
      <c r="HI10" s="1992"/>
      <c r="HJ10" s="1953"/>
      <c r="HK10" s="1956"/>
    </row>
    <row r="11" spans="1:237" ht="15.75" hidden="1" customHeight="1">
      <c r="B11" s="493" t="s">
        <v>226</v>
      </c>
      <c r="C11" s="494" t="s">
        <v>227</v>
      </c>
      <c r="D11" s="495"/>
      <c r="E11" s="496"/>
      <c r="F11" s="497"/>
      <c r="G11" s="497"/>
      <c r="H11" s="498"/>
      <c r="I11" s="497"/>
      <c r="J11" s="497"/>
      <c r="K11" s="497"/>
      <c r="L11" s="497"/>
      <c r="M11" s="497"/>
      <c r="N11" s="497"/>
      <c r="O11" s="497"/>
      <c r="P11" s="497"/>
      <c r="Q11" s="497"/>
      <c r="R11" s="497"/>
      <c r="S11" s="497"/>
      <c r="T11" s="497"/>
      <c r="U11" s="497"/>
      <c r="V11" s="497"/>
      <c r="W11" s="497"/>
      <c r="X11" s="497"/>
      <c r="Y11" s="497"/>
      <c r="Z11" s="497"/>
      <c r="AA11" s="497"/>
      <c r="AB11" s="497"/>
      <c r="AC11" s="497"/>
      <c r="AD11" s="497"/>
      <c r="AE11" s="497"/>
      <c r="AF11" s="497"/>
      <c r="AG11" s="497"/>
      <c r="AH11" s="497"/>
      <c r="AI11" s="497"/>
      <c r="AJ11" s="497"/>
      <c r="AK11" s="497"/>
      <c r="AL11" s="497"/>
      <c r="AM11" s="497"/>
      <c r="AN11" s="497"/>
      <c r="AO11" s="497"/>
      <c r="AP11" s="497"/>
      <c r="AQ11" s="497"/>
      <c r="AR11" s="497"/>
      <c r="AS11" s="497"/>
      <c r="AT11" s="497"/>
      <c r="AU11" s="497"/>
      <c r="AV11" s="497"/>
      <c r="AW11" s="497"/>
      <c r="AX11" s="497"/>
      <c r="AY11" s="497"/>
      <c r="AZ11" s="497"/>
      <c r="BA11" s="497"/>
      <c r="BB11" s="497"/>
      <c r="BC11" s="497"/>
      <c r="BD11" s="497"/>
      <c r="BE11" s="497"/>
      <c r="BF11" s="497"/>
      <c r="BG11" s="497"/>
      <c r="BH11" s="497"/>
      <c r="BI11" s="497"/>
      <c r="BJ11" s="497"/>
      <c r="BK11" s="497"/>
      <c r="BL11" s="497"/>
      <c r="BM11" s="497"/>
      <c r="BN11" s="497"/>
      <c r="BO11" s="497"/>
      <c r="BP11" s="595"/>
      <c r="BQ11" s="596">
        <f t="shared" ref="BQ11:BQ47" si="0">SUM(E11:BP11)</f>
        <v>0</v>
      </c>
      <c r="BR11" s="543"/>
      <c r="BS11" s="544"/>
      <c r="BT11" s="544"/>
      <c r="BU11" s="544"/>
      <c r="BV11" s="544"/>
      <c r="BW11" s="544"/>
      <c r="BX11" s="544"/>
      <c r="BY11" s="544"/>
      <c r="BZ11" s="544"/>
      <c r="CA11" s="544"/>
      <c r="CB11" s="544"/>
      <c r="CC11" s="544"/>
      <c r="CD11" s="544"/>
      <c r="CE11" s="544"/>
      <c r="CF11" s="544"/>
      <c r="CG11" s="544"/>
      <c r="CH11" s="544"/>
      <c r="CI11" s="544"/>
      <c r="CJ11" s="544"/>
      <c r="CK11" s="544"/>
      <c r="CL11" s="544"/>
      <c r="CM11" s="544"/>
      <c r="CN11" s="544"/>
      <c r="CO11" s="544"/>
      <c r="CP11" s="544"/>
      <c r="CQ11" s="660">
        <f>+SUM(BR11:CP11)</f>
        <v>0</v>
      </c>
      <c r="CR11" s="544"/>
      <c r="CS11" s="675"/>
      <c r="CT11" s="675"/>
      <c r="CU11" s="675"/>
      <c r="CV11" s="675"/>
      <c r="CW11" s="544"/>
      <c r="CX11" s="544"/>
      <c r="CY11" s="544"/>
      <c r="CZ11" s="676"/>
      <c r="DA11" s="544"/>
      <c r="DB11" s="544"/>
      <c r="DC11" s="544"/>
      <c r="DD11" s="706"/>
      <c r="DE11" s="544"/>
      <c r="DF11" s="544"/>
      <c r="DG11" s="544"/>
      <c r="DH11" s="544"/>
      <c r="DI11" s="544"/>
      <c r="DJ11" s="544"/>
      <c r="DK11" s="544"/>
      <c r="DL11" s="544"/>
      <c r="DM11" s="544"/>
      <c r="DN11" s="544"/>
      <c r="DO11" s="716"/>
      <c r="DP11" s="717">
        <f t="shared" ref="DP11:DP47" si="1">+SUM(CR11:DO11)</f>
        <v>0</v>
      </c>
      <c r="DQ11" s="726">
        <f>+CQ11+DP11</f>
        <v>0</v>
      </c>
      <c r="DR11" s="544"/>
      <c r="DS11" s="544"/>
      <c r="DT11" s="544"/>
      <c r="DU11" s="544"/>
      <c r="DV11" s="544"/>
      <c r="DW11" s="544"/>
      <c r="DX11" s="544"/>
      <c r="DY11" s="544"/>
      <c r="DZ11" s="544"/>
      <c r="EA11" s="544"/>
      <c r="EB11" s="544"/>
      <c r="EC11" s="544"/>
      <c r="ED11" s="544"/>
      <c r="EE11" s="544"/>
      <c r="EF11" s="544"/>
      <c r="EG11" s="544"/>
      <c r="EH11" s="544"/>
      <c r="EI11" s="544"/>
      <c r="EJ11" s="544"/>
      <c r="EK11" s="544"/>
      <c r="EL11" s="544"/>
      <c r="EM11" s="544"/>
      <c r="EN11" s="544"/>
      <c r="EO11" s="544"/>
      <c r="EP11" s="544"/>
      <c r="EQ11" s="544"/>
      <c r="ER11" s="544"/>
      <c r="ES11" s="544"/>
      <c r="ET11" s="544"/>
      <c r="EU11" s="544"/>
      <c r="EV11" s="544"/>
      <c r="EW11" s="544"/>
      <c r="EX11" s="544"/>
      <c r="EY11" s="544"/>
      <c r="EZ11" s="544"/>
      <c r="FA11" s="544"/>
      <c r="FB11" s="544"/>
      <c r="FC11" s="544"/>
      <c r="FD11" s="544"/>
      <c r="FE11" s="544"/>
      <c r="FF11" s="544"/>
      <c r="FG11" s="544"/>
      <c r="FH11" s="544"/>
      <c r="FI11" s="544"/>
      <c r="FJ11" s="544"/>
      <c r="FK11" s="544"/>
      <c r="FL11" s="544"/>
      <c r="FM11" s="751">
        <f>SUM(DR11:FL11)</f>
        <v>0</v>
      </c>
      <c r="FN11" s="543"/>
      <c r="FO11" s="544"/>
      <c r="FP11" s="544"/>
      <c r="FQ11" s="544"/>
      <c r="FR11" s="544"/>
      <c r="FS11" s="544"/>
      <c r="FT11" s="544"/>
      <c r="FU11" s="544"/>
      <c r="FV11" s="544"/>
      <c r="FW11" s="544"/>
      <c r="FX11" s="544"/>
      <c r="FY11" s="544"/>
      <c r="FZ11" s="544"/>
      <c r="GA11" s="544"/>
      <c r="GB11" s="544"/>
      <c r="GC11" s="544">
        <f t="shared" ref="GC11:GC100" si="2">+FN11+FO11+FP11+FQ11+FR11+FS11+FT11+FU11+FV11+FW11+FX11+FY11+FZ11+GA11+GB11</f>
        <v>0</v>
      </c>
      <c r="GD11" s="544"/>
      <c r="GE11" s="544"/>
      <c r="GF11" s="544"/>
      <c r="GG11" s="544"/>
      <c r="GH11" s="544"/>
      <c r="GI11" s="544"/>
      <c r="GJ11" s="544"/>
      <c r="GK11" s="544"/>
      <c r="GL11" s="544"/>
      <c r="GM11" s="544"/>
      <c r="GN11" s="544"/>
      <c r="GO11" s="544"/>
      <c r="GP11" s="544"/>
      <c r="GQ11" s="544"/>
      <c r="GR11" s="544"/>
      <c r="GS11" s="544">
        <f t="shared" ref="GS11:GS99" si="3">+GD11+GE11+GF11+GG11+GH11+GI11+GJ11+GK11+GL11+GM11+GN11+GO11+GP11+GQ11+GR11</f>
        <v>0</v>
      </c>
      <c r="GT11" s="544"/>
      <c r="GU11" s="544"/>
      <c r="GV11" s="544"/>
      <c r="GW11" s="544"/>
      <c r="GX11" s="544"/>
      <c r="GY11" s="544"/>
      <c r="GZ11" s="544"/>
      <c r="HA11" s="544"/>
      <c r="HB11" s="544"/>
      <c r="HC11" s="544"/>
      <c r="HD11" s="544">
        <f>+GT11+GU11+GV11+GW11+GX11+GY11+GZ11+HA11+HB11+HC11</f>
        <v>0</v>
      </c>
      <c r="HE11" s="544">
        <f>HD11+D11+BQ11-DQ11-FM11-GC11+GS11</f>
        <v>0</v>
      </c>
      <c r="HF11" s="544">
        <v>0</v>
      </c>
      <c r="HG11" s="544">
        <f t="shared" ref="HG11:HG100" si="4">-HE11+HF11</f>
        <v>0</v>
      </c>
      <c r="HH11" s="772"/>
      <c r="HI11" s="790">
        <f>+HH11</f>
        <v>0</v>
      </c>
      <c r="HJ11" s="791">
        <f>+HI11-HE11</f>
        <v>0</v>
      </c>
      <c r="HK11" s="792"/>
    </row>
    <row r="12" spans="1:237" ht="15.75" hidden="1" customHeight="1">
      <c r="B12" s="499" t="s">
        <v>226</v>
      </c>
      <c r="C12" s="500" t="s">
        <v>228</v>
      </c>
      <c r="D12" s="501">
        <v>6815</v>
      </c>
      <c r="E12" s="502"/>
      <c r="F12" s="503"/>
      <c r="G12" s="503"/>
      <c r="H12" s="504"/>
      <c r="I12" s="503"/>
      <c r="J12" s="503"/>
      <c r="K12" s="503"/>
      <c r="L12" s="503"/>
      <c r="M12" s="503"/>
      <c r="N12" s="503"/>
      <c r="O12" s="503"/>
      <c r="P12" s="503"/>
      <c r="Q12" s="503"/>
      <c r="R12" s="503"/>
      <c r="S12" s="503"/>
      <c r="T12" s="503"/>
      <c r="U12" s="503"/>
      <c r="V12" s="503"/>
      <c r="W12" s="503"/>
      <c r="X12" s="503"/>
      <c r="Y12" s="503"/>
      <c r="Z12" s="503">
        <v>2350</v>
      </c>
      <c r="AA12" s="503"/>
      <c r="AB12" s="503"/>
      <c r="AC12" s="503"/>
      <c r="AD12" s="503"/>
      <c r="AE12" s="503"/>
      <c r="AF12" s="503"/>
      <c r="AG12" s="503"/>
      <c r="AH12" s="503"/>
      <c r="AI12" s="503"/>
      <c r="AJ12" s="503"/>
      <c r="AK12" s="503"/>
      <c r="AL12" s="503"/>
      <c r="AM12" s="503"/>
      <c r="AN12" s="503"/>
      <c r="AO12" s="503"/>
      <c r="AP12" s="503"/>
      <c r="AQ12" s="503"/>
      <c r="AR12" s="503"/>
      <c r="AS12" s="503"/>
      <c r="AT12" s="503"/>
      <c r="AU12" s="503"/>
      <c r="AV12" s="503"/>
      <c r="AW12" s="503"/>
      <c r="AX12" s="503"/>
      <c r="AY12" s="503"/>
      <c r="AZ12" s="503"/>
      <c r="BA12" s="503"/>
      <c r="BB12" s="503"/>
      <c r="BC12" s="503"/>
      <c r="BD12" s="503"/>
      <c r="BE12" s="503"/>
      <c r="BF12" s="503"/>
      <c r="BG12" s="503"/>
      <c r="BH12" s="503"/>
      <c r="BI12" s="503"/>
      <c r="BJ12" s="503"/>
      <c r="BK12" s="503"/>
      <c r="BL12" s="503"/>
      <c r="BM12" s="503"/>
      <c r="BN12" s="503"/>
      <c r="BO12" s="503"/>
      <c r="BP12" s="597"/>
      <c r="BQ12" s="598">
        <f t="shared" si="0"/>
        <v>2350</v>
      </c>
      <c r="BR12" s="550"/>
      <c r="BS12" s="551"/>
      <c r="BT12" s="551"/>
      <c r="BU12" s="551"/>
      <c r="BV12" s="551"/>
      <c r="BW12" s="551"/>
      <c r="BX12" s="551"/>
      <c r="BY12" s="551"/>
      <c r="BZ12" s="551"/>
      <c r="CA12" s="551"/>
      <c r="CB12" s="551"/>
      <c r="CC12" s="551"/>
      <c r="CD12" s="551"/>
      <c r="CE12" s="551"/>
      <c r="CF12" s="551"/>
      <c r="CG12" s="551"/>
      <c r="CH12" s="551"/>
      <c r="CI12" s="551"/>
      <c r="CJ12" s="551"/>
      <c r="CK12" s="551"/>
      <c r="CL12" s="551"/>
      <c r="CM12" s="551"/>
      <c r="CN12" s="551"/>
      <c r="CO12" s="551"/>
      <c r="CP12" s="551"/>
      <c r="CQ12" s="661">
        <f>+SUM(BR12:CP12)</f>
        <v>0</v>
      </c>
      <c r="CR12" s="551"/>
      <c r="CS12" s="534"/>
      <c r="CT12" s="534"/>
      <c r="CU12" s="534"/>
      <c r="CV12" s="534"/>
      <c r="CW12" s="551"/>
      <c r="CX12" s="551"/>
      <c r="CY12" s="551"/>
      <c r="CZ12" s="677"/>
      <c r="DA12" s="551"/>
      <c r="DB12" s="551"/>
      <c r="DC12" s="551"/>
      <c r="DD12" s="707"/>
      <c r="DE12" s="551"/>
      <c r="DF12" s="551"/>
      <c r="DG12" s="551"/>
      <c r="DH12" s="551"/>
      <c r="DI12" s="551"/>
      <c r="DJ12" s="551"/>
      <c r="DK12" s="551"/>
      <c r="DL12" s="551"/>
      <c r="DM12" s="551"/>
      <c r="DN12" s="551"/>
      <c r="DO12" s="718"/>
      <c r="DP12" s="719">
        <f t="shared" si="1"/>
        <v>0</v>
      </c>
      <c r="DQ12" s="727">
        <f>+CQ12+DP12</f>
        <v>0</v>
      </c>
      <c r="DR12" s="551"/>
      <c r="DS12" s="551"/>
      <c r="DT12" s="551"/>
      <c r="DU12" s="551"/>
      <c r="DV12" s="551"/>
      <c r="DW12" s="551"/>
      <c r="DX12" s="551"/>
      <c r="DY12" s="551"/>
      <c r="DZ12" s="551"/>
      <c r="EA12" s="551"/>
      <c r="EB12" s="551"/>
      <c r="EC12" s="551"/>
      <c r="ED12" s="551"/>
      <c r="EE12" s="551"/>
      <c r="EF12" s="551"/>
      <c r="EG12" s="551"/>
      <c r="EH12" s="551"/>
      <c r="EI12" s="551"/>
      <c r="EJ12" s="551"/>
      <c r="EK12" s="551"/>
      <c r="EL12" s="551"/>
      <c r="EM12" s="551"/>
      <c r="EN12" s="551"/>
      <c r="EO12" s="551"/>
      <c r="EP12" s="551"/>
      <c r="EQ12" s="551"/>
      <c r="ER12" s="551"/>
      <c r="ES12" s="551"/>
      <c r="ET12" s="551"/>
      <c r="EU12" s="551"/>
      <c r="EV12" s="551"/>
      <c r="EW12" s="551"/>
      <c r="EX12" s="551"/>
      <c r="EY12" s="551"/>
      <c r="EZ12" s="551"/>
      <c r="FA12" s="551"/>
      <c r="FB12" s="551"/>
      <c r="FC12" s="551"/>
      <c r="FD12" s="551"/>
      <c r="FE12" s="551"/>
      <c r="FF12" s="551"/>
      <c r="FG12" s="551"/>
      <c r="FH12" s="551"/>
      <c r="FI12" s="551"/>
      <c r="FJ12" s="551"/>
      <c r="FK12" s="551"/>
      <c r="FL12" s="551"/>
      <c r="FM12" s="752">
        <f>SUM(DR12:FL12)</f>
        <v>0</v>
      </c>
      <c r="FN12" s="550"/>
      <c r="FO12" s="551"/>
      <c r="FP12" s="551"/>
      <c r="FQ12" s="551"/>
      <c r="FR12" s="551"/>
      <c r="FS12" s="551"/>
      <c r="FT12" s="551"/>
      <c r="FU12" s="551"/>
      <c r="FV12" s="551"/>
      <c r="FW12" s="551"/>
      <c r="FX12" s="551"/>
      <c r="FY12" s="551"/>
      <c r="FZ12" s="551"/>
      <c r="GA12" s="551"/>
      <c r="GB12" s="551"/>
      <c r="GC12" s="551"/>
      <c r="GD12" s="551"/>
      <c r="GE12" s="551"/>
      <c r="GF12" s="551"/>
      <c r="GG12" s="551"/>
      <c r="GH12" s="551"/>
      <c r="GI12" s="551"/>
      <c r="GJ12" s="551"/>
      <c r="GK12" s="551"/>
      <c r="GL12" s="551"/>
      <c r="GM12" s="551"/>
      <c r="GN12" s="551"/>
      <c r="GO12" s="551"/>
      <c r="GP12" s="551"/>
      <c r="GQ12" s="551"/>
      <c r="GR12" s="551"/>
      <c r="GS12" s="551"/>
      <c r="GT12" s="551"/>
      <c r="GU12" s="551"/>
      <c r="GV12" s="551"/>
      <c r="GW12" s="551"/>
      <c r="GX12" s="551"/>
      <c r="GY12" s="551"/>
      <c r="GZ12" s="551"/>
      <c r="HA12" s="551"/>
      <c r="HB12" s="551"/>
      <c r="HC12" s="551"/>
      <c r="HD12" s="544">
        <f>+GT12+GU12+GV12+GW12+GX12+GY12+GZ12+HA12+HB12+HC12</f>
        <v>0</v>
      </c>
      <c r="HE12" s="544">
        <f>HD12+D12+BQ12-DQ12-FM12-GC12+GS12</f>
        <v>9165</v>
      </c>
      <c r="HF12" s="544">
        <v>1</v>
      </c>
      <c r="HG12" s="544">
        <f>-HE12+HF12</f>
        <v>-9164</v>
      </c>
      <c r="HH12" s="773"/>
      <c r="HI12" s="793">
        <f t="shared" ref="HI12:HI36" si="5">+HH12</f>
        <v>0</v>
      </c>
      <c r="HJ12" s="794">
        <f>+HI12-HE12</f>
        <v>-9165</v>
      </c>
      <c r="HK12" s="795"/>
    </row>
    <row r="13" spans="1:237" ht="15.75" hidden="1" customHeight="1">
      <c r="B13" s="499" t="s">
        <v>229</v>
      </c>
      <c r="C13" s="505" t="s">
        <v>230</v>
      </c>
      <c r="D13" s="501"/>
      <c r="E13" s="502"/>
      <c r="F13" s="503"/>
      <c r="G13" s="503"/>
      <c r="H13" s="503"/>
      <c r="I13" s="503"/>
      <c r="J13" s="503"/>
      <c r="K13" s="503"/>
      <c r="L13" s="503"/>
      <c r="M13" s="503"/>
      <c r="N13" s="503"/>
      <c r="O13" s="503"/>
      <c r="P13" s="503"/>
      <c r="Q13" s="503"/>
      <c r="R13" s="503"/>
      <c r="S13" s="503"/>
      <c r="T13" s="503"/>
      <c r="U13" s="503"/>
      <c r="V13" s="503"/>
      <c r="W13" s="503"/>
      <c r="X13" s="503"/>
      <c r="Y13" s="503"/>
      <c r="Z13" s="503"/>
      <c r="AA13" s="503"/>
      <c r="AB13" s="503"/>
      <c r="AC13" s="503"/>
      <c r="AD13" s="503"/>
      <c r="AE13" s="503"/>
      <c r="AF13" s="503"/>
      <c r="AG13" s="503"/>
      <c r="AH13" s="503"/>
      <c r="AI13" s="503"/>
      <c r="AJ13" s="503"/>
      <c r="AK13" s="503"/>
      <c r="AL13" s="503"/>
      <c r="AM13" s="503"/>
      <c r="AN13" s="503"/>
      <c r="AO13" s="503"/>
      <c r="AP13" s="503"/>
      <c r="AQ13" s="503"/>
      <c r="AR13" s="503"/>
      <c r="AS13" s="503"/>
      <c r="AT13" s="503"/>
      <c r="AU13" s="503"/>
      <c r="AV13" s="503"/>
      <c r="AW13" s="503"/>
      <c r="AX13" s="503"/>
      <c r="AY13" s="503"/>
      <c r="AZ13" s="503"/>
      <c r="BA13" s="503"/>
      <c r="BB13" s="503"/>
      <c r="BC13" s="503"/>
      <c r="BD13" s="503"/>
      <c r="BE13" s="503"/>
      <c r="BF13" s="503"/>
      <c r="BG13" s="503"/>
      <c r="BH13" s="503"/>
      <c r="BI13" s="503"/>
      <c r="BJ13" s="503"/>
      <c r="BK13" s="503"/>
      <c r="BL13" s="503"/>
      <c r="BM13" s="503"/>
      <c r="BN13" s="503"/>
      <c r="BO13" s="503"/>
      <c r="BP13" s="597"/>
      <c r="BQ13" s="598">
        <f t="shared" si="0"/>
        <v>0</v>
      </c>
      <c r="BR13" s="550"/>
      <c r="BS13" s="551"/>
      <c r="BT13" s="551"/>
      <c r="BU13" s="551"/>
      <c r="BV13" s="551"/>
      <c r="BW13" s="551"/>
      <c r="BX13" s="551"/>
      <c r="BY13" s="551"/>
      <c r="BZ13" s="551"/>
      <c r="CA13" s="551"/>
      <c r="CB13" s="551"/>
      <c r="CC13" s="551"/>
      <c r="CD13" s="551"/>
      <c r="CE13" s="551"/>
      <c r="CF13" s="551"/>
      <c r="CG13" s="551"/>
      <c r="CH13" s="551"/>
      <c r="CI13" s="551"/>
      <c r="CJ13" s="551"/>
      <c r="CK13" s="551"/>
      <c r="CL13" s="551"/>
      <c r="CM13" s="551"/>
      <c r="CN13" s="551"/>
      <c r="CO13" s="551"/>
      <c r="CP13" s="551"/>
      <c r="CQ13" s="661">
        <f t="shared" ref="CQ13:CQ102" si="6">+SUM(BR13:CP13)</f>
        <v>0</v>
      </c>
      <c r="CR13" s="551"/>
      <c r="CS13" s="534"/>
      <c r="CT13" s="534"/>
      <c r="CU13" s="534"/>
      <c r="CV13" s="534"/>
      <c r="CW13" s="551"/>
      <c r="CX13" s="551"/>
      <c r="CY13" s="551"/>
      <c r="CZ13" s="677"/>
      <c r="DA13" s="551"/>
      <c r="DB13" s="551"/>
      <c r="DC13" s="551"/>
      <c r="DD13" s="707"/>
      <c r="DE13" s="551"/>
      <c r="DF13" s="551"/>
      <c r="DG13" s="551"/>
      <c r="DH13" s="551"/>
      <c r="DI13" s="551"/>
      <c r="DJ13" s="551"/>
      <c r="DK13" s="551"/>
      <c r="DL13" s="551"/>
      <c r="DM13" s="551"/>
      <c r="DN13" s="551"/>
      <c r="DO13" s="718"/>
      <c r="DP13" s="719">
        <f t="shared" si="1"/>
        <v>0</v>
      </c>
      <c r="DQ13" s="727">
        <f t="shared" ref="DQ13:DQ47" si="7">+CQ13+DP13</f>
        <v>0</v>
      </c>
      <c r="DR13" s="551"/>
      <c r="DS13" s="551"/>
      <c r="DT13" s="551"/>
      <c r="DU13" s="551"/>
      <c r="DV13" s="551"/>
      <c r="DW13" s="551"/>
      <c r="DX13" s="551"/>
      <c r="DY13" s="551"/>
      <c r="DZ13" s="551"/>
      <c r="EA13" s="551"/>
      <c r="EB13" s="551"/>
      <c r="EC13" s="551"/>
      <c r="ED13" s="551"/>
      <c r="EE13" s="551"/>
      <c r="EF13" s="551"/>
      <c r="EG13" s="551"/>
      <c r="EH13" s="551"/>
      <c r="EI13" s="551"/>
      <c r="EJ13" s="551"/>
      <c r="EK13" s="551"/>
      <c r="EL13" s="551"/>
      <c r="EM13" s="551"/>
      <c r="EN13" s="551"/>
      <c r="EO13" s="551"/>
      <c r="EP13" s="551"/>
      <c r="EQ13" s="551"/>
      <c r="ER13" s="551"/>
      <c r="ES13" s="551"/>
      <c r="ET13" s="551"/>
      <c r="EU13" s="551"/>
      <c r="EV13" s="551"/>
      <c r="EW13" s="551"/>
      <c r="EX13" s="551"/>
      <c r="EY13" s="551"/>
      <c r="EZ13" s="551"/>
      <c r="FA13" s="551"/>
      <c r="FB13" s="551"/>
      <c r="FC13" s="551"/>
      <c r="FD13" s="551"/>
      <c r="FE13" s="551"/>
      <c r="FF13" s="551"/>
      <c r="FG13" s="551"/>
      <c r="FH13" s="551"/>
      <c r="FI13" s="551"/>
      <c r="FJ13" s="551"/>
      <c r="FK13" s="551"/>
      <c r="FL13" s="551"/>
      <c r="FM13" s="752">
        <f t="shared" ref="FM13:FM100" si="8">SUM(DR13:FL13)</f>
        <v>0</v>
      </c>
      <c r="FN13" s="550"/>
      <c r="FO13" s="551"/>
      <c r="FP13" s="551"/>
      <c r="FQ13" s="551"/>
      <c r="FR13" s="551"/>
      <c r="FS13" s="551"/>
      <c r="FT13" s="551"/>
      <c r="FU13" s="551"/>
      <c r="FV13" s="551"/>
      <c r="FW13" s="551"/>
      <c r="FX13" s="551"/>
      <c r="FY13" s="551"/>
      <c r="FZ13" s="551"/>
      <c r="GA13" s="551"/>
      <c r="GB13" s="551"/>
      <c r="GC13" s="551">
        <f t="shared" si="2"/>
        <v>0</v>
      </c>
      <c r="GD13" s="551"/>
      <c r="GE13" s="551"/>
      <c r="GF13" s="551"/>
      <c r="GG13" s="551"/>
      <c r="GH13" s="551"/>
      <c r="GI13" s="551"/>
      <c r="GJ13" s="551"/>
      <c r="GK13" s="551"/>
      <c r="GL13" s="551"/>
      <c r="GM13" s="551"/>
      <c r="GN13" s="551"/>
      <c r="GO13" s="551"/>
      <c r="GP13" s="551"/>
      <c r="GQ13" s="551"/>
      <c r="GR13" s="551"/>
      <c r="GS13" s="551">
        <f t="shared" si="3"/>
        <v>0</v>
      </c>
      <c r="GT13" s="551"/>
      <c r="GU13" s="551"/>
      <c r="GV13" s="551"/>
      <c r="GW13" s="551"/>
      <c r="GX13" s="551"/>
      <c r="GY13" s="551"/>
      <c r="GZ13" s="551"/>
      <c r="HA13" s="551"/>
      <c r="HB13" s="551"/>
      <c r="HC13" s="551"/>
      <c r="HD13" s="544">
        <f>+GT13+GU13+GV13+GW13+GX13+GY13+GZ13+HA13+HB13+HC13</f>
        <v>0</v>
      </c>
      <c r="HE13" s="544">
        <f>HD13+D13+BQ13-DQ13-FM13-GC13+GS13</f>
        <v>0</v>
      </c>
      <c r="HF13" s="544">
        <v>2</v>
      </c>
      <c r="HG13" s="544">
        <f>-HE13+HF13</f>
        <v>2</v>
      </c>
      <c r="HH13" s="773"/>
      <c r="HI13" s="793">
        <f t="shared" si="5"/>
        <v>0</v>
      </c>
      <c r="HJ13" s="794">
        <f t="shared" ref="HJ13:HJ46" si="9">+HI13-HE13</f>
        <v>0</v>
      </c>
      <c r="HK13" s="795"/>
    </row>
    <row r="14" spans="1:237" ht="15.75" hidden="1" customHeight="1">
      <c r="B14" s="499" t="s">
        <v>231</v>
      </c>
      <c r="C14" s="505" t="s">
        <v>232</v>
      </c>
      <c r="D14" s="501"/>
      <c r="E14" s="502"/>
      <c r="F14" s="503"/>
      <c r="G14" s="503"/>
      <c r="H14" s="503"/>
      <c r="I14" s="503"/>
      <c r="J14" s="503"/>
      <c r="K14" s="503"/>
      <c r="L14" s="503"/>
      <c r="M14" s="503"/>
      <c r="N14" s="503"/>
      <c r="O14" s="503"/>
      <c r="P14" s="503"/>
      <c r="Q14" s="503"/>
      <c r="R14" s="503"/>
      <c r="S14" s="503"/>
      <c r="T14" s="503"/>
      <c r="U14" s="503"/>
      <c r="V14" s="503"/>
      <c r="W14" s="503"/>
      <c r="X14" s="503"/>
      <c r="Y14" s="503"/>
      <c r="Z14" s="503"/>
      <c r="AA14" s="503"/>
      <c r="AB14" s="503"/>
      <c r="AC14" s="503"/>
      <c r="AD14" s="503"/>
      <c r="AE14" s="503"/>
      <c r="AF14" s="503"/>
      <c r="AG14" s="503"/>
      <c r="AH14" s="503"/>
      <c r="AI14" s="503"/>
      <c r="AJ14" s="503"/>
      <c r="AK14" s="503"/>
      <c r="AL14" s="503"/>
      <c r="AM14" s="503"/>
      <c r="AN14" s="503"/>
      <c r="AO14" s="503"/>
      <c r="AP14" s="503"/>
      <c r="AQ14" s="503"/>
      <c r="AR14" s="503"/>
      <c r="AS14" s="503"/>
      <c r="AT14" s="503"/>
      <c r="AU14" s="503"/>
      <c r="AV14" s="503"/>
      <c r="AW14" s="503"/>
      <c r="AX14" s="503"/>
      <c r="AY14" s="503"/>
      <c r="AZ14" s="503"/>
      <c r="BA14" s="503"/>
      <c r="BB14" s="503"/>
      <c r="BC14" s="503"/>
      <c r="BD14" s="503"/>
      <c r="BE14" s="503"/>
      <c r="BF14" s="503"/>
      <c r="BG14" s="503"/>
      <c r="BH14" s="503"/>
      <c r="BI14" s="503"/>
      <c r="BJ14" s="503"/>
      <c r="BK14" s="503"/>
      <c r="BL14" s="503"/>
      <c r="BM14" s="503"/>
      <c r="BN14" s="503"/>
      <c r="BO14" s="503"/>
      <c r="BP14" s="597"/>
      <c r="BQ14" s="598">
        <f t="shared" si="0"/>
        <v>0</v>
      </c>
      <c r="BR14" s="550"/>
      <c r="BS14" s="551"/>
      <c r="BT14" s="551"/>
      <c r="BU14" s="551"/>
      <c r="BV14" s="551"/>
      <c r="BW14" s="551"/>
      <c r="BX14" s="551"/>
      <c r="BY14" s="551"/>
      <c r="BZ14" s="551"/>
      <c r="CA14" s="551"/>
      <c r="CB14" s="551"/>
      <c r="CC14" s="551"/>
      <c r="CD14" s="551"/>
      <c r="CE14" s="551"/>
      <c r="CF14" s="551"/>
      <c r="CG14" s="551"/>
      <c r="CH14" s="551"/>
      <c r="CI14" s="551"/>
      <c r="CJ14" s="551"/>
      <c r="CK14" s="551"/>
      <c r="CL14" s="551"/>
      <c r="CM14" s="551"/>
      <c r="CN14" s="551"/>
      <c r="CO14" s="551"/>
      <c r="CP14" s="551"/>
      <c r="CQ14" s="661">
        <f t="shared" si="6"/>
        <v>0</v>
      </c>
      <c r="CR14" s="551"/>
      <c r="CS14" s="534"/>
      <c r="CT14" s="534"/>
      <c r="CU14" s="534"/>
      <c r="CV14" s="534"/>
      <c r="CW14" s="551"/>
      <c r="CX14" s="551"/>
      <c r="CY14" s="551"/>
      <c r="CZ14" s="677"/>
      <c r="DA14" s="551"/>
      <c r="DB14" s="551"/>
      <c r="DC14" s="551"/>
      <c r="DD14" s="707"/>
      <c r="DE14" s="551"/>
      <c r="DF14" s="551"/>
      <c r="DG14" s="551"/>
      <c r="DH14" s="551"/>
      <c r="DI14" s="551"/>
      <c r="DJ14" s="551"/>
      <c r="DK14" s="551"/>
      <c r="DL14" s="551"/>
      <c r="DM14" s="551"/>
      <c r="DN14" s="551"/>
      <c r="DO14" s="718"/>
      <c r="DP14" s="719">
        <f t="shared" si="1"/>
        <v>0</v>
      </c>
      <c r="DQ14" s="727">
        <f t="shared" si="7"/>
        <v>0</v>
      </c>
      <c r="DR14" s="551"/>
      <c r="DS14" s="551"/>
      <c r="DT14" s="551"/>
      <c r="DU14" s="551"/>
      <c r="DV14" s="551"/>
      <c r="DW14" s="551"/>
      <c r="DX14" s="551"/>
      <c r="DY14" s="551"/>
      <c r="DZ14" s="551"/>
      <c r="EA14" s="551"/>
      <c r="EB14" s="551"/>
      <c r="EC14" s="551"/>
      <c r="ED14" s="551"/>
      <c r="EE14" s="551"/>
      <c r="EF14" s="551"/>
      <c r="EG14" s="551"/>
      <c r="EH14" s="551"/>
      <c r="EI14" s="551"/>
      <c r="EJ14" s="551"/>
      <c r="EK14" s="551"/>
      <c r="EL14" s="551"/>
      <c r="EM14" s="551"/>
      <c r="EN14" s="551"/>
      <c r="EO14" s="551"/>
      <c r="EP14" s="551"/>
      <c r="EQ14" s="551"/>
      <c r="ER14" s="551"/>
      <c r="ES14" s="551"/>
      <c r="ET14" s="551"/>
      <c r="EU14" s="551"/>
      <c r="EV14" s="551"/>
      <c r="EW14" s="551"/>
      <c r="EX14" s="551"/>
      <c r="EY14" s="551"/>
      <c r="EZ14" s="551"/>
      <c r="FA14" s="551"/>
      <c r="FB14" s="551"/>
      <c r="FC14" s="551"/>
      <c r="FD14" s="551"/>
      <c r="FE14" s="551"/>
      <c r="FF14" s="551"/>
      <c r="FG14" s="551"/>
      <c r="FH14" s="551"/>
      <c r="FI14" s="551"/>
      <c r="FJ14" s="551"/>
      <c r="FK14" s="551"/>
      <c r="FL14" s="551"/>
      <c r="FM14" s="752">
        <f t="shared" si="8"/>
        <v>0</v>
      </c>
      <c r="FN14" s="550"/>
      <c r="FO14" s="551"/>
      <c r="FP14" s="551"/>
      <c r="FQ14" s="551"/>
      <c r="FR14" s="551"/>
      <c r="FS14" s="551"/>
      <c r="FT14" s="551"/>
      <c r="FU14" s="551"/>
      <c r="FV14" s="551"/>
      <c r="FW14" s="551"/>
      <c r="FX14" s="551"/>
      <c r="FY14" s="551"/>
      <c r="FZ14" s="551"/>
      <c r="GA14" s="551"/>
      <c r="GB14" s="551"/>
      <c r="GC14" s="551">
        <f t="shared" si="2"/>
        <v>0</v>
      </c>
      <c r="GD14" s="551"/>
      <c r="GE14" s="551"/>
      <c r="GF14" s="551"/>
      <c r="GG14" s="551"/>
      <c r="GH14" s="551"/>
      <c r="GI14" s="551"/>
      <c r="GJ14" s="551"/>
      <c r="GK14" s="551"/>
      <c r="GL14" s="551"/>
      <c r="GM14" s="551"/>
      <c r="GN14" s="551"/>
      <c r="GO14" s="551"/>
      <c r="GP14" s="551"/>
      <c r="GQ14" s="551"/>
      <c r="GR14" s="551"/>
      <c r="GS14" s="551">
        <f t="shared" si="3"/>
        <v>0</v>
      </c>
      <c r="GT14" s="551"/>
      <c r="GU14" s="551"/>
      <c r="GV14" s="551"/>
      <c r="GW14" s="551"/>
      <c r="GX14" s="551"/>
      <c r="GY14" s="551"/>
      <c r="GZ14" s="551"/>
      <c r="HA14" s="551"/>
      <c r="HB14" s="551"/>
      <c r="HC14" s="551"/>
      <c r="HD14" s="551">
        <f t="shared" ref="HD14:HD47" si="10">+GT14+GU14+GV14+GW14+GX14+GY14+GZ14+HA14+HB14+HC14</f>
        <v>0</v>
      </c>
      <c r="HE14" s="551">
        <f t="shared" ref="HE14:HE47" si="11">HD14+D14+BQ14-DQ14-FM14-GC14+GS14</f>
        <v>0</v>
      </c>
      <c r="HF14" s="551">
        <v>0</v>
      </c>
      <c r="HG14" s="551">
        <f t="shared" si="4"/>
        <v>0</v>
      </c>
      <c r="HH14" s="773"/>
      <c r="HI14" s="793">
        <f t="shared" si="5"/>
        <v>0</v>
      </c>
      <c r="HJ14" s="794">
        <f t="shared" si="9"/>
        <v>0</v>
      </c>
      <c r="HK14" s="796"/>
      <c r="IA14" s="825"/>
      <c r="IB14" s="825"/>
      <c r="IC14" s="825"/>
    </row>
    <row r="15" spans="1:237" ht="15.75" hidden="1" customHeight="1">
      <c r="B15" s="499" t="s">
        <v>233</v>
      </c>
      <c r="C15" s="505" t="s">
        <v>234</v>
      </c>
      <c r="D15" s="501">
        <v>12220</v>
      </c>
      <c r="E15" s="502"/>
      <c r="F15" s="503"/>
      <c r="G15" s="503"/>
      <c r="H15" s="503"/>
      <c r="I15" s="503"/>
      <c r="J15" s="503"/>
      <c r="K15" s="503"/>
      <c r="L15" s="503"/>
      <c r="M15" s="503"/>
      <c r="N15" s="503"/>
      <c r="O15" s="503"/>
      <c r="P15" s="503"/>
      <c r="Q15" s="503"/>
      <c r="R15" s="503"/>
      <c r="S15" s="503"/>
      <c r="T15" s="503"/>
      <c r="U15" s="503"/>
      <c r="V15" s="503"/>
      <c r="W15" s="503"/>
      <c r="X15" s="503"/>
      <c r="Y15" s="503"/>
      <c r="Z15" s="503"/>
      <c r="AA15" s="503"/>
      <c r="AB15" s="503">
        <v>5405</v>
      </c>
      <c r="AC15" s="503"/>
      <c r="AD15" s="503"/>
      <c r="AE15" s="503"/>
      <c r="AF15" s="503"/>
      <c r="AG15" s="503"/>
      <c r="AH15" s="503"/>
      <c r="AI15" s="503"/>
      <c r="AJ15" s="503"/>
      <c r="AK15" s="503"/>
      <c r="AL15" s="503"/>
      <c r="AM15" s="503"/>
      <c r="AN15" s="503"/>
      <c r="AO15" s="503"/>
      <c r="AP15" s="503"/>
      <c r="AQ15" s="503"/>
      <c r="AR15" s="503"/>
      <c r="AS15" s="503"/>
      <c r="AT15" s="503"/>
      <c r="AU15" s="503"/>
      <c r="AV15" s="503"/>
      <c r="AW15" s="503"/>
      <c r="AX15" s="503"/>
      <c r="AY15" s="503"/>
      <c r="AZ15" s="503"/>
      <c r="BA15" s="503"/>
      <c r="BB15" s="503"/>
      <c r="BC15" s="503"/>
      <c r="BD15" s="503"/>
      <c r="BE15" s="503"/>
      <c r="BF15" s="503"/>
      <c r="BG15" s="503"/>
      <c r="BH15" s="503"/>
      <c r="BI15" s="503"/>
      <c r="BJ15" s="503"/>
      <c r="BK15" s="503"/>
      <c r="BL15" s="503"/>
      <c r="BM15" s="503"/>
      <c r="BN15" s="503"/>
      <c r="BO15" s="503"/>
      <c r="BP15" s="597"/>
      <c r="BQ15" s="598">
        <f t="shared" si="0"/>
        <v>5405</v>
      </c>
      <c r="BR15" s="550">
        <v>470</v>
      </c>
      <c r="BS15" s="551"/>
      <c r="BT15" s="551"/>
      <c r="BU15" s="551"/>
      <c r="BV15" s="551"/>
      <c r="BW15" s="551"/>
      <c r="BX15" s="551"/>
      <c r="BY15" s="551"/>
      <c r="BZ15" s="551"/>
      <c r="CA15" s="551"/>
      <c r="CB15" s="551"/>
      <c r="CC15" s="551"/>
      <c r="CD15" s="551"/>
      <c r="CE15" s="551"/>
      <c r="CF15" s="551"/>
      <c r="CG15" s="551"/>
      <c r="CH15" s="551"/>
      <c r="CI15" s="551"/>
      <c r="CJ15" s="551"/>
      <c r="CK15" s="551"/>
      <c r="CL15" s="551"/>
      <c r="CM15" s="551"/>
      <c r="CN15" s="551"/>
      <c r="CO15" s="551"/>
      <c r="CP15" s="551"/>
      <c r="CQ15" s="661">
        <f t="shared" si="6"/>
        <v>470</v>
      </c>
      <c r="CR15" s="551"/>
      <c r="CS15" s="534"/>
      <c r="CT15" s="534"/>
      <c r="CU15" s="534"/>
      <c r="CV15" s="534"/>
      <c r="CW15" s="551"/>
      <c r="CX15" s="551"/>
      <c r="CY15" s="551"/>
      <c r="CZ15" s="677"/>
      <c r="DA15" s="551"/>
      <c r="DB15" s="551"/>
      <c r="DC15" s="551"/>
      <c r="DD15" s="707"/>
      <c r="DE15" s="551"/>
      <c r="DF15" s="551"/>
      <c r="DG15" s="551"/>
      <c r="DH15" s="551"/>
      <c r="DI15" s="551"/>
      <c r="DJ15" s="551"/>
      <c r="DK15" s="551"/>
      <c r="DL15" s="551"/>
      <c r="DM15" s="551"/>
      <c r="DN15" s="551"/>
      <c r="DO15" s="718"/>
      <c r="DP15" s="719">
        <f t="shared" si="1"/>
        <v>0</v>
      </c>
      <c r="DQ15" s="727">
        <f t="shared" si="7"/>
        <v>470</v>
      </c>
      <c r="DR15" s="551"/>
      <c r="DS15" s="551"/>
      <c r="DT15" s="551"/>
      <c r="DU15" s="551"/>
      <c r="DV15" s="551"/>
      <c r="DW15" s="551"/>
      <c r="DX15" s="551"/>
      <c r="DY15" s="551"/>
      <c r="DZ15" s="551"/>
      <c r="EA15" s="551"/>
      <c r="EB15" s="551"/>
      <c r="EC15" s="551"/>
      <c r="ED15" s="551"/>
      <c r="EE15" s="551"/>
      <c r="EF15" s="551"/>
      <c r="EG15" s="551"/>
      <c r="EH15" s="551"/>
      <c r="EI15" s="551"/>
      <c r="EJ15" s="551"/>
      <c r="EK15" s="551"/>
      <c r="EL15" s="551"/>
      <c r="EM15" s="551"/>
      <c r="EN15" s="551"/>
      <c r="EO15" s="551"/>
      <c r="EP15" s="551"/>
      <c r="EQ15" s="551"/>
      <c r="ER15" s="551"/>
      <c r="ES15" s="551"/>
      <c r="ET15" s="551"/>
      <c r="EU15" s="551"/>
      <c r="EV15" s="551"/>
      <c r="EW15" s="551"/>
      <c r="EX15" s="551"/>
      <c r="EY15" s="551"/>
      <c r="EZ15" s="551"/>
      <c r="FA15" s="551"/>
      <c r="FB15" s="551"/>
      <c r="FC15" s="551"/>
      <c r="FD15" s="551"/>
      <c r="FE15" s="551"/>
      <c r="FF15" s="551"/>
      <c r="FG15" s="551"/>
      <c r="FH15" s="551"/>
      <c r="FI15" s="551"/>
      <c r="FJ15" s="551"/>
      <c r="FK15" s="551"/>
      <c r="FL15" s="551"/>
      <c r="FM15" s="752">
        <f t="shared" si="8"/>
        <v>0</v>
      </c>
      <c r="FN15" s="550"/>
      <c r="FO15" s="551"/>
      <c r="FP15" s="551"/>
      <c r="FQ15" s="551"/>
      <c r="FR15" s="551"/>
      <c r="FS15" s="551"/>
      <c r="FT15" s="551"/>
      <c r="FU15" s="551"/>
      <c r="FV15" s="551"/>
      <c r="FW15" s="551"/>
      <c r="FX15" s="551"/>
      <c r="FY15" s="551"/>
      <c r="FZ15" s="551"/>
      <c r="GA15" s="551"/>
      <c r="GB15" s="551"/>
      <c r="GC15" s="551">
        <f t="shared" si="2"/>
        <v>0</v>
      </c>
      <c r="GD15" s="551"/>
      <c r="GE15" s="551"/>
      <c r="GF15" s="551"/>
      <c r="GG15" s="551"/>
      <c r="GH15" s="551"/>
      <c r="GI15" s="551"/>
      <c r="GJ15" s="551"/>
      <c r="GK15" s="551"/>
      <c r="GL15" s="551"/>
      <c r="GM15" s="551"/>
      <c r="GN15" s="551"/>
      <c r="GO15" s="551"/>
      <c r="GP15" s="551"/>
      <c r="GQ15" s="551"/>
      <c r="GR15" s="551"/>
      <c r="GS15" s="551">
        <f t="shared" si="3"/>
        <v>0</v>
      </c>
      <c r="GT15" s="551"/>
      <c r="GU15" s="551"/>
      <c r="GV15" s="551"/>
      <c r="GW15" s="551"/>
      <c r="GX15" s="551"/>
      <c r="GY15" s="551"/>
      <c r="GZ15" s="551"/>
      <c r="HA15" s="551"/>
      <c r="HB15" s="551"/>
      <c r="HC15" s="551"/>
      <c r="HD15" s="551">
        <f t="shared" si="10"/>
        <v>0</v>
      </c>
      <c r="HE15" s="551">
        <f t="shared" si="11"/>
        <v>17155</v>
      </c>
      <c r="HF15" s="551">
        <v>0</v>
      </c>
      <c r="HG15" s="551">
        <f t="shared" si="4"/>
        <v>-17155</v>
      </c>
      <c r="HH15" s="773"/>
      <c r="HI15" s="793">
        <f t="shared" si="5"/>
        <v>0</v>
      </c>
      <c r="HJ15" s="794">
        <f t="shared" si="9"/>
        <v>-17155</v>
      </c>
      <c r="HK15" s="797"/>
      <c r="IA15" s="825"/>
      <c r="IB15" s="825"/>
      <c r="IC15" s="825"/>
    </row>
    <row r="16" spans="1:237" ht="15.75" hidden="1" customHeight="1">
      <c r="B16" s="499" t="s">
        <v>235</v>
      </c>
      <c r="C16" s="505" t="s">
        <v>236</v>
      </c>
      <c r="D16" s="501"/>
      <c r="E16" s="502"/>
      <c r="F16" s="503">
        <f>235*2</f>
        <v>470</v>
      </c>
      <c r="G16" s="503"/>
      <c r="H16" s="503"/>
      <c r="I16" s="503">
        <f>6815+6815</f>
        <v>13630</v>
      </c>
      <c r="J16" s="503"/>
      <c r="K16" s="503"/>
      <c r="L16" s="503"/>
      <c r="M16" s="503"/>
      <c r="N16" s="503"/>
      <c r="O16" s="503"/>
      <c r="P16" s="503">
        <v>6815</v>
      </c>
      <c r="Q16" s="503">
        <v>470</v>
      </c>
      <c r="R16" s="503">
        <v>2115</v>
      </c>
      <c r="S16" s="503"/>
      <c r="T16" s="503"/>
      <c r="U16" s="503">
        <v>705</v>
      </c>
      <c r="V16" s="503"/>
      <c r="W16" s="503"/>
      <c r="X16" s="503"/>
      <c r="Y16" s="503"/>
      <c r="Z16" s="503"/>
      <c r="AA16" s="503"/>
      <c r="AB16" s="503"/>
      <c r="AC16" s="503"/>
      <c r="AD16" s="503"/>
      <c r="AE16" s="503"/>
      <c r="AF16" s="503"/>
      <c r="AG16" s="503"/>
      <c r="AH16" s="503"/>
      <c r="AI16" s="503"/>
      <c r="AJ16" s="503"/>
      <c r="AK16" s="503"/>
      <c r="AL16" s="503"/>
      <c r="AM16" s="503"/>
      <c r="AN16" s="503"/>
      <c r="AO16" s="503"/>
      <c r="AP16" s="503"/>
      <c r="AQ16" s="503"/>
      <c r="AR16" s="503"/>
      <c r="AS16" s="503"/>
      <c r="AT16" s="503"/>
      <c r="AU16" s="503"/>
      <c r="AV16" s="503"/>
      <c r="AW16" s="503"/>
      <c r="AX16" s="503"/>
      <c r="AY16" s="503"/>
      <c r="AZ16" s="503"/>
      <c r="BA16" s="503"/>
      <c r="BB16" s="503"/>
      <c r="BC16" s="503"/>
      <c r="BD16" s="503"/>
      <c r="BE16" s="503"/>
      <c r="BF16" s="503"/>
      <c r="BG16" s="503"/>
      <c r="BH16" s="503"/>
      <c r="BI16" s="503"/>
      <c r="BJ16" s="503"/>
      <c r="BK16" s="503"/>
      <c r="BL16" s="503"/>
      <c r="BM16" s="503"/>
      <c r="BN16" s="503"/>
      <c r="BO16" s="503"/>
      <c r="BP16" s="597"/>
      <c r="BQ16" s="598">
        <f t="shared" si="0"/>
        <v>24205</v>
      </c>
      <c r="BR16" s="550"/>
      <c r="BS16" s="551">
        <v>117.5</v>
      </c>
      <c r="BT16" s="551"/>
      <c r="BU16" s="551"/>
      <c r="BV16" s="551"/>
      <c r="BW16" s="551"/>
      <c r="BX16" s="551"/>
      <c r="BY16" s="551"/>
      <c r="BZ16" s="551"/>
      <c r="CA16" s="551"/>
      <c r="CB16" s="551"/>
      <c r="CC16" s="551"/>
      <c r="CD16" s="551"/>
      <c r="CE16" s="551"/>
      <c r="CF16" s="551"/>
      <c r="CG16" s="551"/>
      <c r="CH16" s="551"/>
      <c r="CI16" s="551"/>
      <c r="CJ16" s="551"/>
      <c r="CK16" s="551"/>
      <c r="CL16" s="551"/>
      <c r="CM16" s="551"/>
      <c r="CN16" s="551"/>
      <c r="CO16" s="551"/>
      <c r="CP16" s="551"/>
      <c r="CQ16" s="661">
        <f t="shared" si="6"/>
        <v>117.5</v>
      </c>
      <c r="CR16" s="551"/>
      <c r="CS16" s="534"/>
      <c r="CT16" s="534"/>
      <c r="CU16" s="534"/>
      <c r="CV16" s="534"/>
      <c r="CW16" s="551"/>
      <c r="CX16" s="551"/>
      <c r="CY16" s="551"/>
      <c r="CZ16" s="677"/>
      <c r="DA16" s="551"/>
      <c r="DB16" s="551"/>
      <c r="DC16" s="551"/>
      <c r="DD16" s="707"/>
      <c r="DE16" s="551"/>
      <c r="DF16" s="551"/>
      <c r="DG16" s="551"/>
      <c r="DH16" s="551"/>
      <c r="DI16" s="551"/>
      <c r="DJ16" s="551"/>
      <c r="DK16" s="551"/>
      <c r="DL16" s="551"/>
      <c r="DM16" s="551"/>
      <c r="DN16" s="551"/>
      <c r="DO16" s="718"/>
      <c r="DP16" s="719">
        <f t="shared" si="1"/>
        <v>0</v>
      </c>
      <c r="DQ16" s="727">
        <f t="shared" si="7"/>
        <v>117.5</v>
      </c>
      <c r="DR16" s="551"/>
      <c r="DS16" s="551"/>
      <c r="DT16" s="551"/>
      <c r="DU16" s="551"/>
      <c r="DV16" s="551"/>
      <c r="DW16" s="551"/>
      <c r="DX16" s="551"/>
      <c r="DY16" s="551"/>
      <c r="DZ16" s="551"/>
      <c r="EA16" s="551"/>
      <c r="EB16" s="551"/>
      <c r="EC16" s="551"/>
      <c r="ED16" s="551"/>
      <c r="EE16" s="551"/>
      <c r="EF16" s="551"/>
      <c r="EG16" s="551"/>
      <c r="EH16" s="551"/>
      <c r="EI16" s="551"/>
      <c r="EJ16" s="551"/>
      <c r="EK16" s="551"/>
      <c r="EL16" s="551"/>
      <c r="EM16" s="551"/>
      <c r="EN16" s="551"/>
      <c r="EO16" s="551"/>
      <c r="EP16" s="551"/>
      <c r="EQ16" s="551"/>
      <c r="ER16" s="551"/>
      <c r="ES16" s="551"/>
      <c r="ET16" s="551"/>
      <c r="EU16" s="551"/>
      <c r="EV16" s="551"/>
      <c r="EW16" s="551"/>
      <c r="EX16" s="551"/>
      <c r="EY16" s="551"/>
      <c r="EZ16" s="551"/>
      <c r="FA16" s="551"/>
      <c r="FB16" s="551"/>
      <c r="FC16" s="551"/>
      <c r="FD16" s="551"/>
      <c r="FE16" s="551"/>
      <c r="FF16" s="551"/>
      <c r="FG16" s="551"/>
      <c r="FH16" s="551"/>
      <c r="FI16" s="551"/>
      <c r="FJ16" s="551"/>
      <c r="FK16" s="551"/>
      <c r="FL16" s="551"/>
      <c r="FM16" s="752">
        <f t="shared" si="8"/>
        <v>0</v>
      </c>
      <c r="FN16" s="550"/>
      <c r="FO16" s="551"/>
      <c r="FP16" s="551"/>
      <c r="FQ16" s="551"/>
      <c r="FR16" s="551"/>
      <c r="FS16" s="551"/>
      <c r="FT16" s="551"/>
      <c r="FU16" s="551"/>
      <c r="FV16" s="551"/>
      <c r="FW16" s="551"/>
      <c r="FX16" s="551"/>
      <c r="FY16" s="551"/>
      <c r="FZ16" s="551"/>
      <c r="GA16" s="551"/>
      <c r="GB16" s="551"/>
      <c r="GC16" s="551">
        <f t="shared" si="2"/>
        <v>0</v>
      </c>
      <c r="GD16" s="767"/>
      <c r="GE16" s="551"/>
      <c r="GF16" s="551"/>
      <c r="GG16" s="551"/>
      <c r="GH16" s="551"/>
      <c r="GI16" s="551"/>
      <c r="GJ16" s="551"/>
      <c r="GK16" s="551"/>
      <c r="GL16" s="551"/>
      <c r="GM16" s="551"/>
      <c r="GN16" s="551"/>
      <c r="GO16" s="551"/>
      <c r="GP16" s="551"/>
      <c r="GQ16" s="551"/>
      <c r="GR16" s="551"/>
      <c r="GS16" s="551">
        <f t="shared" si="3"/>
        <v>0</v>
      </c>
      <c r="GT16" s="551"/>
      <c r="GU16" s="551"/>
      <c r="GV16" s="551"/>
      <c r="GW16" s="551"/>
      <c r="GX16" s="551"/>
      <c r="GY16" s="551"/>
      <c r="GZ16" s="551"/>
      <c r="HA16" s="551"/>
      <c r="HB16" s="551"/>
      <c r="HC16" s="551"/>
      <c r="HD16" s="551">
        <f t="shared" si="10"/>
        <v>0</v>
      </c>
      <c r="HE16" s="551">
        <f t="shared" si="11"/>
        <v>24087.5</v>
      </c>
      <c r="HF16" s="551">
        <v>0</v>
      </c>
      <c r="HG16" s="551">
        <f t="shared" si="4"/>
        <v>-24087.5</v>
      </c>
      <c r="HH16" s="773"/>
      <c r="HI16" s="793">
        <f t="shared" si="5"/>
        <v>0</v>
      </c>
      <c r="HJ16" s="794">
        <f t="shared" si="9"/>
        <v>-24087.5</v>
      </c>
      <c r="HK16" s="797"/>
      <c r="IA16" s="825"/>
      <c r="IB16" s="825"/>
      <c r="IC16" s="825"/>
    </row>
    <row r="17" spans="2:237" ht="15.75" hidden="1" customHeight="1">
      <c r="B17" s="499" t="s">
        <v>237</v>
      </c>
      <c r="C17" s="505" t="s">
        <v>238</v>
      </c>
      <c r="D17" s="501"/>
      <c r="E17" s="502"/>
      <c r="F17" s="503"/>
      <c r="G17" s="503"/>
      <c r="H17" s="503"/>
      <c r="I17" s="503"/>
      <c r="J17" s="503"/>
      <c r="K17" s="503"/>
      <c r="L17" s="503"/>
      <c r="M17" s="503"/>
      <c r="N17" s="503"/>
      <c r="O17" s="503"/>
      <c r="P17" s="503"/>
      <c r="Q17" s="503"/>
      <c r="R17" s="503"/>
      <c r="S17" s="503"/>
      <c r="T17" s="503"/>
      <c r="U17" s="503"/>
      <c r="V17" s="503"/>
      <c r="W17" s="503"/>
      <c r="X17" s="503"/>
      <c r="Y17" s="503"/>
      <c r="Z17" s="503"/>
      <c r="AA17" s="503"/>
      <c r="AB17" s="503"/>
      <c r="AC17" s="503"/>
      <c r="AD17" s="503"/>
      <c r="AE17" s="503"/>
      <c r="AF17" s="503"/>
      <c r="AG17" s="503"/>
      <c r="AH17" s="503"/>
      <c r="AI17" s="503"/>
      <c r="AJ17" s="503"/>
      <c r="AK17" s="503"/>
      <c r="AL17" s="503"/>
      <c r="AM17" s="503"/>
      <c r="AN17" s="503"/>
      <c r="AO17" s="503"/>
      <c r="AP17" s="503"/>
      <c r="AQ17" s="503"/>
      <c r="AR17" s="503"/>
      <c r="AS17" s="503"/>
      <c r="AT17" s="503"/>
      <c r="AU17" s="503"/>
      <c r="AV17" s="503"/>
      <c r="AW17" s="503"/>
      <c r="AX17" s="503"/>
      <c r="AY17" s="503"/>
      <c r="AZ17" s="503"/>
      <c r="BA17" s="503"/>
      <c r="BB17" s="503"/>
      <c r="BC17" s="503"/>
      <c r="BD17" s="503"/>
      <c r="BE17" s="503"/>
      <c r="BF17" s="503"/>
      <c r="BG17" s="503"/>
      <c r="BH17" s="503"/>
      <c r="BI17" s="503"/>
      <c r="BJ17" s="503"/>
      <c r="BK17" s="503"/>
      <c r="BL17" s="503"/>
      <c r="BM17" s="503"/>
      <c r="BN17" s="503"/>
      <c r="BO17" s="503"/>
      <c r="BP17" s="597"/>
      <c r="BQ17" s="598">
        <f t="shared" si="0"/>
        <v>0</v>
      </c>
      <c r="BR17" s="550"/>
      <c r="BS17" s="551"/>
      <c r="BT17" s="551"/>
      <c r="BU17" s="551"/>
      <c r="BV17" s="551"/>
      <c r="BW17" s="551"/>
      <c r="BX17" s="551"/>
      <c r="BY17" s="551"/>
      <c r="BZ17" s="551"/>
      <c r="CA17" s="551"/>
      <c r="CB17" s="551"/>
      <c r="CC17" s="551"/>
      <c r="CD17" s="551"/>
      <c r="CE17" s="551"/>
      <c r="CF17" s="551"/>
      <c r="CG17" s="551"/>
      <c r="CH17" s="551"/>
      <c r="CI17" s="551"/>
      <c r="CJ17" s="551"/>
      <c r="CK17" s="551"/>
      <c r="CL17" s="551"/>
      <c r="CM17" s="551"/>
      <c r="CN17" s="551"/>
      <c r="CO17" s="551"/>
      <c r="CP17" s="551"/>
      <c r="CQ17" s="661">
        <f t="shared" si="6"/>
        <v>0</v>
      </c>
      <c r="CR17" s="551"/>
      <c r="CS17" s="534"/>
      <c r="CT17" s="534"/>
      <c r="CU17" s="534"/>
      <c r="CV17" s="534"/>
      <c r="CW17" s="551"/>
      <c r="CX17" s="551"/>
      <c r="CY17" s="551"/>
      <c r="CZ17" s="677"/>
      <c r="DA17" s="551"/>
      <c r="DB17" s="551"/>
      <c r="DC17" s="551"/>
      <c r="DD17" s="707"/>
      <c r="DE17" s="551"/>
      <c r="DF17" s="551"/>
      <c r="DG17" s="551"/>
      <c r="DH17" s="551"/>
      <c r="DI17" s="551"/>
      <c r="DJ17" s="551"/>
      <c r="DK17" s="551"/>
      <c r="DL17" s="551"/>
      <c r="DM17" s="551"/>
      <c r="DN17" s="551"/>
      <c r="DO17" s="718"/>
      <c r="DP17" s="719">
        <f t="shared" si="1"/>
        <v>0</v>
      </c>
      <c r="DQ17" s="727">
        <f t="shared" si="7"/>
        <v>0</v>
      </c>
      <c r="DR17" s="551"/>
      <c r="DS17" s="551"/>
      <c r="DT17" s="551"/>
      <c r="DU17" s="551"/>
      <c r="DV17" s="551"/>
      <c r="DW17" s="551"/>
      <c r="DX17" s="551"/>
      <c r="DY17" s="551"/>
      <c r="DZ17" s="551"/>
      <c r="EA17" s="551"/>
      <c r="EB17" s="551"/>
      <c r="EC17" s="551"/>
      <c r="ED17" s="551"/>
      <c r="EE17" s="551"/>
      <c r="EF17" s="551"/>
      <c r="EG17" s="551"/>
      <c r="EH17" s="551"/>
      <c r="EI17" s="551"/>
      <c r="EJ17" s="551"/>
      <c r="EK17" s="551"/>
      <c r="EL17" s="551"/>
      <c r="EM17" s="551"/>
      <c r="EN17" s="551"/>
      <c r="EO17" s="551"/>
      <c r="EP17" s="551"/>
      <c r="EQ17" s="551"/>
      <c r="ER17" s="551"/>
      <c r="ES17" s="551"/>
      <c r="ET17" s="551"/>
      <c r="EU17" s="551"/>
      <c r="EV17" s="551"/>
      <c r="EW17" s="551"/>
      <c r="EX17" s="551"/>
      <c r="EY17" s="551"/>
      <c r="EZ17" s="551"/>
      <c r="FA17" s="551"/>
      <c r="FB17" s="551"/>
      <c r="FC17" s="551"/>
      <c r="FD17" s="551"/>
      <c r="FE17" s="551"/>
      <c r="FF17" s="551"/>
      <c r="FG17" s="551"/>
      <c r="FH17" s="551"/>
      <c r="FI17" s="551"/>
      <c r="FJ17" s="551"/>
      <c r="FK17" s="551"/>
      <c r="FL17" s="551"/>
      <c r="FM17" s="752">
        <f t="shared" si="8"/>
        <v>0</v>
      </c>
      <c r="FN17" s="550"/>
      <c r="FO17" s="551"/>
      <c r="FP17" s="551"/>
      <c r="FQ17" s="551"/>
      <c r="FR17" s="551"/>
      <c r="FS17" s="551"/>
      <c r="FT17" s="551"/>
      <c r="FU17" s="551"/>
      <c r="FV17" s="551"/>
      <c r="FW17" s="551"/>
      <c r="FX17" s="551"/>
      <c r="FY17" s="551"/>
      <c r="FZ17" s="551"/>
      <c r="GA17" s="551"/>
      <c r="GB17" s="551"/>
      <c r="GC17" s="551">
        <f t="shared" si="2"/>
        <v>0</v>
      </c>
      <c r="GD17" s="767"/>
      <c r="GE17" s="551"/>
      <c r="GF17" s="551"/>
      <c r="GG17" s="551"/>
      <c r="GH17" s="551"/>
      <c r="GI17" s="551"/>
      <c r="GJ17" s="551"/>
      <c r="GK17" s="551"/>
      <c r="GL17" s="551"/>
      <c r="GM17" s="551"/>
      <c r="GN17" s="551"/>
      <c r="GO17" s="551"/>
      <c r="GP17" s="551"/>
      <c r="GQ17" s="551"/>
      <c r="GR17" s="551"/>
      <c r="GS17" s="551">
        <f t="shared" si="3"/>
        <v>0</v>
      </c>
      <c r="GT17" s="551"/>
      <c r="GU17" s="551"/>
      <c r="GV17" s="551"/>
      <c r="GW17" s="551"/>
      <c r="GX17" s="551"/>
      <c r="GY17" s="551"/>
      <c r="GZ17" s="551"/>
      <c r="HA17" s="551"/>
      <c r="HB17" s="551"/>
      <c r="HC17" s="551"/>
      <c r="HD17" s="551">
        <f t="shared" si="10"/>
        <v>0</v>
      </c>
      <c r="HE17" s="551">
        <f t="shared" si="11"/>
        <v>0</v>
      </c>
      <c r="HF17" s="551">
        <v>0</v>
      </c>
      <c r="HG17" s="551">
        <f t="shared" si="4"/>
        <v>0</v>
      </c>
      <c r="HH17" s="773"/>
      <c r="HI17" s="793">
        <f t="shared" si="5"/>
        <v>0</v>
      </c>
      <c r="HJ17" s="794">
        <f t="shared" si="9"/>
        <v>0</v>
      </c>
      <c r="HK17" s="797"/>
      <c r="IA17" s="825"/>
      <c r="IB17" s="825"/>
      <c r="IC17" s="825"/>
    </row>
    <row r="18" spans="2:237" ht="15.75" hidden="1" customHeight="1">
      <c r="B18" s="499" t="s">
        <v>239</v>
      </c>
      <c r="C18" s="500" t="s">
        <v>240</v>
      </c>
      <c r="D18" s="501"/>
      <c r="E18" s="502"/>
      <c r="F18" s="503"/>
      <c r="G18" s="503"/>
      <c r="H18" s="503"/>
      <c r="I18" s="503"/>
      <c r="J18" s="503"/>
      <c r="K18" s="503"/>
      <c r="L18" s="503"/>
      <c r="M18" s="503"/>
      <c r="N18" s="503"/>
      <c r="O18" s="503"/>
      <c r="P18" s="503"/>
      <c r="Q18" s="503"/>
      <c r="R18" s="503"/>
      <c r="S18" s="503"/>
      <c r="T18" s="503"/>
      <c r="U18" s="503"/>
      <c r="V18" s="503"/>
      <c r="W18" s="503"/>
      <c r="X18" s="503"/>
      <c r="Y18" s="503"/>
      <c r="Z18" s="503"/>
      <c r="AA18" s="503"/>
      <c r="AB18" s="503"/>
      <c r="AC18" s="503"/>
      <c r="AD18" s="503"/>
      <c r="AE18" s="503"/>
      <c r="AF18" s="503"/>
      <c r="AG18" s="503"/>
      <c r="AH18" s="503"/>
      <c r="AI18" s="503"/>
      <c r="AJ18" s="503"/>
      <c r="AK18" s="503"/>
      <c r="AL18" s="503"/>
      <c r="AM18" s="503"/>
      <c r="AN18" s="503"/>
      <c r="AO18" s="503"/>
      <c r="AP18" s="503"/>
      <c r="AQ18" s="503"/>
      <c r="AR18" s="503"/>
      <c r="AS18" s="503"/>
      <c r="AT18" s="503"/>
      <c r="AU18" s="503"/>
      <c r="AV18" s="503"/>
      <c r="AW18" s="503"/>
      <c r="AX18" s="503"/>
      <c r="AY18" s="503"/>
      <c r="AZ18" s="503"/>
      <c r="BA18" s="503"/>
      <c r="BB18" s="503"/>
      <c r="BC18" s="503"/>
      <c r="BD18" s="503"/>
      <c r="BE18" s="503"/>
      <c r="BF18" s="503"/>
      <c r="BG18" s="503"/>
      <c r="BH18" s="503"/>
      <c r="BI18" s="503"/>
      <c r="BJ18" s="503"/>
      <c r="BK18" s="503"/>
      <c r="BL18" s="503"/>
      <c r="BM18" s="503"/>
      <c r="BN18" s="503"/>
      <c r="BO18" s="503"/>
      <c r="BP18" s="597"/>
      <c r="BQ18" s="598">
        <f t="shared" si="0"/>
        <v>0</v>
      </c>
      <c r="BR18" s="550"/>
      <c r="BS18" s="551"/>
      <c r="BT18" s="551"/>
      <c r="BU18" s="551"/>
      <c r="BV18" s="551"/>
      <c r="BW18" s="551"/>
      <c r="BX18" s="551"/>
      <c r="BY18" s="551"/>
      <c r="BZ18" s="551"/>
      <c r="CA18" s="551"/>
      <c r="CB18" s="551"/>
      <c r="CC18" s="551"/>
      <c r="CD18" s="551"/>
      <c r="CE18" s="551"/>
      <c r="CF18" s="551"/>
      <c r="CG18" s="551"/>
      <c r="CH18" s="551"/>
      <c r="CI18" s="551"/>
      <c r="CJ18" s="551"/>
      <c r="CK18" s="551"/>
      <c r="CL18" s="551"/>
      <c r="CM18" s="551"/>
      <c r="CN18" s="551"/>
      <c r="CO18" s="551"/>
      <c r="CP18" s="551"/>
      <c r="CQ18" s="661">
        <f t="shared" si="6"/>
        <v>0</v>
      </c>
      <c r="CR18" s="551"/>
      <c r="CS18" s="534"/>
      <c r="CT18" s="534"/>
      <c r="CU18" s="534"/>
      <c r="CV18" s="534"/>
      <c r="CW18" s="551"/>
      <c r="CX18" s="551"/>
      <c r="CY18" s="551"/>
      <c r="CZ18" s="677"/>
      <c r="DA18" s="551"/>
      <c r="DB18" s="551"/>
      <c r="DC18" s="551"/>
      <c r="DD18" s="707"/>
      <c r="DE18" s="551"/>
      <c r="DF18" s="551"/>
      <c r="DG18" s="551"/>
      <c r="DH18" s="551"/>
      <c r="DI18" s="551"/>
      <c r="DJ18" s="551"/>
      <c r="DK18" s="551"/>
      <c r="DL18" s="551"/>
      <c r="DM18" s="551"/>
      <c r="DN18" s="551"/>
      <c r="DO18" s="718"/>
      <c r="DP18" s="719">
        <f t="shared" si="1"/>
        <v>0</v>
      </c>
      <c r="DQ18" s="727">
        <f t="shared" si="7"/>
        <v>0</v>
      </c>
      <c r="DR18" s="551"/>
      <c r="DS18" s="551"/>
      <c r="DT18" s="551"/>
      <c r="DU18" s="551"/>
      <c r="DV18" s="551"/>
      <c r="DW18" s="551"/>
      <c r="DX18" s="551"/>
      <c r="DY18" s="551"/>
      <c r="DZ18" s="551"/>
      <c r="EA18" s="551"/>
      <c r="EB18" s="551"/>
      <c r="EC18" s="551"/>
      <c r="ED18" s="551"/>
      <c r="EE18" s="551"/>
      <c r="EF18" s="551"/>
      <c r="EG18" s="551"/>
      <c r="EH18" s="551"/>
      <c r="EI18" s="551"/>
      <c r="EJ18" s="551"/>
      <c r="EK18" s="551"/>
      <c r="EL18" s="551"/>
      <c r="EM18" s="551"/>
      <c r="EN18" s="551"/>
      <c r="EO18" s="551"/>
      <c r="EP18" s="551"/>
      <c r="EQ18" s="551"/>
      <c r="ER18" s="551"/>
      <c r="ES18" s="551"/>
      <c r="ET18" s="551"/>
      <c r="EU18" s="551"/>
      <c r="EV18" s="551"/>
      <c r="EW18" s="551"/>
      <c r="EX18" s="551"/>
      <c r="EY18" s="551"/>
      <c r="EZ18" s="551"/>
      <c r="FA18" s="551"/>
      <c r="FB18" s="551"/>
      <c r="FC18" s="551"/>
      <c r="FD18" s="551"/>
      <c r="FE18" s="551"/>
      <c r="FF18" s="551"/>
      <c r="FG18" s="551"/>
      <c r="FH18" s="551"/>
      <c r="FI18" s="551"/>
      <c r="FJ18" s="551"/>
      <c r="FK18" s="551"/>
      <c r="FL18" s="551"/>
      <c r="FM18" s="752">
        <f t="shared" si="8"/>
        <v>0</v>
      </c>
      <c r="FN18" s="550"/>
      <c r="FO18" s="551"/>
      <c r="FP18" s="551"/>
      <c r="FQ18" s="551"/>
      <c r="FR18" s="551"/>
      <c r="FS18" s="551"/>
      <c r="FT18" s="551"/>
      <c r="FU18" s="551"/>
      <c r="FV18" s="551"/>
      <c r="FW18" s="551"/>
      <c r="FX18" s="551"/>
      <c r="FY18" s="551"/>
      <c r="FZ18" s="551"/>
      <c r="GA18" s="551"/>
      <c r="GB18" s="551"/>
      <c r="GC18" s="551">
        <f t="shared" si="2"/>
        <v>0</v>
      </c>
      <c r="GD18" s="767"/>
      <c r="GE18" s="551"/>
      <c r="GF18" s="551"/>
      <c r="GG18" s="551"/>
      <c r="GH18" s="551"/>
      <c r="GI18" s="551"/>
      <c r="GJ18" s="551"/>
      <c r="GK18" s="551"/>
      <c r="GL18" s="551"/>
      <c r="GM18" s="551"/>
      <c r="GN18" s="551"/>
      <c r="GO18" s="551"/>
      <c r="GP18" s="551"/>
      <c r="GQ18" s="551"/>
      <c r="GR18" s="551"/>
      <c r="GS18" s="551">
        <f t="shared" si="3"/>
        <v>0</v>
      </c>
      <c r="GT18" s="551"/>
      <c r="GU18" s="551"/>
      <c r="GV18" s="551"/>
      <c r="GW18" s="551"/>
      <c r="GX18" s="551"/>
      <c r="GY18" s="551"/>
      <c r="GZ18" s="551"/>
      <c r="HA18" s="551"/>
      <c r="HB18" s="551"/>
      <c r="HC18" s="551"/>
      <c r="HD18" s="551">
        <f t="shared" si="10"/>
        <v>0</v>
      </c>
      <c r="HE18" s="551">
        <f t="shared" si="11"/>
        <v>0</v>
      </c>
      <c r="HF18" s="551">
        <v>0</v>
      </c>
      <c r="HG18" s="551">
        <f t="shared" si="4"/>
        <v>0</v>
      </c>
      <c r="HH18" s="773"/>
      <c r="HI18" s="793">
        <f t="shared" si="5"/>
        <v>0</v>
      </c>
      <c r="HJ18" s="794">
        <f t="shared" si="9"/>
        <v>0</v>
      </c>
      <c r="HK18" s="797"/>
      <c r="IA18" s="825"/>
      <c r="IB18" s="825"/>
      <c r="IC18" s="825"/>
    </row>
    <row r="19" spans="2:237" ht="15.75" hidden="1" customHeight="1">
      <c r="B19" s="499"/>
      <c r="C19" s="500" t="s">
        <v>241</v>
      </c>
      <c r="D19" s="501"/>
      <c r="E19" s="502"/>
      <c r="F19" s="503"/>
      <c r="G19" s="503"/>
      <c r="H19" s="503"/>
      <c r="I19" s="503"/>
      <c r="J19" s="503"/>
      <c r="K19" s="503"/>
      <c r="L19" s="503"/>
      <c r="M19" s="503"/>
      <c r="N19" s="503"/>
      <c r="O19" s="503"/>
      <c r="P19" s="503"/>
      <c r="Q19" s="503"/>
      <c r="R19" s="503"/>
      <c r="S19" s="503"/>
      <c r="T19" s="503"/>
      <c r="U19" s="503"/>
      <c r="V19" s="503"/>
      <c r="W19" s="503"/>
      <c r="X19" s="503"/>
      <c r="Y19" s="503"/>
      <c r="Z19" s="503"/>
      <c r="AA19" s="503"/>
      <c r="AB19" s="503"/>
      <c r="AC19" s="503"/>
      <c r="AD19" s="503"/>
      <c r="AE19" s="503"/>
      <c r="AF19" s="503"/>
      <c r="AG19" s="503"/>
      <c r="AH19" s="503"/>
      <c r="AI19" s="503"/>
      <c r="AJ19" s="503"/>
      <c r="AK19" s="503"/>
      <c r="AL19" s="503"/>
      <c r="AM19" s="503"/>
      <c r="AN19" s="503"/>
      <c r="AO19" s="503"/>
      <c r="AP19" s="503"/>
      <c r="AQ19" s="503"/>
      <c r="AR19" s="503"/>
      <c r="AS19" s="503"/>
      <c r="AT19" s="503"/>
      <c r="AU19" s="503"/>
      <c r="AV19" s="503"/>
      <c r="AW19" s="503"/>
      <c r="AX19" s="503"/>
      <c r="AY19" s="503"/>
      <c r="AZ19" s="503"/>
      <c r="BA19" s="503"/>
      <c r="BB19" s="503"/>
      <c r="BC19" s="503"/>
      <c r="BD19" s="503"/>
      <c r="BE19" s="503"/>
      <c r="BF19" s="503"/>
      <c r="BG19" s="503"/>
      <c r="BH19" s="503"/>
      <c r="BI19" s="503"/>
      <c r="BJ19" s="503"/>
      <c r="BK19" s="503"/>
      <c r="BL19" s="503"/>
      <c r="BM19" s="503"/>
      <c r="BN19" s="503"/>
      <c r="BO19" s="503"/>
      <c r="BP19" s="597"/>
      <c r="BQ19" s="598">
        <f t="shared" si="0"/>
        <v>0</v>
      </c>
      <c r="BR19" s="550"/>
      <c r="BS19" s="551"/>
      <c r="BT19" s="551"/>
      <c r="BU19" s="551"/>
      <c r="BV19" s="551"/>
      <c r="BW19" s="551"/>
      <c r="BX19" s="551"/>
      <c r="BY19" s="551"/>
      <c r="BZ19" s="551"/>
      <c r="CA19" s="551"/>
      <c r="CB19" s="551"/>
      <c r="CC19" s="551"/>
      <c r="CD19" s="551"/>
      <c r="CE19" s="551"/>
      <c r="CF19" s="551"/>
      <c r="CG19" s="551"/>
      <c r="CH19" s="551"/>
      <c r="CI19" s="551"/>
      <c r="CJ19" s="551"/>
      <c r="CK19" s="551"/>
      <c r="CL19" s="551"/>
      <c r="CM19" s="551"/>
      <c r="CN19" s="551"/>
      <c r="CO19" s="551"/>
      <c r="CP19" s="551"/>
      <c r="CQ19" s="661">
        <f t="shared" si="6"/>
        <v>0</v>
      </c>
      <c r="CR19" s="551"/>
      <c r="CS19" s="534"/>
      <c r="CT19" s="534"/>
      <c r="CU19" s="534"/>
      <c r="CV19" s="534"/>
      <c r="CW19" s="551"/>
      <c r="CX19" s="551"/>
      <c r="CY19" s="551"/>
      <c r="CZ19" s="677"/>
      <c r="DA19" s="551"/>
      <c r="DB19" s="551"/>
      <c r="DC19" s="551"/>
      <c r="DD19" s="707"/>
      <c r="DE19" s="551"/>
      <c r="DF19" s="551"/>
      <c r="DG19" s="551"/>
      <c r="DH19" s="551"/>
      <c r="DI19" s="551"/>
      <c r="DJ19" s="551"/>
      <c r="DK19" s="551"/>
      <c r="DL19" s="551"/>
      <c r="DM19" s="551"/>
      <c r="DN19" s="551"/>
      <c r="DO19" s="718"/>
      <c r="DP19" s="719">
        <f t="shared" si="1"/>
        <v>0</v>
      </c>
      <c r="DQ19" s="727">
        <f t="shared" si="7"/>
        <v>0</v>
      </c>
      <c r="DR19" s="551"/>
      <c r="DS19" s="551"/>
      <c r="DT19" s="551"/>
      <c r="DU19" s="551"/>
      <c r="DV19" s="551"/>
      <c r="DW19" s="551"/>
      <c r="DX19" s="551"/>
      <c r="DY19" s="551"/>
      <c r="DZ19" s="551"/>
      <c r="EA19" s="551"/>
      <c r="EB19" s="551"/>
      <c r="EC19" s="551"/>
      <c r="ED19" s="551"/>
      <c r="EE19" s="551"/>
      <c r="EF19" s="551"/>
      <c r="EG19" s="551"/>
      <c r="EH19" s="551"/>
      <c r="EI19" s="551"/>
      <c r="EJ19" s="551"/>
      <c r="EK19" s="551"/>
      <c r="EL19" s="551"/>
      <c r="EM19" s="551"/>
      <c r="EN19" s="551"/>
      <c r="EO19" s="551"/>
      <c r="EP19" s="551"/>
      <c r="EQ19" s="551"/>
      <c r="ER19" s="551"/>
      <c r="ES19" s="551"/>
      <c r="ET19" s="551"/>
      <c r="EU19" s="551"/>
      <c r="EV19" s="551"/>
      <c r="EW19" s="551"/>
      <c r="EX19" s="551"/>
      <c r="EY19" s="551"/>
      <c r="EZ19" s="551"/>
      <c r="FA19" s="551"/>
      <c r="FB19" s="551"/>
      <c r="FC19" s="551"/>
      <c r="FD19" s="551"/>
      <c r="FE19" s="551"/>
      <c r="FF19" s="551"/>
      <c r="FG19" s="551"/>
      <c r="FH19" s="551"/>
      <c r="FI19" s="551"/>
      <c r="FJ19" s="551"/>
      <c r="FK19" s="551"/>
      <c r="FL19" s="551"/>
      <c r="FM19" s="752">
        <f t="shared" si="8"/>
        <v>0</v>
      </c>
      <c r="FN19" s="550"/>
      <c r="FO19" s="551"/>
      <c r="FP19" s="551"/>
      <c r="FQ19" s="551"/>
      <c r="FR19" s="551"/>
      <c r="FS19" s="551"/>
      <c r="FT19" s="551"/>
      <c r="FU19" s="551"/>
      <c r="FV19" s="551"/>
      <c r="FW19" s="551"/>
      <c r="FX19" s="551"/>
      <c r="FY19" s="551"/>
      <c r="FZ19" s="551"/>
      <c r="GA19" s="551"/>
      <c r="GB19" s="551"/>
      <c r="GC19" s="551">
        <f t="shared" si="2"/>
        <v>0</v>
      </c>
      <c r="GD19" s="767"/>
      <c r="GE19" s="551"/>
      <c r="GF19" s="551"/>
      <c r="GG19" s="551"/>
      <c r="GH19" s="551"/>
      <c r="GI19" s="551"/>
      <c r="GJ19" s="551"/>
      <c r="GK19" s="551"/>
      <c r="GL19" s="551"/>
      <c r="GM19" s="551"/>
      <c r="GN19" s="551"/>
      <c r="GO19" s="551"/>
      <c r="GP19" s="551"/>
      <c r="GQ19" s="551"/>
      <c r="GR19" s="551"/>
      <c r="GS19" s="551">
        <f t="shared" si="3"/>
        <v>0</v>
      </c>
      <c r="GT19" s="551"/>
      <c r="GU19" s="551"/>
      <c r="GV19" s="551"/>
      <c r="GW19" s="551"/>
      <c r="GX19" s="551"/>
      <c r="GY19" s="551"/>
      <c r="GZ19" s="551"/>
      <c r="HA19" s="551"/>
      <c r="HB19" s="551"/>
      <c r="HC19" s="551"/>
      <c r="HD19" s="551">
        <f t="shared" si="10"/>
        <v>0</v>
      </c>
      <c r="HE19" s="551">
        <f t="shared" si="11"/>
        <v>0</v>
      </c>
      <c r="HF19" s="551">
        <v>0</v>
      </c>
      <c r="HG19" s="551">
        <f t="shared" si="4"/>
        <v>0</v>
      </c>
      <c r="HH19" s="773"/>
      <c r="HI19" s="793">
        <f t="shared" si="5"/>
        <v>0</v>
      </c>
      <c r="HJ19" s="794">
        <f t="shared" si="9"/>
        <v>0</v>
      </c>
      <c r="HK19" s="797"/>
      <c r="IA19" s="825"/>
      <c r="IB19" s="825"/>
      <c r="IC19" s="825"/>
    </row>
    <row r="20" spans="2:237" ht="15.75" hidden="1" customHeight="1">
      <c r="B20" s="499"/>
      <c r="C20" s="500" t="s">
        <v>242</v>
      </c>
      <c r="D20" s="501"/>
      <c r="E20" s="502"/>
      <c r="F20" s="503"/>
      <c r="G20" s="503"/>
      <c r="H20" s="503"/>
      <c r="I20" s="503"/>
      <c r="J20" s="503"/>
      <c r="K20" s="503"/>
      <c r="L20" s="503"/>
      <c r="M20" s="503"/>
      <c r="N20" s="503"/>
      <c r="O20" s="503"/>
      <c r="P20" s="503"/>
      <c r="Q20" s="503"/>
      <c r="R20" s="503"/>
      <c r="S20" s="503"/>
      <c r="T20" s="503"/>
      <c r="U20" s="503"/>
      <c r="V20" s="503"/>
      <c r="W20" s="503"/>
      <c r="X20" s="503"/>
      <c r="Y20" s="503"/>
      <c r="Z20" s="503"/>
      <c r="AA20" s="503"/>
      <c r="AB20" s="503"/>
      <c r="AC20" s="503"/>
      <c r="AD20" s="503"/>
      <c r="AE20" s="503"/>
      <c r="AF20" s="503"/>
      <c r="AG20" s="503"/>
      <c r="AH20" s="503"/>
      <c r="AI20" s="503"/>
      <c r="AJ20" s="503"/>
      <c r="AK20" s="503"/>
      <c r="AL20" s="503"/>
      <c r="AM20" s="503"/>
      <c r="AN20" s="503"/>
      <c r="AO20" s="503"/>
      <c r="AP20" s="503"/>
      <c r="AQ20" s="503"/>
      <c r="AR20" s="503"/>
      <c r="AS20" s="503"/>
      <c r="AT20" s="503"/>
      <c r="AU20" s="503"/>
      <c r="AV20" s="503"/>
      <c r="AW20" s="503"/>
      <c r="AX20" s="503"/>
      <c r="AY20" s="503"/>
      <c r="AZ20" s="503"/>
      <c r="BA20" s="503"/>
      <c r="BB20" s="503"/>
      <c r="BC20" s="503"/>
      <c r="BD20" s="503"/>
      <c r="BE20" s="503"/>
      <c r="BF20" s="503"/>
      <c r="BG20" s="503"/>
      <c r="BH20" s="503"/>
      <c r="BI20" s="503"/>
      <c r="BJ20" s="503"/>
      <c r="BK20" s="503"/>
      <c r="BL20" s="503"/>
      <c r="BM20" s="503"/>
      <c r="BN20" s="503"/>
      <c r="BO20" s="503"/>
      <c r="BP20" s="597"/>
      <c r="BQ20" s="598">
        <f t="shared" si="0"/>
        <v>0</v>
      </c>
      <c r="BR20" s="550"/>
      <c r="BS20" s="551"/>
      <c r="BT20" s="551"/>
      <c r="BU20" s="551"/>
      <c r="BV20" s="551"/>
      <c r="BW20" s="551"/>
      <c r="BX20" s="551"/>
      <c r="BY20" s="551"/>
      <c r="BZ20" s="551"/>
      <c r="CA20" s="551"/>
      <c r="CB20" s="551"/>
      <c r="CC20" s="551"/>
      <c r="CD20" s="551"/>
      <c r="CE20" s="551"/>
      <c r="CF20" s="551"/>
      <c r="CG20" s="551"/>
      <c r="CH20" s="551"/>
      <c r="CI20" s="551"/>
      <c r="CJ20" s="551"/>
      <c r="CK20" s="551"/>
      <c r="CL20" s="551"/>
      <c r="CM20" s="551"/>
      <c r="CN20" s="551"/>
      <c r="CO20" s="551"/>
      <c r="CP20" s="551"/>
      <c r="CQ20" s="661">
        <f t="shared" si="6"/>
        <v>0</v>
      </c>
      <c r="CR20" s="551"/>
      <c r="CS20" s="534"/>
      <c r="CT20" s="534"/>
      <c r="CU20" s="534"/>
      <c r="CV20" s="534"/>
      <c r="CW20" s="551"/>
      <c r="CX20" s="551"/>
      <c r="CY20" s="551"/>
      <c r="CZ20" s="677"/>
      <c r="DA20" s="551"/>
      <c r="DB20" s="551"/>
      <c r="DC20" s="551"/>
      <c r="DD20" s="707"/>
      <c r="DE20" s="551"/>
      <c r="DF20" s="551"/>
      <c r="DG20" s="551"/>
      <c r="DH20" s="551"/>
      <c r="DI20" s="551"/>
      <c r="DJ20" s="551"/>
      <c r="DK20" s="551"/>
      <c r="DL20" s="551"/>
      <c r="DM20" s="551"/>
      <c r="DN20" s="551"/>
      <c r="DO20" s="718"/>
      <c r="DP20" s="719">
        <f t="shared" si="1"/>
        <v>0</v>
      </c>
      <c r="DQ20" s="727">
        <f t="shared" si="7"/>
        <v>0</v>
      </c>
      <c r="DR20" s="551"/>
      <c r="DS20" s="551"/>
      <c r="DT20" s="551"/>
      <c r="DU20" s="551"/>
      <c r="DV20" s="551"/>
      <c r="DW20" s="551"/>
      <c r="DX20" s="551"/>
      <c r="DY20" s="551"/>
      <c r="DZ20" s="551"/>
      <c r="EA20" s="551"/>
      <c r="EB20" s="551"/>
      <c r="EC20" s="551"/>
      <c r="ED20" s="551"/>
      <c r="EE20" s="551"/>
      <c r="EF20" s="551"/>
      <c r="EG20" s="551"/>
      <c r="EH20" s="551"/>
      <c r="EI20" s="551"/>
      <c r="EJ20" s="551"/>
      <c r="EK20" s="551"/>
      <c r="EL20" s="551"/>
      <c r="EM20" s="551"/>
      <c r="EN20" s="551"/>
      <c r="EO20" s="551"/>
      <c r="EP20" s="551"/>
      <c r="EQ20" s="551"/>
      <c r="ER20" s="551"/>
      <c r="ES20" s="551"/>
      <c r="ET20" s="551"/>
      <c r="EU20" s="551"/>
      <c r="EV20" s="551"/>
      <c r="EW20" s="551"/>
      <c r="EX20" s="551"/>
      <c r="EY20" s="551"/>
      <c r="EZ20" s="551"/>
      <c r="FA20" s="551"/>
      <c r="FB20" s="551"/>
      <c r="FC20" s="551"/>
      <c r="FD20" s="551"/>
      <c r="FE20" s="551"/>
      <c r="FF20" s="551"/>
      <c r="FG20" s="551"/>
      <c r="FH20" s="551"/>
      <c r="FI20" s="551"/>
      <c r="FJ20" s="551"/>
      <c r="FK20" s="551"/>
      <c r="FL20" s="551"/>
      <c r="FM20" s="752">
        <f t="shared" si="8"/>
        <v>0</v>
      </c>
      <c r="FN20" s="550"/>
      <c r="FO20" s="551"/>
      <c r="FP20" s="551"/>
      <c r="FQ20" s="551"/>
      <c r="FR20" s="551"/>
      <c r="FS20" s="551"/>
      <c r="FT20" s="551"/>
      <c r="FU20" s="551"/>
      <c r="FV20" s="551"/>
      <c r="FW20" s="551"/>
      <c r="FX20" s="551"/>
      <c r="FY20" s="551"/>
      <c r="FZ20" s="551"/>
      <c r="GA20" s="551"/>
      <c r="GB20" s="551"/>
      <c r="GC20" s="551">
        <f t="shared" si="2"/>
        <v>0</v>
      </c>
      <c r="GD20" s="767"/>
      <c r="GE20" s="551"/>
      <c r="GF20" s="551"/>
      <c r="GG20" s="551"/>
      <c r="GH20" s="551"/>
      <c r="GI20" s="551"/>
      <c r="GJ20" s="551"/>
      <c r="GK20" s="551"/>
      <c r="GL20" s="551"/>
      <c r="GM20" s="551"/>
      <c r="GN20" s="551"/>
      <c r="GO20" s="551"/>
      <c r="GP20" s="551"/>
      <c r="GQ20" s="551"/>
      <c r="GR20" s="551"/>
      <c r="GS20" s="551">
        <f t="shared" si="3"/>
        <v>0</v>
      </c>
      <c r="GT20" s="551"/>
      <c r="GU20" s="551"/>
      <c r="GV20" s="551"/>
      <c r="GW20" s="551"/>
      <c r="GX20" s="551"/>
      <c r="GY20" s="551"/>
      <c r="GZ20" s="551"/>
      <c r="HA20" s="551"/>
      <c r="HB20" s="551"/>
      <c r="HC20" s="551"/>
      <c r="HD20" s="551">
        <f t="shared" si="10"/>
        <v>0</v>
      </c>
      <c r="HE20" s="551">
        <f t="shared" si="11"/>
        <v>0</v>
      </c>
      <c r="HF20" s="551">
        <v>0</v>
      </c>
      <c r="HG20" s="551">
        <f t="shared" si="4"/>
        <v>0</v>
      </c>
      <c r="HH20" s="773"/>
      <c r="HI20" s="793">
        <f t="shared" si="5"/>
        <v>0</v>
      </c>
      <c r="HJ20" s="794">
        <f t="shared" si="9"/>
        <v>0</v>
      </c>
      <c r="HK20" s="797"/>
      <c r="IA20" s="825"/>
      <c r="IB20" s="825"/>
      <c r="IC20" s="825"/>
    </row>
    <row r="21" spans="2:237" ht="15.75" hidden="1" customHeight="1">
      <c r="B21" s="499"/>
      <c r="C21" s="500" t="s">
        <v>243</v>
      </c>
      <c r="D21" s="501"/>
      <c r="E21" s="502"/>
      <c r="F21" s="503"/>
      <c r="G21" s="503"/>
      <c r="H21" s="503"/>
      <c r="I21" s="503"/>
      <c r="J21" s="503"/>
      <c r="K21" s="503"/>
      <c r="L21" s="503"/>
      <c r="M21" s="503"/>
      <c r="N21" s="503"/>
      <c r="O21" s="503"/>
      <c r="P21" s="503"/>
      <c r="Q21" s="503"/>
      <c r="R21" s="503"/>
      <c r="S21" s="503"/>
      <c r="T21" s="503"/>
      <c r="U21" s="503"/>
      <c r="V21" s="503"/>
      <c r="W21" s="503"/>
      <c r="X21" s="503"/>
      <c r="Y21" s="503"/>
      <c r="Z21" s="503"/>
      <c r="AA21" s="503"/>
      <c r="AB21" s="503"/>
      <c r="AC21" s="503"/>
      <c r="AD21" s="503"/>
      <c r="AE21" s="503"/>
      <c r="AF21" s="503"/>
      <c r="AG21" s="503"/>
      <c r="AH21" s="503"/>
      <c r="AI21" s="503"/>
      <c r="AJ21" s="503"/>
      <c r="AK21" s="503"/>
      <c r="AL21" s="503"/>
      <c r="AM21" s="503"/>
      <c r="AN21" s="503"/>
      <c r="AO21" s="503"/>
      <c r="AP21" s="503"/>
      <c r="AQ21" s="503"/>
      <c r="AR21" s="503"/>
      <c r="AS21" s="503"/>
      <c r="AT21" s="503"/>
      <c r="AU21" s="503"/>
      <c r="AV21" s="503"/>
      <c r="AW21" s="503"/>
      <c r="AX21" s="503"/>
      <c r="AY21" s="503"/>
      <c r="AZ21" s="503"/>
      <c r="BA21" s="503"/>
      <c r="BB21" s="503"/>
      <c r="BC21" s="503"/>
      <c r="BD21" s="503"/>
      <c r="BE21" s="503"/>
      <c r="BF21" s="503"/>
      <c r="BG21" s="503"/>
      <c r="BH21" s="503"/>
      <c r="BI21" s="503"/>
      <c r="BJ21" s="503"/>
      <c r="BK21" s="503"/>
      <c r="BL21" s="503"/>
      <c r="BM21" s="503"/>
      <c r="BN21" s="503"/>
      <c r="BO21" s="503"/>
      <c r="BP21" s="597"/>
      <c r="BQ21" s="598">
        <f t="shared" si="0"/>
        <v>0</v>
      </c>
      <c r="BR21" s="550"/>
      <c r="BS21" s="551"/>
      <c r="BT21" s="551"/>
      <c r="BU21" s="551"/>
      <c r="BV21" s="551"/>
      <c r="BW21" s="551"/>
      <c r="BX21" s="551"/>
      <c r="BY21" s="551"/>
      <c r="BZ21" s="551"/>
      <c r="CA21" s="551"/>
      <c r="CB21" s="551"/>
      <c r="CC21" s="551"/>
      <c r="CD21" s="551"/>
      <c r="CE21" s="551"/>
      <c r="CF21" s="551"/>
      <c r="CG21" s="551"/>
      <c r="CH21" s="551"/>
      <c r="CI21" s="551"/>
      <c r="CJ21" s="551"/>
      <c r="CK21" s="551"/>
      <c r="CL21" s="551"/>
      <c r="CM21" s="551"/>
      <c r="CN21" s="551"/>
      <c r="CO21" s="551"/>
      <c r="CP21" s="551"/>
      <c r="CQ21" s="661">
        <f t="shared" si="6"/>
        <v>0</v>
      </c>
      <c r="CR21" s="551"/>
      <c r="CS21" s="534"/>
      <c r="CT21" s="534"/>
      <c r="CU21" s="534"/>
      <c r="CV21" s="534"/>
      <c r="CW21" s="551"/>
      <c r="CX21" s="551"/>
      <c r="CY21" s="551"/>
      <c r="CZ21" s="677"/>
      <c r="DA21" s="551"/>
      <c r="DB21" s="551"/>
      <c r="DC21" s="551"/>
      <c r="DD21" s="707"/>
      <c r="DE21" s="551"/>
      <c r="DF21" s="551"/>
      <c r="DG21" s="551"/>
      <c r="DH21" s="551"/>
      <c r="DI21" s="551"/>
      <c r="DJ21" s="551"/>
      <c r="DK21" s="551"/>
      <c r="DL21" s="551"/>
      <c r="DM21" s="551"/>
      <c r="DN21" s="551"/>
      <c r="DO21" s="718"/>
      <c r="DP21" s="719">
        <f t="shared" si="1"/>
        <v>0</v>
      </c>
      <c r="DQ21" s="727">
        <f t="shared" si="7"/>
        <v>0</v>
      </c>
      <c r="DR21" s="551"/>
      <c r="DS21" s="551"/>
      <c r="DT21" s="551"/>
      <c r="DU21" s="551"/>
      <c r="DV21" s="551"/>
      <c r="DW21" s="551"/>
      <c r="DX21" s="551"/>
      <c r="DY21" s="551"/>
      <c r="DZ21" s="551"/>
      <c r="EA21" s="551"/>
      <c r="EB21" s="551"/>
      <c r="EC21" s="551"/>
      <c r="ED21" s="551"/>
      <c r="EE21" s="551"/>
      <c r="EF21" s="551"/>
      <c r="EG21" s="551"/>
      <c r="EH21" s="551"/>
      <c r="EI21" s="551"/>
      <c r="EJ21" s="551"/>
      <c r="EK21" s="551"/>
      <c r="EL21" s="551"/>
      <c r="EM21" s="551"/>
      <c r="EN21" s="551"/>
      <c r="EO21" s="551"/>
      <c r="EP21" s="551"/>
      <c r="EQ21" s="551"/>
      <c r="ER21" s="551"/>
      <c r="ES21" s="551"/>
      <c r="ET21" s="551"/>
      <c r="EU21" s="551"/>
      <c r="EV21" s="551"/>
      <c r="EW21" s="551"/>
      <c r="EX21" s="551"/>
      <c r="EY21" s="551"/>
      <c r="EZ21" s="551"/>
      <c r="FA21" s="551"/>
      <c r="FB21" s="551"/>
      <c r="FC21" s="551"/>
      <c r="FD21" s="551"/>
      <c r="FE21" s="551"/>
      <c r="FF21" s="551"/>
      <c r="FG21" s="551"/>
      <c r="FH21" s="551"/>
      <c r="FI21" s="551"/>
      <c r="FJ21" s="551"/>
      <c r="FK21" s="551"/>
      <c r="FL21" s="551"/>
      <c r="FM21" s="752">
        <f t="shared" si="8"/>
        <v>0</v>
      </c>
      <c r="FN21" s="550"/>
      <c r="FO21" s="551"/>
      <c r="FP21" s="551"/>
      <c r="FQ21" s="551"/>
      <c r="FR21" s="551"/>
      <c r="FS21" s="551"/>
      <c r="FT21" s="551"/>
      <c r="FU21" s="551"/>
      <c r="FV21" s="551"/>
      <c r="FW21" s="551"/>
      <c r="FX21" s="551"/>
      <c r="FY21" s="551"/>
      <c r="FZ21" s="551"/>
      <c r="GA21" s="551"/>
      <c r="GB21" s="551"/>
      <c r="GC21" s="551">
        <f t="shared" si="2"/>
        <v>0</v>
      </c>
      <c r="GD21" s="767"/>
      <c r="GE21" s="551"/>
      <c r="GF21" s="551"/>
      <c r="GG21" s="551"/>
      <c r="GH21" s="551"/>
      <c r="GI21" s="551"/>
      <c r="GJ21" s="551"/>
      <c r="GK21" s="551"/>
      <c r="GL21" s="551"/>
      <c r="GM21" s="551"/>
      <c r="GN21" s="551"/>
      <c r="GO21" s="551"/>
      <c r="GP21" s="551"/>
      <c r="GQ21" s="551"/>
      <c r="GR21" s="551"/>
      <c r="GS21" s="551">
        <f t="shared" si="3"/>
        <v>0</v>
      </c>
      <c r="GT21" s="551"/>
      <c r="GU21" s="551"/>
      <c r="GV21" s="551"/>
      <c r="GW21" s="551"/>
      <c r="GX21" s="551"/>
      <c r="GY21" s="551"/>
      <c r="GZ21" s="551"/>
      <c r="HA21" s="551"/>
      <c r="HB21" s="551"/>
      <c r="HC21" s="551"/>
      <c r="HD21" s="551">
        <f t="shared" si="10"/>
        <v>0</v>
      </c>
      <c r="HE21" s="551">
        <f t="shared" si="11"/>
        <v>0</v>
      </c>
      <c r="HF21" s="551">
        <v>0</v>
      </c>
      <c r="HG21" s="551">
        <f t="shared" si="4"/>
        <v>0</v>
      </c>
      <c r="HH21" s="773"/>
      <c r="HI21" s="793">
        <f t="shared" si="5"/>
        <v>0</v>
      </c>
      <c r="HJ21" s="794">
        <f t="shared" si="9"/>
        <v>0</v>
      </c>
      <c r="HK21" s="797"/>
      <c r="IA21" s="826"/>
      <c r="IB21" s="826"/>
      <c r="IC21" s="826"/>
    </row>
    <row r="22" spans="2:237" ht="15.75" hidden="1" customHeight="1">
      <c r="B22" s="499" t="s">
        <v>244</v>
      </c>
      <c r="C22" s="500" t="s">
        <v>245</v>
      </c>
      <c r="D22" s="501"/>
      <c r="E22" s="502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475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03"/>
      <c r="AI22" s="503"/>
      <c r="AJ22" s="503"/>
      <c r="AK22" s="503"/>
      <c r="AL22" s="503"/>
      <c r="AM22" s="503"/>
      <c r="AN22" s="503"/>
      <c r="AO22" s="503"/>
      <c r="AP22" s="503"/>
      <c r="AQ22" s="503"/>
      <c r="AR22" s="503"/>
      <c r="AS22" s="503"/>
      <c r="AT22" s="503"/>
      <c r="AU22" s="503"/>
      <c r="AV22" s="503"/>
      <c r="AW22" s="503"/>
      <c r="AX22" s="503"/>
      <c r="AY22" s="503"/>
      <c r="AZ22" s="503"/>
      <c r="BA22" s="503"/>
      <c r="BB22" s="503"/>
      <c r="BC22" s="503"/>
      <c r="BD22" s="503"/>
      <c r="BE22" s="503"/>
      <c r="BF22" s="503"/>
      <c r="BG22" s="503"/>
      <c r="BH22" s="503"/>
      <c r="BI22" s="503"/>
      <c r="BJ22" s="503"/>
      <c r="BK22" s="503"/>
      <c r="BL22" s="503"/>
      <c r="BM22" s="503"/>
      <c r="BN22" s="503"/>
      <c r="BO22" s="503"/>
      <c r="BP22" s="597"/>
      <c r="BQ22" s="598">
        <f t="shared" si="0"/>
        <v>0</v>
      </c>
      <c r="BR22" s="550"/>
      <c r="BS22" s="551"/>
      <c r="BT22" s="551"/>
      <c r="BU22" s="551"/>
      <c r="BV22" s="551"/>
      <c r="BW22" s="551"/>
      <c r="BX22" s="551"/>
      <c r="BY22" s="551"/>
      <c r="BZ22" s="551"/>
      <c r="CA22" s="551"/>
      <c r="CB22" s="551"/>
      <c r="CC22" s="551"/>
      <c r="CD22" s="551"/>
      <c r="CE22" s="551"/>
      <c r="CF22" s="551"/>
      <c r="CG22" s="551"/>
      <c r="CH22" s="551"/>
      <c r="CI22" s="551"/>
      <c r="CJ22" s="551"/>
      <c r="CK22" s="551"/>
      <c r="CL22" s="551"/>
      <c r="CM22" s="551"/>
      <c r="CN22" s="551"/>
      <c r="CO22" s="551"/>
      <c r="CP22" s="551"/>
      <c r="CQ22" s="661">
        <f t="shared" si="6"/>
        <v>0</v>
      </c>
      <c r="CR22" s="551"/>
      <c r="CS22" s="534"/>
      <c r="CT22" s="534"/>
      <c r="CU22" s="534"/>
      <c r="CV22" s="534"/>
      <c r="CW22" s="551"/>
      <c r="CX22" s="551"/>
      <c r="CY22" s="551"/>
      <c r="CZ22" s="677"/>
      <c r="DA22" s="551"/>
      <c r="DB22" s="551"/>
      <c r="DC22" s="551"/>
      <c r="DD22" s="707"/>
      <c r="DE22" s="551"/>
      <c r="DF22" s="551"/>
      <c r="DG22" s="551"/>
      <c r="DH22" s="551"/>
      <c r="DI22" s="551"/>
      <c r="DJ22" s="551"/>
      <c r="DK22" s="551"/>
      <c r="DL22" s="551"/>
      <c r="DM22" s="551"/>
      <c r="DN22" s="551"/>
      <c r="DO22" s="718"/>
      <c r="DP22" s="719">
        <f t="shared" si="1"/>
        <v>0</v>
      </c>
      <c r="DQ22" s="727">
        <f t="shared" si="7"/>
        <v>0</v>
      </c>
      <c r="DR22" s="576"/>
      <c r="DS22" s="551"/>
      <c r="DT22" s="551"/>
      <c r="DU22" s="551"/>
      <c r="DV22" s="551"/>
      <c r="DW22" s="551"/>
      <c r="DX22" s="551"/>
      <c r="DY22" s="551"/>
      <c r="DZ22" s="551"/>
      <c r="EA22" s="551"/>
      <c r="EB22" s="551"/>
      <c r="EC22" s="551"/>
      <c r="ED22" s="551"/>
      <c r="EE22" s="551"/>
      <c r="EF22" s="551"/>
      <c r="EG22" s="551"/>
      <c r="EH22" s="551"/>
      <c r="EI22" s="551"/>
      <c r="EJ22" s="551"/>
      <c r="EK22" s="551"/>
      <c r="EL22" s="551"/>
      <c r="EM22" s="551"/>
      <c r="EN22" s="551"/>
      <c r="EO22" s="551"/>
      <c r="EP22" s="551"/>
      <c r="EQ22" s="551"/>
      <c r="ER22" s="551"/>
      <c r="ES22" s="551"/>
      <c r="ET22" s="551"/>
      <c r="EU22" s="551"/>
      <c r="EV22" s="551"/>
      <c r="EW22" s="551"/>
      <c r="EX22" s="551"/>
      <c r="EY22" s="551"/>
      <c r="EZ22" s="551"/>
      <c r="FA22" s="551"/>
      <c r="FB22" s="551"/>
      <c r="FC22" s="551"/>
      <c r="FD22" s="551"/>
      <c r="FE22" s="551"/>
      <c r="FF22" s="551"/>
      <c r="FG22" s="551"/>
      <c r="FH22" s="551"/>
      <c r="FI22" s="551"/>
      <c r="FJ22" s="551"/>
      <c r="FK22" s="551"/>
      <c r="FL22" s="551"/>
      <c r="FM22" s="752">
        <f t="shared" si="8"/>
        <v>0</v>
      </c>
      <c r="FN22" s="550"/>
      <c r="FO22" s="551"/>
      <c r="FP22" s="551"/>
      <c r="FQ22" s="551"/>
      <c r="FR22" s="551"/>
      <c r="FS22" s="551"/>
      <c r="FT22" s="551"/>
      <c r="FU22" s="551"/>
      <c r="FV22" s="551"/>
      <c r="FW22" s="551"/>
      <c r="FX22" s="551"/>
      <c r="FY22" s="551"/>
      <c r="FZ22" s="551"/>
      <c r="GA22" s="551"/>
      <c r="GB22" s="551"/>
      <c r="GC22" s="551">
        <f t="shared" si="2"/>
        <v>0</v>
      </c>
      <c r="GD22" s="767"/>
      <c r="GE22" s="551"/>
      <c r="GF22" s="551"/>
      <c r="GG22" s="551"/>
      <c r="GH22" s="551"/>
      <c r="GI22" s="551"/>
      <c r="GJ22" s="551"/>
      <c r="GK22" s="551"/>
      <c r="GL22" s="551"/>
      <c r="GM22" s="551"/>
      <c r="GN22" s="551"/>
      <c r="GO22" s="551"/>
      <c r="GP22" s="551"/>
      <c r="GQ22" s="551"/>
      <c r="GR22" s="551"/>
      <c r="GS22" s="551">
        <f t="shared" si="3"/>
        <v>0</v>
      </c>
      <c r="GT22" s="551"/>
      <c r="GU22" s="551"/>
      <c r="GV22" s="551"/>
      <c r="GW22" s="551"/>
      <c r="GX22" s="551"/>
      <c r="GY22" s="551"/>
      <c r="GZ22" s="551"/>
      <c r="HA22" s="551"/>
      <c r="HB22" s="551"/>
      <c r="HC22" s="551"/>
      <c r="HD22" s="551">
        <f t="shared" si="10"/>
        <v>0</v>
      </c>
      <c r="HE22" s="551">
        <f t="shared" si="11"/>
        <v>0</v>
      </c>
      <c r="HF22" s="551">
        <v>0</v>
      </c>
      <c r="HG22" s="551">
        <f t="shared" si="4"/>
        <v>0</v>
      </c>
      <c r="HH22" s="773"/>
      <c r="HI22" s="793">
        <f t="shared" si="5"/>
        <v>0</v>
      </c>
      <c r="HJ22" s="794">
        <f t="shared" si="9"/>
        <v>0</v>
      </c>
      <c r="HK22" s="797"/>
      <c r="IA22" s="826"/>
      <c r="IB22" s="826"/>
      <c r="IC22" s="826"/>
    </row>
    <row r="23" spans="2:237" ht="15.75" hidden="1" customHeight="1">
      <c r="B23" s="499"/>
      <c r="C23" s="500" t="s">
        <v>246</v>
      </c>
      <c r="D23" s="501"/>
      <c r="E23" s="502"/>
      <c r="F23" s="503"/>
      <c r="G23" s="503"/>
      <c r="H23" s="503"/>
      <c r="I23" s="503"/>
      <c r="J23" s="503"/>
      <c r="K23" s="503"/>
      <c r="L23" s="503"/>
      <c r="M23" s="503"/>
      <c r="N23" s="503"/>
      <c r="O23" s="503"/>
      <c r="P23" s="503"/>
      <c r="Q23" s="503"/>
      <c r="R23" s="503"/>
      <c r="S23" s="503"/>
      <c r="T23" s="503"/>
      <c r="U23" s="503"/>
      <c r="V23" s="503"/>
      <c r="W23" s="503"/>
      <c r="X23" s="503"/>
      <c r="Y23" s="503"/>
      <c r="Z23" s="503"/>
      <c r="AA23" s="503"/>
      <c r="AB23" s="503"/>
      <c r="AC23" s="503"/>
      <c r="AD23" s="503"/>
      <c r="AE23" s="503"/>
      <c r="AF23" s="503"/>
      <c r="AG23" s="503"/>
      <c r="AH23" s="503"/>
      <c r="AI23" s="503"/>
      <c r="AJ23" s="503"/>
      <c r="AK23" s="503"/>
      <c r="AL23" s="503"/>
      <c r="AM23" s="503"/>
      <c r="AN23" s="503"/>
      <c r="AO23" s="503"/>
      <c r="AP23" s="503"/>
      <c r="AQ23" s="503"/>
      <c r="AR23" s="503"/>
      <c r="AS23" s="503"/>
      <c r="AT23" s="503"/>
      <c r="AU23" s="503"/>
      <c r="AV23" s="503"/>
      <c r="AW23" s="503"/>
      <c r="AX23" s="503"/>
      <c r="AY23" s="503"/>
      <c r="AZ23" s="503"/>
      <c r="BA23" s="503"/>
      <c r="BB23" s="503"/>
      <c r="BC23" s="503"/>
      <c r="BD23" s="503"/>
      <c r="BE23" s="503"/>
      <c r="BF23" s="503"/>
      <c r="BG23" s="503"/>
      <c r="BH23" s="503"/>
      <c r="BI23" s="503"/>
      <c r="BJ23" s="503"/>
      <c r="BK23" s="503"/>
      <c r="BL23" s="503"/>
      <c r="BM23" s="503"/>
      <c r="BN23" s="503"/>
      <c r="BO23" s="503"/>
      <c r="BP23" s="597"/>
      <c r="BQ23" s="598">
        <f t="shared" si="0"/>
        <v>0</v>
      </c>
      <c r="BR23" s="550"/>
      <c r="BS23" s="551"/>
      <c r="BT23" s="551"/>
      <c r="BU23" s="551"/>
      <c r="BV23" s="551"/>
      <c r="BW23" s="551"/>
      <c r="BX23" s="551"/>
      <c r="BY23" s="551"/>
      <c r="BZ23" s="551"/>
      <c r="CA23" s="551"/>
      <c r="CB23" s="551"/>
      <c r="CC23" s="551"/>
      <c r="CD23" s="551"/>
      <c r="CE23" s="551"/>
      <c r="CF23" s="551"/>
      <c r="CG23" s="551"/>
      <c r="CH23" s="551"/>
      <c r="CI23" s="551"/>
      <c r="CJ23" s="551"/>
      <c r="CK23" s="551"/>
      <c r="CL23" s="551"/>
      <c r="CM23" s="551"/>
      <c r="CN23" s="551"/>
      <c r="CO23" s="551"/>
      <c r="CP23" s="551"/>
      <c r="CQ23" s="661">
        <f t="shared" si="6"/>
        <v>0</v>
      </c>
      <c r="CR23" s="551"/>
      <c r="CS23" s="534"/>
      <c r="CT23" s="534"/>
      <c r="CU23" s="534"/>
      <c r="CV23" s="534"/>
      <c r="CW23" s="551"/>
      <c r="CX23" s="551"/>
      <c r="CY23" s="551"/>
      <c r="CZ23" s="677"/>
      <c r="DA23" s="551"/>
      <c r="DB23" s="551"/>
      <c r="DC23" s="551"/>
      <c r="DD23" s="707"/>
      <c r="DE23" s="551"/>
      <c r="DF23" s="551"/>
      <c r="DG23" s="551"/>
      <c r="DH23" s="551"/>
      <c r="DI23" s="551"/>
      <c r="DJ23" s="551"/>
      <c r="DK23" s="551"/>
      <c r="DL23" s="551"/>
      <c r="DM23" s="551"/>
      <c r="DN23" s="551"/>
      <c r="DO23" s="718"/>
      <c r="DP23" s="719">
        <f t="shared" si="1"/>
        <v>0</v>
      </c>
      <c r="DQ23" s="727">
        <f>+CQ23+DP23</f>
        <v>0</v>
      </c>
      <c r="DR23" s="576"/>
      <c r="DS23" s="551"/>
      <c r="DT23" s="551"/>
      <c r="DU23" s="551"/>
      <c r="DV23" s="551"/>
      <c r="DW23" s="551"/>
      <c r="DX23" s="551"/>
      <c r="DY23" s="551"/>
      <c r="DZ23" s="551"/>
      <c r="EA23" s="551"/>
      <c r="EB23" s="551"/>
      <c r="EC23" s="551"/>
      <c r="ED23" s="551"/>
      <c r="EE23" s="551"/>
      <c r="EF23" s="551"/>
      <c r="EG23" s="551"/>
      <c r="EH23" s="551"/>
      <c r="EI23" s="551"/>
      <c r="EJ23" s="551"/>
      <c r="EK23" s="551"/>
      <c r="EL23" s="551"/>
      <c r="EM23" s="551"/>
      <c r="EN23" s="551"/>
      <c r="EO23" s="551"/>
      <c r="EP23" s="551"/>
      <c r="EQ23" s="551"/>
      <c r="ER23" s="551"/>
      <c r="ES23" s="551"/>
      <c r="ET23" s="551"/>
      <c r="EU23" s="551"/>
      <c r="EV23" s="551"/>
      <c r="EW23" s="551"/>
      <c r="EX23" s="551"/>
      <c r="EY23" s="551"/>
      <c r="EZ23" s="551"/>
      <c r="FA23" s="551"/>
      <c r="FB23" s="551"/>
      <c r="FC23" s="551"/>
      <c r="FD23" s="551"/>
      <c r="FE23" s="551"/>
      <c r="FF23" s="551"/>
      <c r="FG23" s="551"/>
      <c r="FH23" s="551"/>
      <c r="FI23" s="551"/>
      <c r="FJ23" s="551"/>
      <c r="FK23" s="551"/>
      <c r="FL23" s="551"/>
      <c r="FM23" s="752">
        <f>SUM(DR23:FL23)</f>
        <v>0</v>
      </c>
      <c r="FN23" s="550"/>
      <c r="FO23" s="551"/>
      <c r="FP23" s="551"/>
      <c r="FQ23" s="551"/>
      <c r="FR23" s="551"/>
      <c r="FS23" s="551"/>
      <c r="FT23" s="551"/>
      <c r="FU23" s="551"/>
      <c r="FV23" s="551"/>
      <c r="FW23" s="551"/>
      <c r="FX23" s="551"/>
      <c r="FY23" s="551"/>
      <c r="FZ23" s="551"/>
      <c r="GA23" s="551"/>
      <c r="GB23" s="551"/>
      <c r="GC23" s="551">
        <f>+FN23+FO23+FP23+FQ23+FR23+FS23+FT23+FU23+FV23+FW23+FX23+FY23+FZ23+GA23+GB23</f>
        <v>0</v>
      </c>
      <c r="GD23" s="767"/>
      <c r="GE23" s="551"/>
      <c r="GF23" s="551"/>
      <c r="GG23" s="551"/>
      <c r="GH23" s="551"/>
      <c r="GI23" s="551"/>
      <c r="GJ23" s="551"/>
      <c r="GK23" s="551"/>
      <c r="GL23" s="551"/>
      <c r="GM23" s="551"/>
      <c r="GN23" s="551"/>
      <c r="GO23" s="551"/>
      <c r="GP23" s="551"/>
      <c r="GQ23" s="551"/>
      <c r="GR23" s="551"/>
      <c r="GS23" s="551">
        <f>+GD23+GE23+GF23+GG23+GH23+GI23+GJ23+GK23+GL23+GM23+GN23+GO23+GP23+GQ23+GR23</f>
        <v>0</v>
      </c>
      <c r="GT23" s="551"/>
      <c r="GU23" s="551"/>
      <c r="GV23" s="551"/>
      <c r="GW23" s="551"/>
      <c r="GX23" s="551"/>
      <c r="GY23" s="551"/>
      <c r="GZ23" s="551"/>
      <c r="HA23" s="551"/>
      <c r="HB23" s="551"/>
      <c r="HC23" s="551"/>
      <c r="HD23" s="551">
        <f>+GT23+GU23+GV23+GW23+GX23+GY23+GZ23+HA23+HB23+HC23</f>
        <v>0</v>
      </c>
      <c r="HE23" s="551">
        <f>HD23+D23+BQ23-DQ23-FM23-GC23+GS23</f>
        <v>0</v>
      </c>
      <c r="HF23" s="551">
        <v>1</v>
      </c>
      <c r="HG23" s="551">
        <f>-HE23+HF23</f>
        <v>1</v>
      </c>
      <c r="HH23" s="773"/>
      <c r="HI23" s="793">
        <f t="shared" si="5"/>
        <v>0</v>
      </c>
      <c r="HJ23" s="794">
        <f>+HI23-HE23</f>
        <v>0</v>
      </c>
      <c r="HK23" s="797"/>
      <c r="IA23" s="826"/>
      <c r="IB23" s="826"/>
      <c r="IC23" s="826"/>
    </row>
    <row r="24" spans="2:237" ht="15.75" hidden="1" customHeight="1">
      <c r="B24" s="499" t="s">
        <v>247</v>
      </c>
      <c r="C24" s="500" t="s">
        <v>248</v>
      </c>
      <c r="D24" s="501">
        <v>5200</v>
      </c>
      <c r="E24" s="502"/>
      <c r="F24" s="503"/>
      <c r="G24" s="503"/>
      <c r="H24" s="503"/>
      <c r="I24" s="503">
        <v>2000</v>
      </c>
      <c r="J24" s="503"/>
      <c r="K24" s="503"/>
      <c r="L24" s="503"/>
      <c r="M24" s="503"/>
      <c r="N24" s="503"/>
      <c r="O24" s="503"/>
      <c r="P24" s="503">
        <v>2000</v>
      </c>
      <c r="Q24" s="503"/>
      <c r="R24" s="503">
        <v>2000</v>
      </c>
      <c r="S24" s="503"/>
      <c r="T24" s="503"/>
      <c r="U24" s="503">
        <v>1000</v>
      </c>
      <c r="V24" s="503"/>
      <c r="W24" s="503"/>
      <c r="X24" s="503"/>
      <c r="Y24" s="503">
        <v>1000</v>
      </c>
      <c r="Z24" s="503">
        <v>4000</v>
      </c>
      <c r="AA24" s="503"/>
      <c r="AB24" s="503">
        <v>5000</v>
      </c>
      <c r="AC24" s="503"/>
      <c r="AD24" s="503"/>
      <c r="AE24" s="503"/>
      <c r="AF24" s="503"/>
      <c r="AG24" s="503"/>
      <c r="AH24" s="503"/>
      <c r="AI24" s="503"/>
      <c r="AJ24" s="503"/>
      <c r="AK24" s="503"/>
      <c r="AL24" s="503"/>
      <c r="AM24" s="503"/>
      <c r="AN24" s="503"/>
      <c r="AO24" s="503"/>
      <c r="AP24" s="503"/>
      <c r="AQ24" s="503"/>
      <c r="AR24" s="503"/>
      <c r="AS24" s="503"/>
      <c r="AT24" s="503"/>
      <c r="AU24" s="503"/>
      <c r="AV24" s="503"/>
      <c r="AW24" s="503"/>
      <c r="AX24" s="503"/>
      <c r="AY24" s="503"/>
      <c r="AZ24" s="503"/>
      <c r="BA24" s="503"/>
      <c r="BB24" s="503"/>
      <c r="BC24" s="503"/>
      <c r="BD24" s="503"/>
      <c r="BE24" s="503"/>
      <c r="BF24" s="503"/>
      <c r="BG24" s="503"/>
      <c r="BH24" s="503"/>
      <c r="BI24" s="503"/>
      <c r="BJ24" s="503"/>
      <c r="BK24" s="503"/>
      <c r="BL24" s="503"/>
      <c r="BM24" s="503"/>
      <c r="BN24" s="503"/>
      <c r="BO24" s="503"/>
      <c r="BP24" s="597"/>
      <c r="BQ24" s="598">
        <f t="shared" si="0"/>
        <v>17000</v>
      </c>
      <c r="BR24" s="550">
        <v>500</v>
      </c>
      <c r="BS24" s="551">
        <v>125</v>
      </c>
      <c r="BT24" s="551"/>
      <c r="BU24" s="551"/>
      <c r="BV24" s="551"/>
      <c r="BW24" s="551"/>
      <c r="BX24" s="551"/>
      <c r="BY24" s="551"/>
      <c r="BZ24" s="551"/>
      <c r="CA24" s="551"/>
      <c r="CB24" s="551"/>
      <c r="CC24" s="551"/>
      <c r="CD24" s="551"/>
      <c r="CE24" s="551"/>
      <c r="CF24" s="551"/>
      <c r="CG24" s="551"/>
      <c r="CH24" s="551"/>
      <c r="CI24" s="551"/>
      <c r="CJ24" s="551"/>
      <c r="CK24" s="551"/>
      <c r="CL24" s="551"/>
      <c r="CM24" s="551"/>
      <c r="CN24" s="551"/>
      <c r="CO24" s="551"/>
      <c r="CP24" s="551"/>
      <c r="CQ24" s="661">
        <f t="shared" si="6"/>
        <v>625</v>
      </c>
      <c r="CR24" s="551"/>
      <c r="CS24" s="534"/>
      <c r="CT24" s="534"/>
      <c r="CU24" s="534"/>
      <c r="CV24" s="534"/>
      <c r="CW24" s="551"/>
      <c r="CX24" s="551"/>
      <c r="CY24" s="551"/>
      <c r="CZ24" s="677"/>
      <c r="DA24" s="551"/>
      <c r="DB24" s="551"/>
      <c r="DC24" s="551"/>
      <c r="DD24" s="707"/>
      <c r="DE24" s="551"/>
      <c r="DF24" s="551"/>
      <c r="DG24" s="551"/>
      <c r="DH24" s="551"/>
      <c r="DI24" s="551"/>
      <c r="DJ24" s="551"/>
      <c r="DK24" s="551"/>
      <c r="DL24" s="551"/>
      <c r="DM24" s="551"/>
      <c r="DN24" s="551"/>
      <c r="DO24" s="718"/>
      <c r="DP24" s="719">
        <f t="shared" si="1"/>
        <v>0</v>
      </c>
      <c r="DQ24" s="727">
        <f t="shared" si="7"/>
        <v>625</v>
      </c>
      <c r="DR24" s="576"/>
      <c r="DS24" s="551"/>
      <c r="DT24" s="551"/>
      <c r="DU24" s="551"/>
      <c r="DV24" s="551"/>
      <c r="DW24" s="551"/>
      <c r="DX24" s="551"/>
      <c r="DY24" s="551"/>
      <c r="DZ24" s="551"/>
      <c r="EA24" s="551"/>
      <c r="EB24" s="551"/>
      <c r="EC24" s="551"/>
      <c r="ED24" s="551"/>
      <c r="EE24" s="551"/>
      <c r="EF24" s="551"/>
      <c r="EG24" s="551"/>
      <c r="EH24" s="551"/>
      <c r="EI24" s="551"/>
      <c r="EJ24" s="551"/>
      <c r="EK24" s="551"/>
      <c r="EL24" s="551"/>
      <c r="EM24" s="551"/>
      <c r="EN24" s="551"/>
      <c r="EO24" s="551"/>
      <c r="EP24" s="551"/>
      <c r="EQ24" s="551"/>
      <c r="ER24" s="551"/>
      <c r="ES24" s="551"/>
      <c r="ET24" s="551"/>
      <c r="EU24" s="551"/>
      <c r="EV24" s="551"/>
      <c r="EW24" s="551"/>
      <c r="EX24" s="551"/>
      <c r="EY24" s="551"/>
      <c r="EZ24" s="551"/>
      <c r="FA24" s="551"/>
      <c r="FB24" s="551"/>
      <c r="FC24" s="551"/>
      <c r="FD24" s="551"/>
      <c r="FE24" s="551"/>
      <c r="FF24" s="551"/>
      <c r="FG24" s="551"/>
      <c r="FH24" s="551"/>
      <c r="FI24" s="551"/>
      <c r="FJ24" s="551"/>
      <c r="FK24" s="551"/>
      <c r="FL24" s="551"/>
      <c r="FM24" s="752">
        <f t="shared" si="8"/>
        <v>0</v>
      </c>
      <c r="FN24" s="550"/>
      <c r="FO24" s="551"/>
      <c r="FP24" s="551"/>
      <c r="FQ24" s="551"/>
      <c r="FR24" s="551"/>
      <c r="FS24" s="551"/>
      <c r="FT24" s="551"/>
      <c r="FU24" s="551"/>
      <c r="FV24" s="551"/>
      <c r="FW24" s="551"/>
      <c r="FX24" s="551"/>
      <c r="FY24" s="551"/>
      <c r="FZ24" s="551"/>
      <c r="GA24" s="551"/>
      <c r="GB24" s="551"/>
      <c r="GC24" s="551">
        <f t="shared" si="2"/>
        <v>0</v>
      </c>
      <c r="GD24" s="767"/>
      <c r="GE24" s="551"/>
      <c r="GF24" s="551"/>
      <c r="GG24" s="551"/>
      <c r="GH24" s="551"/>
      <c r="GI24" s="551"/>
      <c r="GJ24" s="551"/>
      <c r="GK24" s="551"/>
      <c r="GL24" s="551"/>
      <c r="GM24" s="551"/>
      <c r="GN24" s="551"/>
      <c r="GO24" s="551"/>
      <c r="GP24" s="551"/>
      <c r="GQ24" s="551"/>
      <c r="GR24" s="551"/>
      <c r="GS24" s="551">
        <f t="shared" si="3"/>
        <v>0</v>
      </c>
      <c r="GT24" s="551"/>
      <c r="GU24" s="551"/>
      <c r="GV24" s="551"/>
      <c r="GW24" s="551"/>
      <c r="GX24" s="551"/>
      <c r="GY24" s="551"/>
      <c r="GZ24" s="551"/>
      <c r="HA24" s="551"/>
      <c r="HB24" s="551"/>
      <c r="HC24" s="551"/>
      <c r="HD24" s="551">
        <f t="shared" si="10"/>
        <v>0</v>
      </c>
      <c r="HE24" s="551">
        <f t="shared" si="11"/>
        <v>21575</v>
      </c>
      <c r="HF24" s="551">
        <v>0</v>
      </c>
      <c r="HG24" s="551">
        <v>0</v>
      </c>
      <c r="HH24" s="773"/>
      <c r="HI24" s="793">
        <f t="shared" si="5"/>
        <v>0</v>
      </c>
      <c r="HJ24" s="794">
        <f t="shared" si="9"/>
        <v>-21575</v>
      </c>
      <c r="HK24" s="797"/>
      <c r="IA24" s="826"/>
      <c r="IB24" s="826"/>
      <c r="IC24" s="826"/>
    </row>
    <row r="25" spans="2:237" ht="15.75" hidden="1" customHeight="1">
      <c r="B25" s="499" t="s">
        <v>249</v>
      </c>
      <c r="C25" s="500" t="s">
        <v>250</v>
      </c>
      <c r="D25" s="501">
        <v>231.05</v>
      </c>
      <c r="E25" s="502">
        <v>16</v>
      </c>
      <c r="F25" s="503">
        <v>16</v>
      </c>
      <c r="G25" s="503"/>
      <c r="H25" s="503"/>
      <c r="I25" s="503">
        <v>150.80000000000001</v>
      </c>
      <c r="J25" s="503"/>
      <c r="K25" s="503"/>
      <c r="L25" s="503"/>
      <c r="M25" s="503"/>
      <c r="N25" s="503"/>
      <c r="O25" s="503"/>
      <c r="P25" s="503">
        <v>150.80000000000001</v>
      </c>
      <c r="Q25" s="503">
        <v>16</v>
      </c>
      <c r="R25" s="503">
        <v>46.8</v>
      </c>
      <c r="S25" s="503"/>
      <c r="T25" s="503"/>
      <c r="U25" s="503">
        <v>24</v>
      </c>
      <c r="V25" s="503"/>
      <c r="W25" s="503"/>
      <c r="X25" s="503">
        <v>16</v>
      </c>
      <c r="Y25" s="503">
        <v>32</v>
      </c>
      <c r="Z25" s="503">
        <v>80.75</v>
      </c>
      <c r="AA25" s="503"/>
      <c r="AB25" s="503">
        <v>102.3</v>
      </c>
      <c r="AC25" s="503"/>
      <c r="AD25" s="503"/>
      <c r="AE25" s="503"/>
      <c r="AF25" s="503"/>
      <c r="AG25" s="503"/>
      <c r="AH25" s="503"/>
      <c r="AI25" s="503"/>
      <c r="AJ25" s="503"/>
      <c r="AK25" s="503"/>
      <c r="AL25" s="503"/>
      <c r="AM25" s="503"/>
      <c r="AN25" s="503"/>
      <c r="AO25" s="503"/>
      <c r="AP25" s="503"/>
      <c r="AQ25" s="503"/>
      <c r="AR25" s="503"/>
      <c r="AS25" s="503"/>
      <c r="AT25" s="503"/>
      <c r="AU25" s="503"/>
      <c r="AV25" s="503"/>
      <c r="AW25" s="503"/>
      <c r="AX25" s="503"/>
      <c r="AY25" s="503"/>
      <c r="AZ25" s="503"/>
      <c r="BA25" s="503"/>
      <c r="BB25" s="503"/>
      <c r="BC25" s="503"/>
      <c r="BD25" s="503"/>
      <c r="BE25" s="503"/>
      <c r="BF25" s="503"/>
      <c r="BG25" s="503"/>
      <c r="BH25" s="503"/>
      <c r="BI25" s="503"/>
      <c r="BJ25" s="503"/>
      <c r="BK25" s="503"/>
      <c r="BL25" s="503"/>
      <c r="BM25" s="503"/>
      <c r="BN25" s="503"/>
      <c r="BO25" s="503"/>
      <c r="BP25" s="597"/>
      <c r="BQ25" s="598">
        <f t="shared" si="0"/>
        <v>651.45000000000005</v>
      </c>
      <c r="BR25" s="550">
        <v>16</v>
      </c>
      <c r="BS25" s="551">
        <v>4</v>
      </c>
      <c r="BT25" s="551"/>
      <c r="BU25" s="551"/>
      <c r="BV25" s="551"/>
      <c r="BW25" s="551"/>
      <c r="BX25" s="551"/>
      <c r="BY25" s="551"/>
      <c r="BZ25" s="551"/>
      <c r="CA25" s="551"/>
      <c r="CB25" s="551"/>
      <c r="CC25" s="551"/>
      <c r="CD25" s="551"/>
      <c r="CE25" s="551"/>
      <c r="CF25" s="551"/>
      <c r="CG25" s="551"/>
      <c r="CH25" s="551"/>
      <c r="CI25" s="551"/>
      <c r="CJ25" s="551"/>
      <c r="CK25" s="551"/>
      <c r="CL25" s="551"/>
      <c r="CM25" s="551"/>
      <c r="CN25" s="551"/>
      <c r="CO25" s="551"/>
      <c r="CP25" s="551"/>
      <c r="CQ25" s="661">
        <f t="shared" si="6"/>
        <v>20</v>
      </c>
      <c r="CR25" s="551"/>
      <c r="CS25" s="534"/>
      <c r="CT25" s="534"/>
      <c r="CU25" s="534"/>
      <c r="CV25" s="534"/>
      <c r="CW25" s="551"/>
      <c r="CX25" s="551"/>
      <c r="CY25" s="551"/>
      <c r="CZ25" s="677"/>
      <c r="DA25" s="551"/>
      <c r="DB25" s="551"/>
      <c r="DC25" s="551"/>
      <c r="DD25" s="707"/>
      <c r="DE25" s="551"/>
      <c r="DF25" s="551"/>
      <c r="DG25" s="551"/>
      <c r="DH25" s="551"/>
      <c r="DI25" s="551"/>
      <c r="DJ25" s="551"/>
      <c r="DK25" s="551"/>
      <c r="DL25" s="551"/>
      <c r="DM25" s="551"/>
      <c r="DN25" s="551"/>
      <c r="DO25" s="718"/>
      <c r="DP25" s="719">
        <f t="shared" si="1"/>
        <v>0</v>
      </c>
      <c r="DQ25" s="727">
        <f t="shared" si="7"/>
        <v>20</v>
      </c>
      <c r="DR25" s="576">
        <v>37.200000000000003</v>
      </c>
      <c r="DS25" s="551">
        <v>37.200000000000003</v>
      </c>
      <c r="DT25" s="551"/>
      <c r="DU25" s="551"/>
      <c r="DV25" s="551"/>
      <c r="DW25" s="551"/>
      <c r="DX25" s="551"/>
      <c r="DY25" s="551"/>
      <c r="DZ25" s="551"/>
      <c r="EA25" s="551"/>
      <c r="EB25" s="551"/>
      <c r="EC25" s="551"/>
      <c r="ED25" s="551"/>
      <c r="EE25" s="551"/>
      <c r="EF25" s="551"/>
      <c r="EG25" s="551"/>
      <c r="EH25" s="551"/>
      <c r="EI25" s="551"/>
      <c r="EJ25" s="551"/>
      <c r="EK25" s="551"/>
      <c r="EL25" s="551"/>
      <c r="EM25" s="551"/>
      <c r="EN25" s="551"/>
      <c r="EO25" s="551"/>
      <c r="EP25" s="551"/>
      <c r="EQ25" s="551"/>
      <c r="ER25" s="551"/>
      <c r="ES25" s="551"/>
      <c r="ET25" s="551"/>
      <c r="EU25" s="551"/>
      <c r="EV25" s="551"/>
      <c r="EW25" s="551"/>
      <c r="EX25" s="551"/>
      <c r="EY25" s="551"/>
      <c r="EZ25" s="551"/>
      <c r="FA25" s="551"/>
      <c r="FB25" s="551"/>
      <c r="FC25" s="551"/>
      <c r="FD25" s="551"/>
      <c r="FE25" s="551"/>
      <c r="FF25" s="551"/>
      <c r="FG25" s="551"/>
      <c r="FH25" s="551"/>
      <c r="FI25" s="551"/>
      <c r="FJ25" s="551"/>
      <c r="FK25" s="551"/>
      <c r="FL25" s="551"/>
      <c r="FM25" s="752">
        <f t="shared" si="8"/>
        <v>74.400000000000006</v>
      </c>
      <c r="FN25" s="550"/>
      <c r="FO25" s="551"/>
      <c r="FP25" s="551"/>
      <c r="FQ25" s="551"/>
      <c r="FR25" s="551"/>
      <c r="FS25" s="551"/>
      <c r="FT25" s="551"/>
      <c r="FU25" s="551"/>
      <c r="FV25" s="551"/>
      <c r="FW25" s="551"/>
      <c r="FX25" s="551"/>
      <c r="FY25" s="551"/>
      <c r="FZ25" s="551"/>
      <c r="GA25" s="551"/>
      <c r="GB25" s="551"/>
      <c r="GC25" s="551">
        <f t="shared" si="2"/>
        <v>0</v>
      </c>
      <c r="GD25" s="767"/>
      <c r="GE25" s="551"/>
      <c r="GF25" s="551"/>
      <c r="GG25" s="551"/>
      <c r="GH25" s="551"/>
      <c r="GI25" s="551"/>
      <c r="GJ25" s="551"/>
      <c r="GK25" s="551"/>
      <c r="GL25" s="551"/>
      <c r="GM25" s="551"/>
      <c r="GN25" s="551"/>
      <c r="GO25" s="551"/>
      <c r="GP25" s="551"/>
      <c r="GQ25" s="551"/>
      <c r="GR25" s="551"/>
      <c r="GS25" s="551">
        <f t="shared" si="3"/>
        <v>0</v>
      </c>
      <c r="GT25" s="551"/>
      <c r="GU25" s="551"/>
      <c r="GV25" s="551"/>
      <c r="GW25" s="551"/>
      <c r="GX25" s="551"/>
      <c r="GY25" s="551"/>
      <c r="GZ25" s="551"/>
      <c r="HA25" s="551"/>
      <c r="HB25" s="551"/>
      <c r="HC25" s="551"/>
      <c r="HD25" s="551">
        <f t="shared" si="10"/>
        <v>0</v>
      </c>
      <c r="HE25" s="551">
        <f t="shared" si="11"/>
        <v>788.1</v>
      </c>
      <c r="HF25" s="551">
        <v>0</v>
      </c>
      <c r="HG25" s="551">
        <f t="shared" si="4"/>
        <v>-788.1</v>
      </c>
      <c r="HH25" s="773"/>
      <c r="HI25" s="793">
        <v>205.85</v>
      </c>
      <c r="HJ25" s="794">
        <f t="shared" si="9"/>
        <v>-582.25</v>
      </c>
      <c r="HK25" s="797"/>
      <c r="IA25" s="826"/>
      <c r="IB25" s="826"/>
      <c r="IC25" s="826"/>
    </row>
    <row r="26" spans="2:237" ht="15.75" hidden="1" customHeight="1">
      <c r="B26" s="499" t="s">
        <v>251</v>
      </c>
      <c r="C26" s="500" t="s">
        <v>252</v>
      </c>
      <c r="D26" s="501">
        <v>218.35</v>
      </c>
      <c r="E26" s="502">
        <v>20</v>
      </c>
      <c r="F26" s="503">
        <v>22</v>
      </c>
      <c r="G26" s="503"/>
      <c r="H26" s="503"/>
      <c r="I26" s="503">
        <v>185.6</v>
      </c>
      <c r="J26" s="503"/>
      <c r="K26" s="503"/>
      <c r="L26" s="503"/>
      <c r="M26" s="503"/>
      <c r="N26" s="503"/>
      <c r="O26" s="503"/>
      <c r="P26" s="503">
        <v>185.6</v>
      </c>
      <c r="Q26" s="503">
        <v>22</v>
      </c>
      <c r="R26" s="503">
        <v>57.6</v>
      </c>
      <c r="S26" s="503"/>
      <c r="T26" s="503"/>
      <c r="U26" s="503">
        <v>33</v>
      </c>
      <c r="V26" s="503"/>
      <c r="W26" s="503"/>
      <c r="X26" s="503">
        <v>20</v>
      </c>
      <c r="Y26" s="503">
        <v>12</v>
      </c>
      <c r="Z26" s="503">
        <v>90.25</v>
      </c>
      <c r="AA26" s="503"/>
      <c r="AB26" s="503">
        <v>85.8</v>
      </c>
      <c r="AC26" s="503"/>
      <c r="AD26" s="503"/>
      <c r="AE26" s="503"/>
      <c r="AF26" s="503"/>
      <c r="AG26" s="503"/>
      <c r="AH26" s="503"/>
      <c r="AI26" s="503"/>
      <c r="AJ26" s="503"/>
      <c r="AK26" s="503"/>
      <c r="AL26" s="503"/>
      <c r="AM26" s="503"/>
      <c r="AN26" s="503"/>
      <c r="AO26" s="503"/>
      <c r="AP26" s="503"/>
      <c r="AQ26" s="503"/>
      <c r="AR26" s="503"/>
      <c r="AS26" s="503"/>
      <c r="AT26" s="503"/>
      <c r="AU26" s="503"/>
      <c r="AV26" s="503"/>
      <c r="AW26" s="503"/>
      <c r="AX26" s="503"/>
      <c r="AY26" s="503"/>
      <c r="AZ26" s="503"/>
      <c r="BA26" s="503"/>
      <c r="BB26" s="503"/>
      <c r="BC26" s="503"/>
      <c r="BD26" s="503"/>
      <c r="BE26" s="503"/>
      <c r="BF26" s="503"/>
      <c r="BG26" s="503"/>
      <c r="BH26" s="503"/>
      <c r="BI26" s="503"/>
      <c r="BJ26" s="503"/>
      <c r="BK26" s="503"/>
      <c r="BL26" s="503"/>
      <c r="BM26" s="503"/>
      <c r="BN26" s="503"/>
      <c r="BO26" s="503"/>
      <c r="BP26" s="597"/>
      <c r="BQ26" s="598">
        <f t="shared" si="0"/>
        <v>733.84999999999991</v>
      </c>
      <c r="BR26" s="550">
        <v>20</v>
      </c>
      <c r="BS26" s="551">
        <v>5.5</v>
      </c>
      <c r="BT26" s="551"/>
      <c r="BU26" s="551"/>
      <c r="BV26" s="551"/>
      <c r="BW26" s="551"/>
      <c r="BX26" s="551"/>
      <c r="BY26" s="551"/>
      <c r="BZ26" s="551"/>
      <c r="CA26" s="551"/>
      <c r="CB26" s="551"/>
      <c r="CC26" s="551"/>
      <c r="CD26" s="551"/>
      <c r="CE26" s="551"/>
      <c r="CF26" s="551"/>
      <c r="CG26" s="551"/>
      <c r="CH26" s="551"/>
      <c r="CI26" s="551"/>
      <c r="CJ26" s="551"/>
      <c r="CK26" s="551"/>
      <c r="CL26" s="551"/>
      <c r="CM26" s="551"/>
      <c r="CN26" s="551"/>
      <c r="CO26" s="551"/>
      <c r="CP26" s="551"/>
      <c r="CQ26" s="661">
        <f t="shared" si="6"/>
        <v>25.5</v>
      </c>
      <c r="CR26" s="551"/>
      <c r="CS26" s="534"/>
      <c r="CT26" s="534"/>
      <c r="CU26" s="534"/>
      <c r="CV26" s="534"/>
      <c r="CW26" s="551"/>
      <c r="CX26" s="551"/>
      <c r="CY26" s="551"/>
      <c r="CZ26" s="677"/>
      <c r="DA26" s="551"/>
      <c r="DB26" s="551"/>
      <c r="DC26" s="551"/>
      <c r="DD26" s="707"/>
      <c r="DE26" s="551"/>
      <c r="DF26" s="551"/>
      <c r="DG26" s="551"/>
      <c r="DH26" s="551"/>
      <c r="DI26" s="551"/>
      <c r="DJ26" s="551"/>
      <c r="DK26" s="551"/>
      <c r="DL26" s="551"/>
      <c r="DM26" s="551"/>
      <c r="DN26" s="551"/>
      <c r="DO26" s="718"/>
      <c r="DP26" s="719">
        <f t="shared" si="1"/>
        <v>0</v>
      </c>
      <c r="DQ26" s="727">
        <f t="shared" si="7"/>
        <v>25.5</v>
      </c>
      <c r="DR26" s="576">
        <v>31.2</v>
      </c>
      <c r="DS26" s="551">
        <v>31.2</v>
      </c>
      <c r="DT26" s="551"/>
      <c r="DU26" s="551"/>
      <c r="DV26" s="551"/>
      <c r="DW26" s="551"/>
      <c r="DX26" s="551"/>
      <c r="DY26" s="551"/>
      <c r="DZ26" s="551"/>
      <c r="EA26" s="551"/>
      <c r="EB26" s="551"/>
      <c r="EC26" s="551"/>
      <c r="ED26" s="551"/>
      <c r="EE26" s="551"/>
      <c r="EF26" s="551"/>
      <c r="EG26" s="551"/>
      <c r="EH26" s="551"/>
      <c r="EI26" s="551"/>
      <c r="EJ26" s="551"/>
      <c r="EK26" s="551"/>
      <c r="EL26" s="551"/>
      <c r="EM26" s="551"/>
      <c r="EN26" s="551"/>
      <c r="EO26" s="551"/>
      <c r="EP26" s="551"/>
      <c r="EQ26" s="551"/>
      <c r="ER26" s="551"/>
      <c r="ES26" s="551"/>
      <c r="ET26" s="551"/>
      <c r="EU26" s="551"/>
      <c r="EV26" s="551"/>
      <c r="EW26" s="551"/>
      <c r="EX26" s="551"/>
      <c r="EY26" s="551"/>
      <c r="EZ26" s="551"/>
      <c r="FA26" s="551"/>
      <c r="FB26" s="551"/>
      <c r="FC26" s="551"/>
      <c r="FD26" s="551"/>
      <c r="FE26" s="551"/>
      <c r="FF26" s="551"/>
      <c r="FG26" s="551"/>
      <c r="FH26" s="551"/>
      <c r="FI26" s="551"/>
      <c r="FJ26" s="551"/>
      <c r="FK26" s="551"/>
      <c r="FL26" s="551"/>
      <c r="FM26" s="752">
        <f t="shared" si="8"/>
        <v>62.4</v>
      </c>
      <c r="FN26" s="550"/>
      <c r="FO26" s="551"/>
      <c r="FP26" s="551"/>
      <c r="FQ26" s="551"/>
      <c r="FR26" s="551"/>
      <c r="FS26" s="551"/>
      <c r="FT26" s="551"/>
      <c r="FU26" s="551"/>
      <c r="FV26" s="551"/>
      <c r="FW26" s="551"/>
      <c r="FX26" s="551"/>
      <c r="FY26" s="551"/>
      <c r="FZ26" s="551"/>
      <c r="GA26" s="551"/>
      <c r="GB26" s="551"/>
      <c r="GC26" s="551">
        <f t="shared" si="2"/>
        <v>0</v>
      </c>
      <c r="GD26" s="767"/>
      <c r="GE26" s="551"/>
      <c r="GF26" s="551"/>
      <c r="GG26" s="551"/>
      <c r="GH26" s="551"/>
      <c r="GI26" s="551"/>
      <c r="GJ26" s="551"/>
      <c r="GK26" s="551"/>
      <c r="GL26" s="551"/>
      <c r="GM26" s="551"/>
      <c r="GN26" s="551"/>
      <c r="GO26" s="551"/>
      <c r="GP26" s="551"/>
      <c r="GQ26" s="551"/>
      <c r="GR26" s="551"/>
      <c r="GS26" s="551">
        <f t="shared" si="3"/>
        <v>0</v>
      </c>
      <c r="GT26" s="551"/>
      <c r="GU26" s="551"/>
      <c r="GV26" s="551"/>
      <c r="GW26" s="551"/>
      <c r="GX26" s="551"/>
      <c r="GY26" s="551"/>
      <c r="GZ26" s="551"/>
      <c r="HA26" s="551"/>
      <c r="HB26" s="551"/>
      <c r="HC26" s="551"/>
      <c r="HD26" s="551">
        <f t="shared" si="10"/>
        <v>0</v>
      </c>
      <c r="HE26" s="551">
        <f t="shared" si="11"/>
        <v>864.3</v>
      </c>
      <c r="HF26" s="551">
        <v>0</v>
      </c>
      <c r="HG26" s="551">
        <f t="shared" si="4"/>
        <v>-864.3</v>
      </c>
      <c r="HH26" s="773"/>
      <c r="HI26" s="793">
        <v>203.65</v>
      </c>
      <c r="HJ26" s="794">
        <f t="shared" si="9"/>
        <v>-660.65</v>
      </c>
      <c r="HK26" s="797"/>
      <c r="IA26" s="825"/>
      <c r="IB26" s="825"/>
      <c r="IC26" s="825"/>
    </row>
    <row r="27" spans="2:237" ht="15.75" hidden="1" customHeight="1">
      <c r="B27" s="499" t="s">
        <v>253</v>
      </c>
      <c r="C27" s="500" t="s">
        <v>80</v>
      </c>
      <c r="D27" s="501">
        <v>516.44000000000005</v>
      </c>
      <c r="E27" s="502">
        <v>50</v>
      </c>
      <c r="F27" s="503">
        <v>50</v>
      </c>
      <c r="G27" s="503"/>
      <c r="H27" s="503"/>
      <c r="I27" s="503">
        <v>290</v>
      </c>
      <c r="J27" s="503"/>
      <c r="K27" s="503"/>
      <c r="L27" s="503"/>
      <c r="M27" s="503"/>
      <c r="N27" s="503"/>
      <c r="O27" s="503"/>
      <c r="P27" s="503">
        <v>290</v>
      </c>
      <c r="Q27" s="503">
        <v>50</v>
      </c>
      <c r="R27" s="503">
        <v>90</v>
      </c>
      <c r="S27" s="503"/>
      <c r="T27" s="503"/>
      <c r="U27" s="503"/>
      <c r="V27" s="503"/>
      <c r="W27" s="503"/>
      <c r="X27" s="503">
        <v>50</v>
      </c>
      <c r="Y27" s="503"/>
      <c r="Z27" s="503">
        <v>100</v>
      </c>
      <c r="AA27" s="503"/>
      <c r="AB27" s="503">
        <v>165</v>
      </c>
      <c r="AC27" s="503"/>
      <c r="AD27" s="503"/>
      <c r="AE27" s="503"/>
      <c r="AF27" s="503"/>
      <c r="AG27" s="503"/>
      <c r="AH27" s="503"/>
      <c r="AI27" s="503"/>
      <c r="AJ27" s="503"/>
      <c r="AK27" s="503"/>
      <c r="AL27" s="503"/>
      <c r="AM27" s="503"/>
      <c r="AN27" s="503"/>
      <c r="AO27" s="503"/>
      <c r="AP27" s="503"/>
      <c r="AQ27" s="503"/>
      <c r="AR27" s="503"/>
      <c r="AS27" s="503"/>
      <c r="AT27" s="503"/>
      <c r="AU27" s="503"/>
      <c r="AV27" s="503"/>
      <c r="AW27" s="503"/>
      <c r="AX27" s="503"/>
      <c r="AY27" s="503"/>
      <c r="AZ27" s="503"/>
      <c r="BA27" s="503"/>
      <c r="BB27" s="503"/>
      <c r="BC27" s="503"/>
      <c r="BD27" s="503"/>
      <c r="BE27" s="503"/>
      <c r="BF27" s="503"/>
      <c r="BG27" s="503"/>
      <c r="BH27" s="503"/>
      <c r="BI27" s="503"/>
      <c r="BJ27" s="503"/>
      <c r="BK27" s="503"/>
      <c r="BL27" s="503"/>
      <c r="BM27" s="503"/>
      <c r="BN27" s="503"/>
      <c r="BO27" s="503"/>
      <c r="BP27" s="597"/>
      <c r="BQ27" s="598">
        <f t="shared" si="0"/>
        <v>1135</v>
      </c>
      <c r="BR27" s="550">
        <v>27.2</v>
      </c>
      <c r="BS27" s="551">
        <v>4</v>
      </c>
      <c r="BT27" s="551"/>
      <c r="BU27" s="551"/>
      <c r="BV27" s="551"/>
      <c r="BW27" s="551"/>
      <c r="BX27" s="551"/>
      <c r="BY27" s="551"/>
      <c r="BZ27" s="551"/>
      <c r="CA27" s="551"/>
      <c r="CB27" s="551"/>
      <c r="CC27" s="551"/>
      <c r="CD27" s="551"/>
      <c r="CE27" s="551"/>
      <c r="CF27" s="551"/>
      <c r="CG27" s="551"/>
      <c r="CH27" s="551"/>
      <c r="CI27" s="551"/>
      <c r="CJ27" s="551"/>
      <c r="CK27" s="551"/>
      <c r="CL27" s="551"/>
      <c r="CM27" s="551"/>
      <c r="CN27" s="551"/>
      <c r="CO27" s="551"/>
      <c r="CP27" s="551"/>
      <c r="CQ27" s="661">
        <f t="shared" si="6"/>
        <v>31.2</v>
      </c>
      <c r="CR27" s="551"/>
      <c r="CS27" s="534"/>
      <c r="CT27" s="534"/>
      <c r="CU27" s="534"/>
      <c r="CV27" s="534"/>
      <c r="CW27" s="551"/>
      <c r="CX27" s="551"/>
      <c r="CY27" s="551"/>
      <c r="CZ27" s="677"/>
      <c r="DA27" s="551"/>
      <c r="DB27" s="551"/>
      <c r="DC27" s="551"/>
      <c r="DD27" s="707"/>
      <c r="DE27" s="551"/>
      <c r="DF27" s="551"/>
      <c r="DG27" s="551"/>
      <c r="DH27" s="551"/>
      <c r="DI27" s="551"/>
      <c r="DJ27" s="551"/>
      <c r="DK27" s="551"/>
      <c r="DL27" s="551"/>
      <c r="DM27" s="551"/>
      <c r="DN27" s="551"/>
      <c r="DO27" s="718"/>
      <c r="DP27" s="719">
        <f t="shared" si="1"/>
        <v>0</v>
      </c>
      <c r="DQ27" s="727">
        <f t="shared" si="7"/>
        <v>31.2</v>
      </c>
      <c r="DR27" s="576">
        <v>60</v>
      </c>
      <c r="DS27" s="551">
        <v>60</v>
      </c>
      <c r="DT27" s="551"/>
      <c r="DU27" s="551"/>
      <c r="DV27" s="551"/>
      <c r="DW27" s="551"/>
      <c r="DX27" s="551"/>
      <c r="DY27" s="551"/>
      <c r="DZ27" s="551"/>
      <c r="EA27" s="551"/>
      <c r="EB27" s="551"/>
      <c r="EC27" s="551"/>
      <c r="ED27" s="551"/>
      <c r="EE27" s="551"/>
      <c r="EF27" s="551"/>
      <c r="EG27" s="551"/>
      <c r="EH27" s="551"/>
      <c r="EI27" s="551"/>
      <c r="EJ27" s="551"/>
      <c r="EK27" s="551"/>
      <c r="EL27" s="551"/>
      <c r="EM27" s="551"/>
      <c r="EN27" s="551"/>
      <c r="EO27" s="551"/>
      <c r="EP27" s="551"/>
      <c r="EQ27" s="551"/>
      <c r="ER27" s="551"/>
      <c r="ES27" s="551"/>
      <c r="ET27" s="551"/>
      <c r="EU27" s="551"/>
      <c r="EV27" s="551"/>
      <c r="EW27" s="551"/>
      <c r="EX27" s="551"/>
      <c r="EY27" s="551"/>
      <c r="EZ27" s="551"/>
      <c r="FA27" s="551"/>
      <c r="FB27" s="551"/>
      <c r="FC27" s="551"/>
      <c r="FD27" s="551"/>
      <c r="FE27" s="551"/>
      <c r="FF27" s="551"/>
      <c r="FG27" s="551"/>
      <c r="FH27" s="551"/>
      <c r="FI27" s="551"/>
      <c r="FJ27" s="551"/>
      <c r="FK27" s="551"/>
      <c r="FL27" s="551"/>
      <c r="FM27" s="752">
        <f t="shared" si="8"/>
        <v>120</v>
      </c>
      <c r="FN27" s="550"/>
      <c r="FO27" s="551"/>
      <c r="FP27" s="551"/>
      <c r="FQ27" s="551"/>
      <c r="FR27" s="551"/>
      <c r="FS27" s="551"/>
      <c r="FT27" s="551"/>
      <c r="FU27" s="551"/>
      <c r="FV27" s="551"/>
      <c r="FW27" s="551"/>
      <c r="FX27" s="551"/>
      <c r="FY27" s="551"/>
      <c r="FZ27" s="551"/>
      <c r="GA27" s="551"/>
      <c r="GB27" s="551"/>
      <c r="GC27" s="551">
        <f t="shared" si="2"/>
        <v>0</v>
      </c>
      <c r="GD27" s="767"/>
      <c r="GE27" s="551"/>
      <c r="GF27" s="551"/>
      <c r="GG27" s="551"/>
      <c r="GH27" s="551"/>
      <c r="GI27" s="551"/>
      <c r="GJ27" s="551"/>
      <c r="GK27" s="551"/>
      <c r="GL27" s="551"/>
      <c r="GM27" s="551"/>
      <c r="GN27" s="551"/>
      <c r="GO27" s="551"/>
      <c r="GP27" s="551"/>
      <c r="GQ27" s="551"/>
      <c r="GR27" s="551"/>
      <c r="GS27" s="551">
        <f t="shared" si="3"/>
        <v>0</v>
      </c>
      <c r="GT27" s="551"/>
      <c r="GU27" s="551"/>
      <c r="GV27" s="551"/>
      <c r="GW27" s="551"/>
      <c r="GX27" s="551"/>
      <c r="GY27" s="551"/>
      <c r="GZ27" s="551"/>
      <c r="HA27" s="551"/>
      <c r="HB27" s="551"/>
      <c r="HC27" s="551"/>
      <c r="HD27" s="551">
        <f t="shared" si="10"/>
        <v>0</v>
      </c>
      <c r="HE27" s="551">
        <f t="shared" si="11"/>
        <v>1500.24</v>
      </c>
      <c r="HF27" s="551">
        <v>0</v>
      </c>
      <c r="HG27" s="551">
        <f t="shared" si="4"/>
        <v>-1500.24</v>
      </c>
      <c r="HH27" s="773"/>
      <c r="HI27" s="793">
        <f t="shared" si="5"/>
        <v>0</v>
      </c>
      <c r="HJ27" s="794">
        <f t="shared" si="9"/>
        <v>-1500.24</v>
      </c>
      <c r="HK27" s="797"/>
      <c r="IA27" s="826"/>
      <c r="IB27" s="827"/>
      <c r="IC27" s="827"/>
    </row>
    <row r="28" spans="2:237" ht="16.5" hidden="1" customHeight="1">
      <c r="B28" s="506" t="s">
        <v>254</v>
      </c>
      <c r="C28" s="507" t="s">
        <v>255</v>
      </c>
      <c r="D28" s="508">
        <v>101.3719</v>
      </c>
      <c r="E28" s="509">
        <v>6</v>
      </c>
      <c r="F28" s="510">
        <v>6</v>
      </c>
      <c r="G28" s="510"/>
      <c r="H28" s="510"/>
      <c r="I28" s="510">
        <v>66.7</v>
      </c>
      <c r="J28" s="510"/>
      <c r="K28" s="510"/>
      <c r="L28" s="510"/>
      <c r="M28" s="510"/>
      <c r="N28" s="510"/>
      <c r="O28" s="510"/>
      <c r="P28" s="510">
        <v>66.7</v>
      </c>
      <c r="Q28" s="510">
        <v>6</v>
      </c>
      <c r="R28" s="510">
        <v>20.7</v>
      </c>
      <c r="S28" s="510"/>
      <c r="T28" s="510"/>
      <c r="U28" s="510">
        <v>9</v>
      </c>
      <c r="V28" s="510"/>
      <c r="W28" s="510"/>
      <c r="X28" s="510">
        <v>6</v>
      </c>
      <c r="Y28" s="510"/>
      <c r="Z28" s="510">
        <v>29.45</v>
      </c>
      <c r="AA28" s="510"/>
      <c r="AB28" s="510">
        <v>35.97</v>
      </c>
      <c r="AC28" s="510"/>
      <c r="AD28" s="510"/>
      <c r="AE28" s="510"/>
      <c r="AF28" s="510"/>
      <c r="AG28" s="510"/>
      <c r="AH28" s="510"/>
      <c r="AI28" s="510"/>
      <c r="AJ28" s="510"/>
      <c r="AK28" s="510"/>
      <c r="AL28" s="510"/>
      <c r="AM28" s="510"/>
      <c r="AN28" s="510"/>
      <c r="AO28" s="510"/>
      <c r="AP28" s="510"/>
      <c r="AQ28" s="510"/>
      <c r="AR28" s="510"/>
      <c r="AS28" s="510"/>
      <c r="AT28" s="510"/>
      <c r="AU28" s="510"/>
      <c r="AV28" s="510"/>
      <c r="AW28" s="510"/>
      <c r="AX28" s="510"/>
      <c r="AY28" s="510"/>
      <c r="AZ28" s="510"/>
      <c r="BA28" s="510"/>
      <c r="BB28" s="510"/>
      <c r="BC28" s="510"/>
      <c r="BD28" s="510"/>
      <c r="BE28" s="510"/>
      <c r="BF28" s="510"/>
      <c r="BG28" s="510"/>
      <c r="BH28" s="510"/>
      <c r="BI28" s="510"/>
      <c r="BJ28" s="510"/>
      <c r="BK28" s="510"/>
      <c r="BL28" s="510"/>
      <c r="BM28" s="510"/>
      <c r="BN28" s="510"/>
      <c r="BO28" s="510"/>
      <c r="BP28" s="599"/>
      <c r="BQ28" s="600">
        <f t="shared" si="0"/>
        <v>252.51999999999998</v>
      </c>
      <c r="BR28" s="553">
        <v>6</v>
      </c>
      <c r="BS28" s="601">
        <v>1.5</v>
      </c>
      <c r="BT28" s="601"/>
      <c r="BU28" s="601"/>
      <c r="BV28" s="601"/>
      <c r="BW28" s="601"/>
      <c r="BX28" s="601"/>
      <c r="BY28" s="601"/>
      <c r="BZ28" s="601"/>
      <c r="CA28" s="601"/>
      <c r="CB28" s="601"/>
      <c r="CC28" s="601"/>
      <c r="CD28" s="601"/>
      <c r="CE28" s="601"/>
      <c r="CF28" s="601"/>
      <c r="CG28" s="601"/>
      <c r="CH28" s="601"/>
      <c r="CI28" s="601"/>
      <c r="CJ28" s="601"/>
      <c r="CK28" s="601"/>
      <c r="CL28" s="601"/>
      <c r="CM28" s="601"/>
      <c r="CN28" s="601"/>
      <c r="CO28" s="601"/>
      <c r="CP28" s="601"/>
      <c r="CQ28" s="662">
        <f t="shared" si="6"/>
        <v>7.5</v>
      </c>
      <c r="CR28" s="601"/>
      <c r="CS28" s="678"/>
      <c r="CT28" s="678"/>
      <c r="CU28" s="678"/>
      <c r="CV28" s="678"/>
      <c r="CW28" s="601"/>
      <c r="CX28" s="601"/>
      <c r="CY28" s="601"/>
      <c r="CZ28" s="679"/>
      <c r="DA28" s="601"/>
      <c r="DB28" s="601"/>
      <c r="DC28" s="601"/>
      <c r="DD28" s="708"/>
      <c r="DE28" s="601"/>
      <c r="DF28" s="601"/>
      <c r="DG28" s="601"/>
      <c r="DH28" s="601"/>
      <c r="DI28" s="601"/>
      <c r="DJ28" s="601"/>
      <c r="DK28" s="601"/>
      <c r="DL28" s="601"/>
      <c r="DM28" s="601"/>
      <c r="DN28" s="601"/>
      <c r="DO28" s="720"/>
      <c r="DP28" s="721">
        <f t="shared" si="1"/>
        <v>0</v>
      </c>
      <c r="DQ28" s="728">
        <f t="shared" si="7"/>
        <v>7.5</v>
      </c>
      <c r="DR28" s="573">
        <v>13.08</v>
      </c>
      <c r="DS28" s="540">
        <v>13.08</v>
      </c>
      <c r="DT28" s="540"/>
      <c r="DU28" s="540"/>
      <c r="DV28" s="540"/>
      <c r="DW28" s="540"/>
      <c r="DX28" s="540"/>
      <c r="DY28" s="540"/>
      <c r="DZ28" s="540"/>
      <c r="EA28" s="540"/>
      <c r="EB28" s="540"/>
      <c r="EC28" s="540"/>
      <c r="ED28" s="540"/>
      <c r="EE28" s="540"/>
      <c r="EF28" s="540"/>
      <c r="EG28" s="540"/>
      <c r="EH28" s="540"/>
      <c r="EI28" s="540"/>
      <c r="EJ28" s="540"/>
      <c r="EK28" s="540"/>
      <c r="EL28" s="540"/>
      <c r="EM28" s="540"/>
      <c r="EN28" s="540"/>
      <c r="EO28" s="540"/>
      <c r="EP28" s="540"/>
      <c r="EQ28" s="540"/>
      <c r="ER28" s="540"/>
      <c r="ES28" s="540"/>
      <c r="ET28" s="540"/>
      <c r="EU28" s="540"/>
      <c r="EV28" s="540"/>
      <c r="EW28" s="540"/>
      <c r="EX28" s="540"/>
      <c r="EY28" s="540"/>
      <c r="EZ28" s="540"/>
      <c r="FA28" s="540"/>
      <c r="FB28" s="540"/>
      <c r="FC28" s="540"/>
      <c r="FD28" s="540"/>
      <c r="FE28" s="540"/>
      <c r="FF28" s="540"/>
      <c r="FG28" s="540"/>
      <c r="FH28" s="540"/>
      <c r="FI28" s="540"/>
      <c r="FJ28" s="540"/>
      <c r="FK28" s="540"/>
      <c r="FL28" s="540"/>
      <c r="FM28" s="753">
        <f t="shared" si="8"/>
        <v>26.16</v>
      </c>
      <c r="FN28" s="553"/>
      <c r="FO28" s="601"/>
      <c r="FP28" s="601"/>
      <c r="FQ28" s="601"/>
      <c r="FR28" s="601"/>
      <c r="FS28" s="601"/>
      <c r="FT28" s="601"/>
      <c r="FU28" s="601"/>
      <c r="FV28" s="601"/>
      <c r="FW28" s="601"/>
      <c r="FX28" s="601"/>
      <c r="FY28" s="601"/>
      <c r="FZ28" s="601"/>
      <c r="GA28" s="601"/>
      <c r="GB28" s="601"/>
      <c r="GC28" s="601">
        <f t="shared" si="2"/>
        <v>0</v>
      </c>
      <c r="GD28" s="768"/>
      <c r="GE28" s="601"/>
      <c r="GF28" s="601"/>
      <c r="GG28" s="601"/>
      <c r="GH28" s="601"/>
      <c r="GI28" s="601"/>
      <c r="GJ28" s="601"/>
      <c r="GK28" s="601"/>
      <c r="GL28" s="601"/>
      <c r="GM28" s="601"/>
      <c r="GN28" s="601"/>
      <c r="GO28" s="601"/>
      <c r="GP28" s="601"/>
      <c r="GQ28" s="601"/>
      <c r="GR28" s="601"/>
      <c r="GS28" s="601">
        <f t="shared" si="3"/>
        <v>0</v>
      </c>
      <c r="GT28" s="601"/>
      <c r="GU28" s="601"/>
      <c r="GV28" s="601"/>
      <c r="GW28" s="601"/>
      <c r="GX28" s="601"/>
      <c r="GY28" s="601"/>
      <c r="GZ28" s="601"/>
      <c r="HA28" s="601"/>
      <c r="HB28" s="601"/>
      <c r="HC28" s="601"/>
      <c r="HD28" s="601">
        <f t="shared" si="10"/>
        <v>0</v>
      </c>
      <c r="HE28" s="601">
        <f t="shared" si="11"/>
        <v>320.23189999999994</v>
      </c>
      <c r="HF28" s="601">
        <v>0</v>
      </c>
      <c r="HG28" s="601">
        <f t="shared" si="4"/>
        <v>-320.23189999999994</v>
      </c>
      <c r="HH28" s="774"/>
      <c r="HI28" s="798">
        <f t="shared" si="5"/>
        <v>0</v>
      </c>
      <c r="HJ28" s="799">
        <f t="shared" si="9"/>
        <v>-320.23189999999994</v>
      </c>
      <c r="HK28" s="800"/>
      <c r="IA28" s="828"/>
      <c r="IB28" s="828"/>
      <c r="IC28" s="828"/>
    </row>
    <row r="29" spans="2:237" ht="15.75" hidden="1" customHeight="1">
      <c r="B29" s="493" t="s">
        <v>256</v>
      </c>
      <c r="C29" s="494" t="s">
        <v>257</v>
      </c>
      <c r="D29" s="495">
        <v>6.85</v>
      </c>
      <c r="E29" s="496"/>
      <c r="F29" s="497"/>
      <c r="G29" s="497"/>
      <c r="H29" s="497"/>
      <c r="I29" s="497"/>
      <c r="J29" s="497"/>
      <c r="K29" s="497"/>
      <c r="L29" s="497"/>
      <c r="M29" s="497"/>
      <c r="N29" s="497"/>
      <c r="O29" s="497"/>
      <c r="P29" s="497"/>
      <c r="Q29" s="497"/>
      <c r="R29" s="497"/>
      <c r="S29" s="497"/>
      <c r="T29" s="497"/>
      <c r="U29" s="497"/>
      <c r="V29" s="497"/>
      <c r="W29" s="497"/>
      <c r="X29" s="497"/>
      <c r="Y29" s="497"/>
      <c r="Z29" s="497">
        <v>11.4</v>
      </c>
      <c r="AA29" s="497"/>
      <c r="AB29" s="497"/>
      <c r="AC29" s="497"/>
      <c r="AD29" s="497"/>
      <c r="AE29" s="497"/>
      <c r="AF29" s="497"/>
      <c r="AG29" s="497"/>
      <c r="AH29" s="497"/>
      <c r="AI29" s="497"/>
      <c r="AJ29" s="497"/>
      <c r="AK29" s="497"/>
      <c r="AL29" s="497"/>
      <c r="AM29" s="497"/>
      <c r="AN29" s="497"/>
      <c r="AO29" s="497"/>
      <c r="AP29" s="497"/>
      <c r="AQ29" s="497"/>
      <c r="AR29" s="497"/>
      <c r="AS29" s="497"/>
      <c r="AT29" s="497"/>
      <c r="AU29" s="497"/>
      <c r="AV29" s="497"/>
      <c r="AW29" s="497"/>
      <c r="AX29" s="497"/>
      <c r="AY29" s="497"/>
      <c r="AZ29" s="497"/>
      <c r="BA29" s="497"/>
      <c r="BB29" s="497"/>
      <c r="BC29" s="497"/>
      <c r="BD29" s="497"/>
      <c r="BE29" s="497"/>
      <c r="BF29" s="497"/>
      <c r="BG29" s="497"/>
      <c r="BH29" s="497"/>
      <c r="BI29" s="497"/>
      <c r="BJ29" s="497"/>
      <c r="BK29" s="497"/>
      <c r="BL29" s="497"/>
      <c r="BM29" s="497"/>
      <c r="BN29" s="497"/>
      <c r="BO29" s="497"/>
      <c r="BP29" s="595"/>
      <c r="BQ29" s="596">
        <f t="shared" si="0"/>
        <v>11.4</v>
      </c>
      <c r="BR29" s="543"/>
      <c r="BS29" s="544"/>
      <c r="BT29" s="544"/>
      <c r="BU29" s="544"/>
      <c r="BV29" s="544"/>
      <c r="BW29" s="544"/>
      <c r="BX29" s="544"/>
      <c r="BY29" s="544"/>
      <c r="BZ29" s="544"/>
      <c r="CA29" s="544"/>
      <c r="CB29" s="544"/>
      <c r="CC29" s="544"/>
      <c r="CD29" s="544"/>
      <c r="CE29" s="544"/>
      <c r="CF29" s="544"/>
      <c r="CG29" s="544"/>
      <c r="CH29" s="544"/>
      <c r="CI29" s="544"/>
      <c r="CJ29" s="544"/>
      <c r="CK29" s="544"/>
      <c r="CL29" s="544"/>
      <c r="CM29" s="544"/>
      <c r="CN29" s="544"/>
      <c r="CO29" s="544"/>
      <c r="CP29" s="544"/>
      <c r="CQ29" s="663">
        <f t="shared" si="6"/>
        <v>0</v>
      </c>
      <c r="CR29" s="544"/>
      <c r="CS29" s="675"/>
      <c r="CT29" s="675"/>
      <c r="CU29" s="675"/>
      <c r="CV29" s="675"/>
      <c r="CW29" s="544"/>
      <c r="CX29" s="544"/>
      <c r="CY29" s="544"/>
      <c r="CZ29" s="676"/>
      <c r="DA29" s="544"/>
      <c r="DB29" s="544"/>
      <c r="DC29" s="544"/>
      <c r="DD29" s="706"/>
      <c r="DE29" s="544"/>
      <c r="DF29" s="544"/>
      <c r="DG29" s="544"/>
      <c r="DH29" s="544"/>
      <c r="DI29" s="544"/>
      <c r="DJ29" s="544"/>
      <c r="DK29" s="544"/>
      <c r="DL29" s="544"/>
      <c r="DM29" s="544"/>
      <c r="DN29" s="544"/>
      <c r="DO29" s="716"/>
      <c r="DP29" s="528">
        <f t="shared" si="1"/>
        <v>0</v>
      </c>
      <c r="DQ29" s="729">
        <f t="shared" si="7"/>
        <v>0</v>
      </c>
      <c r="DR29" s="580"/>
      <c r="DS29" s="567"/>
      <c r="DT29" s="567"/>
      <c r="DU29" s="567"/>
      <c r="DV29" s="567"/>
      <c r="DW29" s="567"/>
      <c r="DX29" s="567"/>
      <c r="DY29" s="567"/>
      <c r="DZ29" s="567"/>
      <c r="EA29" s="567"/>
      <c r="EB29" s="567"/>
      <c r="EC29" s="567"/>
      <c r="ED29" s="567"/>
      <c r="EE29" s="567"/>
      <c r="EF29" s="567"/>
      <c r="EG29" s="567"/>
      <c r="EH29" s="567"/>
      <c r="EI29" s="567"/>
      <c r="EJ29" s="567"/>
      <c r="EK29" s="567"/>
      <c r="EL29" s="567"/>
      <c r="EM29" s="567"/>
      <c r="EN29" s="567"/>
      <c r="EO29" s="567"/>
      <c r="EP29" s="567"/>
      <c r="EQ29" s="567"/>
      <c r="ER29" s="567"/>
      <c r="ES29" s="567"/>
      <c r="ET29" s="567"/>
      <c r="EU29" s="567"/>
      <c r="EV29" s="567"/>
      <c r="EW29" s="567"/>
      <c r="EX29" s="567"/>
      <c r="EY29" s="567"/>
      <c r="EZ29" s="567"/>
      <c r="FA29" s="567"/>
      <c r="FB29" s="567"/>
      <c r="FC29" s="567"/>
      <c r="FD29" s="567"/>
      <c r="FE29" s="567"/>
      <c r="FF29" s="567"/>
      <c r="FG29" s="567"/>
      <c r="FH29" s="567"/>
      <c r="FI29" s="567"/>
      <c r="FJ29" s="567"/>
      <c r="FK29" s="567"/>
      <c r="FL29" s="747"/>
      <c r="FM29" s="754">
        <f t="shared" si="8"/>
        <v>0</v>
      </c>
      <c r="FN29" s="544"/>
      <c r="FO29" s="544"/>
      <c r="FP29" s="544"/>
      <c r="FQ29" s="544"/>
      <c r="FR29" s="544"/>
      <c r="FS29" s="544"/>
      <c r="FT29" s="544"/>
      <c r="FU29" s="544"/>
      <c r="FV29" s="544"/>
      <c r="FW29" s="544"/>
      <c r="FX29" s="544"/>
      <c r="FY29" s="544"/>
      <c r="FZ29" s="544"/>
      <c r="GA29" s="544"/>
      <c r="GB29" s="544"/>
      <c r="GC29" s="544">
        <f t="shared" si="2"/>
        <v>0</v>
      </c>
      <c r="GD29" s="769"/>
      <c r="GE29" s="544"/>
      <c r="GF29" s="544"/>
      <c r="GG29" s="544"/>
      <c r="GH29" s="544"/>
      <c r="GI29" s="544"/>
      <c r="GJ29" s="544"/>
      <c r="GK29" s="544"/>
      <c r="GL29" s="544"/>
      <c r="GM29" s="544"/>
      <c r="GN29" s="544"/>
      <c r="GO29" s="544"/>
      <c r="GP29" s="544"/>
      <c r="GQ29" s="544"/>
      <c r="GR29" s="544"/>
      <c r="GS29" s="544">
        <f t="shared" si="3"/>
        <v>0</v>
      </c>
      <c r="GT29" s="544"/>
      <c r="GU29" s="544"/>
      <c r="GV29" s="544"/>
      <c r="GW29" s="544"/>
      <c r="GX29" s="544"/>
      <c r="GY29" s="544"/>
      <c r="GZ29" s="544"/>
      <c r="HA29" s="544"/>
      <c r="HB29" s="544"/>
      <c r="HC29" s="544"/>
      <c r="HD29" s="544">
        <f t="shared" si="10"/>
        <v>0</v>
      </c>
      <c r="HE29" s="775">
        <f t="shared" si="11"/>
        <v>18.25</v>
      </c>
      <c r="HF29" s="543">
        <v>0</v>
      </c>
      <c r="HG29" s="544">
        <f t="shared" si="4"/>
        <v>-18.25</v>
      </c>
      <c r="HH29" s="772"/>
      <c r="HI29" s="801">
        <f t="shared" si="5"/>
        <v>0</v>
      </c>
      <c r="HJ29" s="802">
        <f t="shared" si="9"/>
        <v>-18.25</v>
      </c>
      <c r="HK29" s="803"/>
    </row>
    <row r="30" spans="2:237" ht="15.75" hidden="1" customHeight="1">
      <c r="B30" s="499" t="s">
        <v>258</v>
      </c>
      <c r="C30" s="500" t="s">
        <v>259</v>
      </c>
      <c r="D30" s="501">
        <v>34.32</v>
      </c>
      <c r="E30" s="502">
        <v>13</v>
      </c>
      <c r="F30" s="503"/>
      <c r="G30" s="503"/>
      <c r="H30" s="503"/>
      <c r="I30" s="503"/>
      <c r="J30" s="503"/>
      <c r="K30" s="503"/>
      <c r="L30" s="503"/>
      <c r="M30" s="503"/>
      <c r="N30" s="503"/>
      <c r="O30" s="503"/>
      <c r="P30" s="503"/>
      <c r="Q30" s="503"/>
      <c r="R30" s="503"/>
      <c r="S30" s="503"/>
      <c r="T30" s="503"/>
      <c r="U30" s="503"/>
      <c r="V30" s="503"/>
      <c r="W30" s="503"/>
      <c r="X30" s="503">
        <v>13</v>
      </c>
      <c r="Y30" s="503">
        <v>26</v>
      </c>
      <c r="Z30" s="503"/>
      <c r="AA30" s="503"/>
      <c r="AB30" s="503">
        <v>21.78</v>
      </c>
      <c r="AC30" s="503"/>
      <c r="AD30" s="503"/>
      <c r="AE30" s="503"/>
      <c r="AF30" s="503"/>
      <c r="AG30" s="503"/>
      <c r="AH30" s="503"/>
      <c r="AI30" s="503"/>
      <c r="AJ30" s="503"/>
      <c r="AK30" s="503"/>
      <c r="AL30" s="503"/>
      <c r="AM30" s="503"/>
      <c r="AN30" s="503"/>
      <c r="AO30" s="591"/>
      <c r="AP30" s="503"/>
      <c r="AQ30" s="503"/>
      <c r="AR30" s="503"/>
      <c r="AS30" s="503"/>
      <c r="AT30" s="503"/>
      <c r="AU30" s="503"/>
      <c r="AV30" s="503"/>
      <c r="AW30" s="503"/>
      <c r="AX30" s="503"/>
      <c r="AY30" s="503"/>
      <c r="AZ30" s="503"/>
      <c r="BA30" s="503"/>
      <c r="BB30" s="503"/>
      <c r="BC30" s="503"/>
      <c r="BD30" s="503"/>
      <c r="BE30" s="503"/>
      <c r="BF30" s="503"/>
      <c r="BG30" s="503"/>
      <c r="BH30" s="503"/>
      <c r="BI30" s="503"/>
      <c r="BJ30" s="503"/>
      <c r="BK30" s="503"/>
      <c r="BL30" s="503"/>
      <c r="BM30" s="503"/>
      <c r="BN30" s="503"/>
      <c r="BO30" s="503"/>
      <c r="BP30" s="597"/>
      <c r="BQ30" s="598">
        <f t="shared" si="0"/>
        <v>73.78</v>
      </c>
      <c r="BR30" s="550">
        <v>13</v>
      </c>
      <c r="BS30" s="551"/>
      <c r="BT30" s="551"/>
      <c r="BU30" s="551"/>
      <c r="BV30" s="551"/>
      <c r="BW30" s="551"/>
      <c r="BX30" s="551"/>
      <c r="BY30" s="551"/>
      <c r="BZ30" s="551"/>
      <c r="CA30" s="551"/>
      <c r="CB30" s="551"/>
      <c r="CC30" s="551"/>
      <c r="CD30" s="551"/>
      <c r="CE30" s="551"/>
      <c r="CF30" s="551"/>
      <c r="CG30" s="551"/>
      <c r="CH30" s="551"/>
      <c r="CI30" s="551"/>
      <c r="CJ30" s="551"/>
      <c r="CK30" s="551"/>
      <c r="CL30" s="551"/>
      <c r="CM30" s="551"/>
      <c r="CN30" s="551"/>
      <c r="CO30" s="551"/>
      <c r="CP30" s="551"/>
      <c r="CQ30" s="661">
        <f t="shared" si="6"/>
        <v>13</v>
      </c>
      <c r="CR30" s="551"/>
      <c r="CS30" s="534"/>
      <c r="CT30" s="534"/>
      <c r="CU30" s="534"/>
      <c r="CV30" s="534"/>
      <c r="CW30" s="551"/>
      <c r="CX30" s="551"/>
      <c r="CY30" s="551"/>
      <c r="CZ30" s="677"/>
      <c r="DA30" s="551"/>
      <c r="DB30" s="551"/>
      <c r="DC30" s="551"/>
      <c r="DD30" s="707"/>
      <c r="DE30" s="551"/>
      <c r="DF30" s="551"/>
      <c r="DG30" s="551"/>
      <c r="DH30" s="551"/>
      <c r="DI30" s="551"/>
      <c r="DJ30" s="551"/>
      <c r="DK30" s="551"/>
      <c r="DL30" s="551"/>
      <c r="DM30" s="551"/>
      <c r="DN30" s="551"/>
      <c r="DO30" s="718"/>
      <c r="DP30" s="532">
        <f t="shared" si="1"/>
        <v>0</v>
      </c>
      <c r="DQ30" s="730">
        <f t="shared" si="7"/>
        <v>13</v>
      </c>
      <c r="DR30" s="576">
        <v>7.92</v>
      </c>
      <c r="DS30" s="551">
        <v>7.92</v>
      </c>
      <c r="DT30" s="551"/>
      <c r="DU30" s="551"/>
      <c r="DV30" s="551"/>
      <c r="DW30" s="551"/>
      <c r="DX30" s="551"/>
      <c r="DY30" s="551"/>
      <c r="DZ30" s="551"/>
      <c r="EA30" s="551"/>
      <c r="EB30" s="551"/>
      <c r="EC30" s="551"/>
      <c r="ED30" s="551"/>
      <c r="EE30" s="551"/>
      <c r="EF30" s="551"/>
      <c r="EG30" s="551"/>
      <c r="EH30" s="551"/>
      <c r="EI30" s="551"/>
      <c r="EJ30" s="551"/>
      <c r="EK30" s="551"/>
      <c r="EL30" s="551"/>
      <c r="EM30" s="551"/>
      <c r="EN30" s="551"/>
      <c r="EO30" s="551"/>
      <c r="EP30" s="551"/>
      <c r="EQ30" s="551"/>
      <c r="ER30" s="551"/>
      <c r="ES30" s="551"/>
      <c r="ET30" s="551"/>
      <c r="EU30" s="551"/>
      <c r="EV30" s="551"/>
      <c r="EW30" s="551"/>
      <c r="EX30" s="551"/>
      <c r="EY30" s="551"/>
      <c r="EZ30" s="551"/>
      <c r="FA30" s="551"/>
      <c r="FB30" s="551"/>
      <c r="FC30" s="551"/>
      <c r="FD30" s="551"/>
      <c r="FE30" s="551"/>
      <c r="FF30" s="551"/>
      <c r="FG30" s="551"/>
      <c r="FH30" s="551"/>
      <c r="FI30" s="551"/>
      <c r="FJ30" s="551"/>
      <c r="FK30" s="551"/>
      <c r="FL30" s="718"/>
      <c r="FM30" s="755">
        <f t="shared" si="8"/>
        <v>15.84</v>
      </c>
      <c r="FN30" s="551"/>
      <c r="FO30" s="551"/>
      <c r="FP30" s="551"/>
      <c r="FQ30" s="551"/>
      <c r="FR30" s="551"/>
      <c r="FS30" s="551"/>
      <c r="FT30" s="551"/>
      <c r="FU30" s="551"/>
      <c r="FV30" s="551"/>
      <c r="FW30" s="551"/>
      <c r="FX30" s="551"/>
      <c r="FY30" s="551"/>
      <c r="FZ30" s="551"/>
      <c r="GA30" s="551"/>
      <c r="GB30" s="551"/>
      <c r="GC30" s="551">
        <f t="shared" si="2"/>
        <v>0</v>
      </c>
      <c r="GD30" s="767"/>
      <c r="GE30" s="551"/>
      <c r="GF30" s="551"/>
      <c r="GG30" s="551"/>
      <c r="GH30" s="551"/>
      <c r="GI30" s="551"/>
      <c r="GJ30" s="551"/>
      <c r="GK30" s="551"/>
      <c r="GL30" s="551"/>
      <c r="GM30" s="551"/>
      <c r="GN30" s="551"/>
      <c r="GO30" s="551"/>
      <c r="GP30" s="551"/>
      <c r="GQ30" s="551"/>
      <c r="GR30" s="551"/>
      <c r="GS30" s="551">
        <f t="shared" si="3"/>
        <v>0</v>
      </c>
      <c r="GT30" s="551"/>
      <c r="GU30" s="551"/>
      <c r="GV30" s="551"/>
      <c r="GW30" s="551"/>
      <c r="GX30" s="551"/>
      <c r="GY30" s="551"/>
      <c r="GZ30" s="551"/>
      <c r="HA30" s="551"/>
      <c r="HB30" s="551"/>
      <c r="HC30" s="551"/>
      <c r="HD30" s="551">
        <f t="shared" si="10"/>
        <v>0</v>
      </c>
      <c r="HE30" s="776">
        <f t="shared" si="11"/>
        <v>79.259999999999991</v>
      </c>
      <c r="HF30" s="550">
        <v>0</v>
      </c>
      <c r="HG30" s="551">
        <f t="shared" si="4"/>
        <v>-79.259999999999991</v>
      </c>
      <c r="HH30" s="773"/>
      <c r="HI30" s="804">
        <f t="shared" si="5"/>
        <v>0</v>
      </c>
      <c r="HJ30" s="805">
        <f t="shared" si="9"/>
        <v>-79.259999999999991</v>
      </c>
      <c r="HK30" s="803"/>
    </row>
    <row r="31" spans="2:237" ht="15.75" hidden="1" customHeight="1">
      <c r="B31" s="499" t="s">
        <v>260</v>
      </c>
      <c r="C31" s="500" t="s">
        <v>261</v>
      </c>
      <c r="D31" s="501"/>
      <c r="E31" s="502"/>
      <c r="F31" s="503">
        <v>10</v>
      </c>
      <c r="G31" s="503"/>
      <c r="H31" s="503"/>
      <c r="I31" s="503">
        <v>42.92</v>
      </c>
      <c r="J31" s="503"/>
      <c r="K31" s="503"/>
      <c r="L31" s="503"/>
      <c r="M31" s="503"/>
      <c r="N31" s="503"/>
      <c r="O31" s="503"/>
      <c r="P31" s="503">
        <v>42.92</v>
      </c>
      <c r="Q31" s="503">
        <v>10</v>
      </c>
      <c r="R31" s="503">
        <v>13.32</v>
      </c>
      <c r="S31" s="503"/>
      <c r="T31" s="503"/>
      <c r="U31" s="503">
        <v>15</v>
      </c>
      <c r="V31" s="503"/>
      <c r="W31" s="503"/>
      <c r="X31" s="503"/>
      <c r="Y31" s="503"/>
      <c r="Z31" s="503"/>
      <c r="AA31" s="503"/>
      <c r="AB31" s="503"/>
      <c r="AC31" s="503"/>
      <c r="AD31" s="503"/>
      <c r="AE31" s="503"/>
      <c r="AF31" s="503"/>
      <c r="AG31" s="503"/>
      <c r="AH31" s="503"/>
      <c r="AI31" s="503"/>
      <c r="AJ31" s="503"/>
      <c r="AK31" s="503"/>
      <c r="AL31" s="503"/>
      <c r="AM31" s="503"/>
      <c r="AN31" s="503"/>
      <c r="AO31" s="503"/>
      <c r="AP31" s="503"/>
      <c r="AQ31" s="503"/>
      <c r="AR31" s="503"/>
      <c r="AS31" s="503"/>
      <c r="AT31" s="503"/>
      <c r="AU31" s="503"/>
      <c r="AV31" s="503"/>
      <c r="AW31" s="503"/>
      <c r="AX31" s="503"/>
      <c r="AY31" s="503"/>
      <c r="AZ31" s="503"/>
      <c r="BA31" s="503"/>
      <c r="BB31" s="503"/>
      <c r="BC31" s="503"/>
      <c r="BD31" s="503"/>
      <c r="BE31" s="503"/>
      <c r="BF31" s="503"/>
      <c r="BG31" s="503"/>
      <c r="BH31" s="503"/>
      <c r="BI31" s="503"/>
      <c r="BJ31" s="503"/>
      <c r="BK31" s="503"/>
      <c r="BL31" s="503"/>
      <c r="BM31" s="503"/>
      <c r="BN31" s="503"/>
      <c r="BO31" s="503"/>
      <c r="BP31" s="597"/>
      <c r="BQ31" s="598">
        <f t="shared" si="0"/>
        <v>134.16</v>
      </c>
      <c r="BR31" s="550"/>
      <c r="BS31" s="551">
        <v>2.5</v>
      </c>
      <c r="BT31" s="551"/>
      <c r="BU31" s="551"/>
      <c r="BV31" s="551"/>
      <c r="BW31" s="551"/>
      <c r="BX31" s="551"/>
      <c r="BY31" s="551"/>
      <c r="BZ31" s="551"/>
      <c r="CA31" s="551"/>
      <c r="CB31" s="551"/>
      <c r="CC31" s="551"/>
      <c r="CD31" s="551"/>
      <c r="CE31" s="551"/>
      <c r="CF31" s="551"/>
      <c r="CG31" s="551"/>
      <c r="CH31" s="551"/>
      <c r="CI31" s="551"/>
      <c r="CJ31" s="551"/>
      <c r="CK31" s="551"/>
      <c r="CL31" s="551"/>
      <c r="CM31" s="551"/>
      <c r="CN31" s="551"/>
      <c r="CO31" s="551"/>
      <c r="CP31" s="551"/>
      <c r="CQ31" s="661">
        <f t="shared" si="6"/>
        <v>2.5</v>
      </c>
      <c r="CR31" s="551"/>
      <c r="CS31" s="534"/>
      <c r="CT31" s="534"/>
      <c r="CU31" s="534"/>
      <c r="CV31" s="534"/>
      <c r="CW31" s="551"/>
      <c r="CX31" s="551"/>
      <c r="CY31" s="551"/>
      <c r="CZ31" s="677"/>
      <c r="DA31" s="551"/>
      <c r="DB31" s="551"/>
      <c r="DC31" s="551"/>
      <c r="DD31" s="707"/>
      <c r="DE31" s="551"/>
      <c r="DF31" s="551"/>
      <c r="DG31" s="551"/>
      <c r="DH31" s="551"/>
      <c r="DI31" s="551"/>
      <c r="DJ31" s="551"/>
      <c r="DK31" s="551"/>
      <c r="DL31" s="551"/>
      <c r="DM31" s="551"/>
      <c r="DN31" s="551"/>
      <c r="DO31" s="718"/>
      <c r="DP31" s="532">
        <f t="shared" si="1"/>
        <v>0</v>
      </c>
      <c r="DQ31" s="730">
        <f t="shared" si="7"/>
        <v>2.5</v>
      </c>
      <c r="DR31" s="576"/>
      <c r="DS31" s="551"/>
      <c r="DT31" s="551"/>
      <c r="DU31" s="551"/>
      <c r="DV31" s="551"/>
      <c r="DW31" s="551"/>
      <c r="DX31" s="551"/>
      <c r="DY31" s="551"/>
      <c r="DZ31" s="551"/>
      <c r="EA31" s="551"/>
      <c r="EB31" s="551"/>
      <c r="EC31" s="551"/>
      <c r="ED31" s="551"/>
      <c r="EE31" s="551"/>
      <c r="EF31" s="551"/>
      <c r="EG31" s="551"/>
      <c r="EH31" s="551"/>
      <c r="EI31" s="551"/>
      <c r="EJ31" s="551"/>
      <c r="EK31" s="551"/>
      <c r="EL31" s="551"/>
      <c r="EM31" s="551"/>
      <c r="EN31" s="551"/>
      <c r="EO31" s="551"/>
      <c r="EP31" s="551"/>
      <c r="EQ31" s="551"/>
      <c r="ER31" s="551"/>
      <c r="ES31" s="551"/>
      <c r="ET31" s="551"/>
      <c r="EU31" s="551"/>
      <c r="EV31" s="551"/>
      <c r="EW31" s="551"/>
      <c r="EX31" s="551"/>
      <c r="EY31" s="551"/>
      <c r="EZ31" s="551"/>
      <c r="FA31" s="551"/>
      <c r="FB31" s="551"/>
      <c r="FC31" s="551"/>
      <c r="FD31" s="551"/>
      <c r="FE31" s="551"/>
      <c r="FF31" s="551"/>
      <c r="FG31" s="551"/>
      <c r="FH31" s="551"/>
      <c r="FI31" s="551"/>
      <c r="FJ31" s="551"/>
      <c r="FK31" s="551"/>
      <c r="FL31" s="718"/>
      <c r="FM31" s="755">
        <f t="shared" si="8"/>
        <v>0</v>
      </c>
      <c r="FN31" s="551"/>
      <c r="FO31" s="551"/>
      <c r="FP31" s="551"/>
      <c r="FQ31" s="551"/>
      <c r="FR31" s="551"/>
      <c r="FS31" s="551"/>
      <c r="FT31" s="551"/>
      <c r="FU31" s="551"/>
      <c r="FV31" s="551"/>
      <c r="FW31" s="551"/>
      <c r="FX31" s="551"/>
      <c r="FY31" s="551"/>
      <c r="FZ31" s="551"/>
      <c r="GA31" s="551"/>
      <c r="GB31" s="551"/>
      <c r="GC31" s="551">
        <f t="shared" si="2"/>
        <v>0</v>
      </c>
      <c r="GD31" s="767"/>
      <c r="GE31" s="551"/>
      <c r="GF31" s="551"/>
      <c r="GG31" s="551"/>
      <c r="GH31" s="551"/>
      <c r="GI31" s="551"/>
      <c r="GJ31" s="551"/>
      <c r="GK31" s="551"/>
      <c r="GL31" s="551"/>
      <c r="GM31" s="551"/>
      <c r="GN31" s="551"/>
      <c r="GO31" s="551"/>
      <c r="GP31" s="551"/>
      <c r="GQ31" s="551"/>
      <c r="GR31" s="551"/>
      <c r="GS31" s="551">
        <f t="shared" si="3"/>
        <v>0</v>
      </c>
      <c r="GT31" s="551"/>
      <c r="GU31" s="551"/>
      <c r="GV31" s="551"/>
      <c r="GW31" s="551"/>
      <c r="GX31" s="551"/>
      <c r="GY31" s="551"/>
      <c r="GZ31" s="551"/>
      <c r="HA31" s="551"/>
      <c r="HB31" s="551"/>
      <c r="HC31" s="551"/>
      <c r="HD31" s="551">
        <f t="shared" si="10"/>
        <v>0</v>
      </c>
      <c r="HE31" s="776">
        <f t="shared" si="11"/>
        <v>131.66</v>
      </c>
      <c r="HF31" s="550">
        <v>0</v>
      </c>
      <c r="HG31" s="551">
        <f t="shared" si="4"/>
        <v>-131.66</v>
      </c>
      <c r="HH31" s="773"/>
      <c r="HI31" s="804">
        <f t="shared" si="5"/>
        <v>0</v>
      </c>
      <c r="HJ31" s="805">
        <f t="shared" si="9"/>
        <v>-131.66</v>
      </c>
      <c r="HK31" s="803"/>
    </row>
    <row r="32" spans="2:237" ht="15.75" hidden="1" customHeight="1">
      <c r="B32" s="499" t="s">
        <v>262</v>
      </c>
      <c r="C32" s="500" t="s">
        <v>263</v>
      </c>
      <c r="D32" s="501"/>
      <c r="E32" s="502"/>
      <c r="F32" s="503"/>
      <c r="G32" s="503"/>
      <c r="H32" s="503"/>
      <c r="I32" s="503"/>
      <c r="J32" s="503"/>
      <c r="K32" s="503"/>
      <c r="L32" s="503"/>
      <c r="M32" s="503"/>
      <c r="N32" s="503"/>
      <c r="O32" s="503"/>
      <c r="P32" s="503"/>
      <c r="Q32" s="503"/>
      <c r="R32" s="503"/>
      <c r="S32" s="503"/>
      <c r="T32" s="503"/>
      <c r="U32" s="503"/>
      <c r="V32" s="503"/>
      <c r="W32" s="503"/>
      <c r="X32" s="503"/>
      <c r="Y32" s="503"/>
      <c r="Z32" s="503"/>
      <c r="AA32" s="503"/>
      <c r="AB32" s="503"/>
      <c r="AC32" s="503"/>
      <c r="AD32" s="503"/>
      <c r="AE32" s="503"/>
      <c r="AF32" s="503"/>
      <c r="AG32" s="503"/>
      <c r="AH32" s="503"/>
      <c r="AI32" s="503"/>
      <c r="AJ32" s="503"/>
      <c r="AK32" s="503"/>
      <c r="AL32" s="503"/>
      <c r="AM32" s="503"/>
      <c r="AN32" s="503"/>
      <c r="AO32" s="503"/>
      <c r="AP32" s="503"/>
      <c r="AQ32" s="503"/>
      <c r="AR32" s="503"/>
      <c r="AS32" s="503"/>
      <c r="AT32" s="503"/>
      <c r="AU32" s="503"/>
      <c r="AV32" s="503"/>
      <c r="AW32" s="503"/>
      <c r="AX32" s="503"/>
      <c r="AY32" s="503"/>
      <c r="AZ32" s="503"/>
      <c r="BA32" s="503"/>
      <c r="BB32" s="503"/>
      <c r="BC32" s="503"/>
      <c r="BD32" s="503"/>
      <c r="BE32" s="503"/>
      <c r="BF32" s="503"/>
      <c r="BG32" s="503"/>
      <c r="BH32" s="503"/>
      <c r="BI32" s="503"/>
      <c r="BJ32" s="503"/>
      <c r="BK32" s="503"/>
      <c r="BL32" s="503"/>
      <c r="BM32" s="503"/>
      <c r="BN32" s="503"/>
      <c r="BO32" s="503"/>
      <c r="BP32" s="597"/>
      <c r="BQ32" s="598">
        <f t="shared" si="0"/>
        <v>0</v>
      </c>
      <c r="BR32" s="550"/>
      <c r="BS32" s="551"/>
      <c r="BT32" s="551"/>
      <c r="BU32" s="551"/>
      <c r="BV32" s="551"/>
      <c r="BW32" s="551"/>
      <c r="BX32" s="551"/>
      <c r="BY32" s="551"/>
      <c r="BZ32" s="551"/>
      <c r="CA32" s="551"/>
      <c r="CB32" s="551"/>
      <c r="CC32" s="551"/>
      <c r="CD32" s="551"/>
      <c r="CE32" s="551"/>
      <c r="CF32" s="551"/>
      <c r="CG32" s="551"/>
      <c r="CH32" s="551"/>
      <c r="CI32" s="551"/>
      <c r="CJ32" s="551"/>
      <c r="CK32" s="551"/>
      <c r="CL32" s="551"/>
      <c r="CM32" s="551"/>
      <c r="CN32" s="551"/>
      <c r="CO32" s="551"/>
      <c r="CP32" s="551"/>
      <c r="CQ32" s="661">
        <f t="shared" si="6"/>
        <v>0</v>
      </c>
      <c r="CR32" s="551"/>
      <c r="CS32" s="534"/>
      <c r="CT32" s="534"/>
      <c r="CU32" s="534"/>
      <c r="CV32" s="534"/>
      <c r="CW32" s="551"/>
      <c r="CX32" s="551"/>
      <c r="CY32" s="551"/>
      <c r="CZ32" s="677"/>
      <c r="DA32" s="551"/>
      <c r="DB32" s="551"/>
      <c r="DC32" s="551"/>
      <c r="DD32" s="707"/>
      <c r="DE32" s="551"/>
      <c r="DF32" s="551"/>
      <c r="DG32" s="551"/>
      <c r="DH32" s="551"/>
      <c r="DI32" s="551"/>
      <c r="DJ32" s="551"/>
      <c r="DK32" s="551"/>
      <c r="DL32" s="551"/>
      <c r="DM32" s="551"/>
      <c r="DN32" s="551"/>
      <c r="DO32" s="718"/>
      <c r="DP32" s="532">
        <f t="shared" si="1"/>
        <v>0</v>
      </c>
      <c r="DQ32" s="730">
        <f t="shared" si="7"/>
        <v>0</v>
      </c>
      <c r="DR32" s="576"/>
      <c r="DS32" s="551"/>
      <c r="DT32" s="551"/>
      <c r="DU32" s="551"/>
      <c r="DV32" s="551"/>
      <c r="DW32" s="551"/>
      <c r="DX32" s="551"/>
      <c r="DY32" s="551"/>
      <c r="DZ32" s="551"/>
      <c r="EA32" s="551"/>
      <c r="EB32" s="551"/>
      <c r="EC32" s="551"/>
      <c r="ED32" s="551"/>
      <c r="EE32" s="551"/>
      <c r="EF32" s="551"/>
      <c r="EG32" s="551"/>
      <c r="EH32" s="551"/>
      <c r="EI32" s="551"/>
      <c r="EJ32" s="551"/>
      <c r="EK32" s="551"/>
      <c r="EL32" s="551"/>
      <c r="EM32" s="551"/>
      <c r="EN32" s="551"/>
      <c r="EO32" s="551"/>
      <c r="EP32" s="551"/>
      <c r="EQ32" s="551"/>
      <c r="ER32" s="551"/>
      <c r="ES32" s="551"/>
      <c r="ET32" s="551"/>
      <c r="EU32" s="551"/>
      <c r="EV32" s="551"/>
      <c r="EW32" s="551"/>
      <c r="EX32" s="551"/>
      <c r="EY32" s="551"/>
      <c r="EZ32" s="551"/>
      <c r="FA32" s="551"/>
      <c r="FB32" s="551"/>
      <c r="FC32" s="551"/>
      <c r="FD32" s="551"/>
      <c r="FE32" s="551"/>
      <c r="FF32" s="551"/>
      <c r="FG32" s="551"/>
      <c r="FH32" s="551"/>
      <c r="FI32" s="551"/>
      <c r="FJ32" s="551"/>
      <c r="FK32" s="551"/>
      <c r="FL32" s="718"/>
      <c r="FM32" s="755">
        <f t="shared" si="8"/>
        <v>0</v>
      </c>
      <c r="FN32" s="551"/>
      <c r="FO32" s="551"/>
      <c r="FP32" s="551"/>
      <c r="FQ32" s="551"/>
      <c r="FR32" s="551"/>
      <c r="FS32" s="551"/>
      <c r="FT32" s="551"/>
      <c r="FU32" s="551"/>
      <c r="FV32" s="551"/>
      <c r="FW32" s="551"/>
      <c r="FX32" s="551"/>
      <c r="FY32" s="551"/>
      <c r="FZ32" s="551"/>
      <c r="GA32" s="551"/>
      <c r="GB32" s="551"/>
      <c r="GC32" s="551">
        <f t="shared" si="2"/>
        <v>0</v>
      </c>
      <c r="GD32" s="767"/>
      <c r="GE32" s="551"/>
      <c r="GF32" s="551"/>
      <c r="GG32" s="551"/>
      <c r="GH32" s="551"/>
      <c r="GI32" s="551"/>
      <c r="GJ32" s="551"/>
      <c r="GK32" s="551"/>
      <c r="GL32" s="551"/>
      <c r="GM32" s="551"/>
      <c r="GN32" s="551"/>
      <c r="GO32" s="551"/>
      <c r="GP32" s="551"/>
      <c r="GQ32" s="551"/>
      <c r="GR32" s="551"/>
      <c r="GS32" s="551">
        <f t="shared" si="3"/>
        <v>0</v>
      </c>
      <c r="GT32" s="551"/>
      <c r="GU32" s="551"/>
      <c r="GV32" s="551"/>
      <c r="GW32" s="551"/>
      <c r="GX32" s="551"/>
      <c r="GY32" s="551"/>
      <c r="GZ32" s="551"/>
      <c r="HA32" s="551"/>
      <c r="HB32" s="551"/>
      <c r="HC32" s="551"/>
      <c r="HD32" s="551">
        <f t="shared" si="10"/>
        <v>0</v>
      </c>
      <c r="HE32" s="776">
        <f t="shared" si="11"/>
        <v>0</v>
      </c>
      <c r="HF32" s="550">
        <v>0</v>
      </c>
      <c r="HG32" s="551">
        <f t="shared" si="4"/>
        <v>0</v>
      </c>
      <c r="HH32" s="773"/>
      <c r="HI32" s="804">
        <f t="shared" si="5"/>
        <v>0</v>
      </c>
      <c r="HJ32" s="805">
        <f t="shared" si="9"/>
        <v>0</v>
      </c>
      <c r="HK32" s="803"/>
    </row>
    <row r="33" spans="2:219" ht="15.75" hidden="1" customHeight="1">
      <c r="B33" s="506" t="s">
        <v>264</v>
      </c>
      <c r="C33" s="507" t="s">
        <v>265</v>
      </c>
      <c r="D33" s="508"/>
      <c r="E33" s="509"/>
      <c r="F33" s="510"/>
      <c r="G33" s="510"/>
      <c r="H33" s="510"/>
      <c r="I33" s="510"/>
      <c r="J33" s="510"/>
      <c r="K33" s="510"/>
      <c r="L33" s="510"/>
      <c r="M33" s="510"/>
      <c r="N33" s="510"/>
      <c r="O33" s="510"/>
      <c r="P33" s="510"/>
      <c r="Q33" s="510"/>
      <c r="R33" s="510"/>
      <c r="S33" s="510"/>
      <c r="T33" s="510"/>
      <c r="U33" s="510"/>
      <c r="V33" s="510"/>
      <c r="W33" s="510"/>
      <c r="X33" s="510"/>
      <c r="Y33" s="510"/>
      <c r="Z33" s="510"/>
      <c r="AA33" s="510"/>
      <c r="AB33" s="510"/>
      <c r="AC33" s="510"/>
      <c r="AD33" s="510"/>
      <c r="AE33" s="510"/>
      <c r="AF33" s="510"/>
      <c r="AG33" s="510"/>
      <c r="AH33" s="510"/>
      <c r="AI33" s="510"/>
      <c r="AJ33" s="510"/>
      <c r="AK33" s="510"/>
      <c r="AL33" s="510"/>
      <c r="AM33" s="510"/>
      <c r="AN33" s="510"/>
      <c r="AO33" s="510"/>
      <c r="AP33" s="510"/>
      <c r="AQ33" s="510"/>
      <c r="AR33" s="510"/>
      <c r="AS33" s="510"/>
      <c r="AT33" s="510"/>
      <c r="AU33" s="510"/>
      <c r="AV33" s="510"/>
      <c r="AW33" s="510"/>
      <c r="AX33" s="510"/>
      <c r="AY33" s="510"/>
      <c r="AZ33" s="510"/>
      <c r="BA33" s="510"/>
      <c r="BB33" s="510"/>
      <c r="BC33" s="510"/>
      <c r="BD33" s="510"/>
      <c r="BE33" s="510"/>
      <c r="BF33" s="510"/>
      <c r="BG33" s="510"/>
      <c r="BH33" s="510"/>
      <c r="BI33" s="510"/>
      <c r="BJ33" s="510"/>
      <c r="BK33" s="510"/>
      <c r="BL33" s="510"/>
      <c r="BM33" s="510"/>
      <c r="BN33" s="510"/>
      <c r="BO33" s="510"/>
      <c r="BP33" s="599"/>
      <c r="BQ33" s="600">
        <f t="shared" si="0"/>
        <v>0</v>
      </c>
      <c r="BR33" s="553"/>
      <c r="BS33" s="601"/>
      <c r="BT33" s="601"/>
      <c r="BU33" s="601"/>
      <c r="BV33" s="601"/>
      <c r="BW33" s="601"/>
      <c r="BX33" s="601"/>
      <c r="BY33" s="601"/>
      <c r="BZ33" s="601"/>
      <c r="CA33" s="601"/>
      <c r="CB33" s="601"/>
      <c r="CC33" s="601"/>
      <c r="CD33" s="601"/>
      <c r="CE33" s="601"/>
      <c r="CF33" s="601"/>
      <c r="CG33" s="601"/>
      <c r="CH33" s="601"/>
      <c r="CI33" s="601"/>
      <c r="CJ33" s="601"/>
      <c r="CK33" s="601"/>
      <c r="CL33" s="601"/>
      <c r="CM33" s="601"/>
      <c r="CN33" s="601"/>
      <c r="CO33" s="601"/>
      <c r="CP33" s="601"/>
      <c r="CQ33" s="662">
        <f t="shared" si="6"/>
        <v>0</v>
      </c>
      <c r="CR33" s="601"/>
      <c r="CS33" s="678"/>
      <c r="CT33" s="678"/>
      <c r="CU33" s="680"/>
      <c r="CV33" s="678"/>
      <c r="CW33" s="601"/>
      <c r="CX33" s="601"/>
      <c r="CY33" s="601"/>
      <c r="CZ33" s="679"/>
      <c r="DA33" s="601"/>
      <c r="DB33" s="601"/>
      <c r="DC33" s="601"/>
      <c r="DD33" s="708"/>
      <c r="DE33" s="601"/>
      <c r="DF33" s="601"/>
      <c r="DG33" s="601"/>
      <c r="DH33" s="601"/>
      <c r="DI33" s="601"/>
      <c r="DJ33" s="601"/>
      <c r="DK33" s="601"/>
      <c r="DL33" s="601"/>
      <c r="DM33" s="601"/>
      <c r="DN33" s="601"/>
      <c r="DO33" s="720"/>
      <c r="DP33" s="538">
        <f t="shared" si="1"/>
        <v>0</v>
      </c>
      <c r="DQ33" s="731">
        <f t="shared" si="7"/>
        <v>0</v>
      </c>
      <c r="DR33" s="732"/>
      <c r="DS33" s="601"/>
      <c r="DT33" s="601"/>
      <c r="DU33" s="601"/>
      <c r="DV33" s="601"/>
      <c r="DW33" s="601"/>
      <c r="DX33" s="601"/>
      <c r="DY33" s="601"/>
      <c r="DZ33" s="601"/>
      <c r="EA33" s="601"/>
      <c r="EB33" s="601"/>
      <c r="EC33" s="601"/>
      <c r="ED33" s="601"/>
      <c r="EE33" s="601"/>
      <c r="EF33" s="601"/>
      <c r="EG33" s="601"/>
      <c r="EH33" s="601"/>
      <c r="EI33" s="601"/>
      <c r="EJ33" s="601"/>
      <c r="EK33" s="601"/>
      <c r="EL33" s="601"/>
      <c r="EM33" s="601"/>
      <c r="EN33" s="601"/>
      <c r="EO33" s="601"/>
      <c r="EP33" s="601"/>
      <c r="EQ33" s="601"/>
      <c r="ER33" s="601"/>
      <c r="ES33" s="601"/>
      <c r="ET33" s="601"/>
      <c r="EU33" s="601"/>
      <c r="EV33" s="601"/>
      <c r="EW33" s="601"/>
      <c r="EX33" s="601"/>
      <c r="EY33" s="601"/>
      <c r="EZ33" s="601"/>
      <c r="FA33" s="601"/>
      <c r="FB33" s="601"/>
      <c r="FC33" s="601"/>
      <c r="FD33" s="601"/>
      <c r="FE33" s="601"/>
      <c r="FF33" s="601"/>
      <c r="FG33" s="601"/>
      <c r="FH33" s="601"/>
      <c r="FI33" s="601"/>
      <c r="FJ33" s="601"/>
      <c r="FK33" s="601"/>
      <c r="FL33" s="720"/>
      <c r="FM33" s="756">
        <f t="shared" si="8"/>
        <v>0</v>
      </c>
      <c r="FN33" s="540"/>
      <c r="FO33" s="540"/>
      <c r="FP33" s="540"/>
      <c r="FQ33" s="540"/>
      <c r="FR33" s="540"/>
      <c r="FS33" s="540"/>
      <c r="FT33" s="540"/>
      <c r="FU33" s="540"/>
      <c r="FV33" s="540"/>
      <c r="FW33" s="540"/>
      <c r="FX33" s="540"/>
      <c r="FY33" s="540"/>
      <c r="FZ33" s="540"/>
      <c r="GA33" s="540"/>
      <c r="GB33" s="540"/>
      <c r="GC33" s="540">
        <f t="shared" si="2"/>
        <v>0</v>
      </c>
      <c r="GD33" s="607"/>
      <c r="GE33" s="540"/>
      <c r="GF33" s="540"/>
      <c r="GG33" s="540"/>
      <c r="GH33" s="540"/>
      <c r="GI33" s="540"/>
      <c r="GJ33" s="540"/>
      <c r="GK33" s="540"/>
      <c r="GL33" s="540"/>
      <c r="GM33" s="540"/>
      <c r="GN33" s="540"/>
      <c r="GO33" s="540"/>
      <c r="GP33" s="540"/>
      <c r="GQ33" s="540"/>
      <c r="GR33" s="540"/>
      <c r="GS33" s="540">
        <f t="shared" si="3"/>
        <v>0</v>
      </c>
      <c r="GT33" s="540"/>
      <c r="GU33" s="540"/>
      <c r="GV33" s="540"/>
      <c r="GW33" s="540"/>
      <c r="GX33" s="540"/>
      <c r="GY33" s="540"/>
      <c r="GZ33" s="540"/>
      <c r="HA33" s="540"/>
      <c r="HB33" s="540"/>
      <c r="HC33" s="540"/>
      <c r="HD33" s="540">
        <f t="shared" si="10"/>
        <v>0</v>
      </c>
      <c r="HE33" s="777">
        <f t="shared" si="11"/>
        <v>0</v>
      </c>
      <c r="HF33" s="549">
        <v>0</v>
      </c>
      <c r="HG33" s="540">
        <f t="shared" si="4"/>
        <v>0</v>
      </c>
      <c r="HH33" s="778"/>
      <c r="HI33" s="806">
        <f t="shared" si="5"/>
        <v>0</v>
      </c>
      <c r="HJ33" s="807">
        <f t="shared" si="9"/>
        <v>0</v>
      </c>
      <c r="HK33" s="808"/>
    </row>
    <row r="34" spans="2:219" ht="15.75" hidden="1" customHeight="1">
      <c r="B34" s="511" t="s">
        <v>266</v>
      </c>
      <c r="C34" s="512" t="s">
        <v>37</v>
      </c>
      <c r="D34" s="513">
        <v>10.2255</v>
      </c>
      <c r="E34" s="514">
        <v>1.61</v>
      </c>
      <c r="F34" s="515">
        <v>1.1739999999999999</v>
      </c>
      <c r="G34" s="516"/>
      <c r="H34" s="516"/>
      <c r="I34" s="515">
        <v>8.3520000000000003</v>
      </c>
      <c r="J34" s="515"/>
      <c r="K34" s="515"/>
      <c r="L34" s="515"/>
      <c r="M34" s="515"/>
      <c r="N34" s="515"/>
      <c r="O34" s="515"/>
      <c r="P34" s="515">
        <v>8.3520000000000003</v>
      </c>
      <c r="Q34" s="515">
        <v>1.1759999999999999</v>
      </c>
      <c r="R34" s="515">
        <v>2.5920000000000001</v>
      </c>
      <c r="S34" s="515"/>
      <c r="T34" s="515"/>
      <c r="U34" s="515">
        <v>1.7609999999999999</v>
      </c>
      <c r="V34" s="581"/>
      <c r="W34" s="515"/>
      <c r="X34" s="515">
        <v>1.61</v>
      </c>
      <c r="Y34" s="515">
        <v>3.22</v>
      </c>
      <c r="Z34" s="515">
        <v>5.1109999999999998</v>
      </c>
      <c r="AA34" s="515"/>
      <c r="AB34" s="515">
        <v>4.2569999999999997</v>
      </c>
      <c r="AC34" s="515"/>
      <c r="AD34" s="515"/>
      <c r="AE34" s="515"/>
      <c r="AF34" s="515"/>
      <c r="AG34" s="515"/>
      <c r="AH34" s="515"/>
      <c r="AI34" s="515"/>
      <c r="AJ34" s="515"/>
      <c r="AK34" s="515"/>
      <c r="AL34" s="515"/>
      <c r="AM34" s="515"/>
      <c r="AN34" s="515"/>
      <c r="AO34" s="581"/>
      <c r="AP34" s="515"/>
      <c r="AQ34" s="515"/>
      <c r="AR34" s="515"/>
      <c r="AS34" s="515"/>
      <c r="AT34" s="515"/>
      <c r="AU34" s="515"/>
      <c r="AV34" s="515"/>
      <c r="AW34" s="515"/>
      <c r="AX34" s="515"/>
      <c r="AY34" s="515"/>
      <c r="AZ34" s="515"/>
      <c r="BA34" s="515"/>
      <c r="BB34" s="515"/>
      <c r="BC34" s="515"/>
      <c r="BD34" s="515"/>
      <c r="BE34" s="515"/>
      <c r="BF34" s="515"/>
      <c r="BG34" s="515"/>
      <c r="BH34" s="515"/>
      <c r="BI34" s="515"/>
      <c r="BJ34" s="515"/>
      <c r="BK34" s="515"/>
      <c r="BL34" s="515"/>
      <c r="BM34" s="515"/>
      <c r="BN34" s="515"/>
      <c r="BO34" s="515"/>
      <c r="BP34" s="602"/>
      <c r="BQ34" s="596">
        <f t="shared" si="0"/>
        <v>39.214999999999989</v>
      </c>
      <c r="BR34" s="603">
        <v>1.61</v>
      </c>
      <c r="BS34" s="604">
        <v>0.29349999999999998</v>
      </c>
      <c r="BT34" s="604"/>
      <c r="BU34" s="604"/>
      <c r="BV34" s="604"/>
      <c r="BW34" s="604"/>
      <c r="BX34" s="604"/>
      <c r="BY34" s="604"/>
      <c r="BZ34" s="604"/>
      <c r="CA34" s="604"/>
      <c r="CB34" s="604"/>
      <c r="CC34" s="604"/>
      <c r="CD34" s="604"/>
      <c r="CE34" s="604"/>
      <c r="CF34" s="604"/>
      <c r="CG34" s="604"/>
      <c r="CH34" s="604"/>
      <c r="CI34" s="604"/>
      <c r="CJ34" s="604"/>
      <c r="CK34" s="604"/>
      <c r="CL34" s="604"/>
      <c r="CM34" s="604"/>
      <c r="CN34" s="604"/>
      <c r="CO34" s="604"/>
      <c r="CP34" s="604"/>
      <c r="CQ34" s="660">
        <f t="shared" si="6"/>
        <v>1.9035000000000002</v>
      </c>
      <c r="CR34" s="604"/>
      <c r="CS34" s="516"/>
      <c r="CT34" s="516"/>
      <c r="CU34" s="516"/>
      <c r="CV34" s="516"/>
      <c r="CW34" s="604"/>
      <c r="CX34" s="604"/>
      <c r="CY34" s="604"/>
      <c r="CZ34" s="681"/>
      <c r="DA34" s="604"/>
      <c r="DB34" s="604"/>
      <c r="DC34" s="604"/>
      <c r="DD34" s="709"/>
      <c r="DE34" s="604"/>
      <c r="DF34" s="604"/>
      <c r="DG34" s="604"/>
      <c r="DH34" s="604"/>
      <c r="DI34" s="604"/>
      <c r="DJ34" s="604"/>
      <c r="DK34" s="604"/>
      <c r="DL34" s="604"/>
      <c r="DM34" s="604"/>
      <c r="DN34" s="604"/>
      <c r="DO34" s="604"/>
      <c r="DP34" s="722">
        <f t="shared" si="1"/>
        <v>0</v>
      </c>
      <c r="DQ34" s="733">
        <f t="shared" si="7"/>
        <v>1.9035000000000002</v>
      </c>
      <c r="DR34" s="734">
        <v>1.548</v>
      </c>
      <c r="DS34" s="604">
        <v>1.548</v>
      </c>
      <c r="DT34" s="604"/>
      <c r="DU34" s="604"/>
      <c r="DV34" s="604"/>
      <c r="DW34" s="604"/>
      <c r="DX34" s="604"/>
      <c r="DY34" s="604"/>
      <c r="DZ34" s="604"/>
      <c r="EA34" s="604"/>
      <c r="EB34" s="604"/>
      <c r="EC34" s="604"/>
      <c r="ED34" s="604"/>
      <c r="EE34" s="604"/>
      <c r="EF34" s="604"/>
      <c r="EG34" s="604"/>
      <c r="EH34" s="604"/>
      <c r="EI34" s="604"/>
      <c r="EJ34" s="604"/>
      <c r="EK34" s="604"/>
      <c r="EL34" s="604"/>
      <c r="EM34" s="604"/>
      <c r="EN34" s="604"/>
      <c r="EO34" s="604"/>
      <c r="EP34" s="604"/>
      <c r="EQ34" s="604"/>
      <c r="ER34" s="604"/>
      <c r="ES34" s="604"/>
      <c r="ET34" s="604"/>
      <c r="EU34" s="604"/>
      <c r="EV34" s="604"/>
      <c r="EW34" s="604"/>
      <c r="EX34" s="604"/>
      <c r="EY34" s="604"/>
      <c r="EZ34" s="604"/>
      <c r="FA34" s="604"/>
      <c r="FB34" s="604"/>
      <c r="FC34" s="604"/>
      <c r="FD34" s="604"/>
      <c r="FE34" s="604"/>
      <c r="FF34" s="604"/>
      <c r="FG34" s="604"/>
      <c r="FH34" s="604"/>
      <c r="FI34" s="604"/>
      <c r="FJ34" s="604"/>
      <c r="FK34" s="604"/>
      <c r="FL34" s="604"/>
      <c r="FM34" s="757">
        <f t="shared" si="8"/>
        <v>3.0960000000000001</v>
      </c>
      <c r="FN34" s="604"/>
      <c r="FO34" s="604"/>
      <c r="FP34" s="604"/>
      <c r="FQ34" s="604"/>
      <c r="FR34" s="604"/>
      <c r="FS34" s="604"/>
      <c r="FT34" s="604"/>
      <c r="FU34" s="604"/>
      <c r="FV34" s="604"/>
      <c r="FW34" s="604"/>
      <c r="FX34" s="604"/>
      <c r="FY34" s="604"/>
      <c r="FZ34" s="604"/>
      <c r="GA34" s="604"/>
      <c r="GB34" s="604"/>
      <c r="GC34" s="604">
        <f t="shared" si="2"/>
        <v>0</v>
      </c>
      <c r="GD34" s="604"/>
      <c r="GE34" s="604"/>
      <c r="GF34" s="604"/>
      <c r="GG34" s="604"/>
      <c r="GH34" s="604"/>
      <c r="GI34" s="604"/>
      <c r="GJ34" s="604"/>
      <c r="GK34" s="604"/>
      <c r="GL34" s="604"/>
      <c r="GM34" s="604"/>
      <c r="GN34" s="604"/>
      <c r="GO34" s="604"/>
      <c r="GP34" s="604"/>
      <c r="GQ34" s="604"/>
      <c r="GR34" s="604"/>
      <c r="GS34" s="604">
        <f t="shared" si="3"/>
        <v>0</v>
      </c>
      <c r="GT34" s="604"/>
      <c r="GU34" s="604"/>
      <c r="GV34" s="604"/>
      <c r="GW34" s="604"/>
      <c r="GX34" s="604"/>
      <c r="GY34" s="604"/>
      <c r="GZ34" s="604"/>
      <c r="HA34" s="604"/>
      <c r="HB34" s="604"/>
      <c r="HC34" s="604"/>
      <c r="HD34" s="604">
        <f t="shared" si="10"/>
        <v>0</v>
      </c>
      <c r="HE34" s="779">
        <f t="shared" si="11"/>
        <v>44.440999999999988</v>
      </c>
      <c r="HF34" s="604">
        <v>0</v>
      </c>
      <c r="HG34" s="604">
        <f t="shared" si="4"/>
        <v>-44.440999999999988</v>
      </c>
      <c r="HH34" s="780"/>
      <c r="HI34" s="801">
        <f t="shared" si="5"/>
        <v>0</v>
      </c>
      <c r="HJ34" s="809">
        <f t="shared" si="9"/>
        <v>-44.440999999999988</v>
      </c>
      <c r="HK34" s="810"/>
    </row>
    <row r="35" spans="2:219" ht="15" hidden="1" customHeight="1">
      <c r="B35" s="517" t="s">
        <v>267</v>
      </c>
      <c r="C35" s="518" t="s">
        <v>268</v>
      </c>
      <c r="D35" s="519">
        <v>10.570499999999999</v>
      </c>
      <c r="E35" s="520">
        <v>1.84</v>
      </c>
      <c r="F35" s="520">
        <v>1.3660000000000001</v>
      </c>
      <c r="G35" s="521"/>
      <c r="H35" s="521"/>
      <c r="I35" s="520">
        <v>9.57</v>
      </c>
      <c r="J35" s="520"/>
      <c r="K35" s="520"/>
      <c r="L35" s="520"/>
      <c r="M35" s="520"/>
      <c r="N35" s="520"/>
      <c r="O35" s="520"/>
      <c r="P35" s="520">
        <v>9.57</v>
      </c>
      <c r="Q35" s="520">
        <v>1.3680000000000001</v>
      </c>
      <c r="R35" s="520">
        <v>2.97</v>
      </c>
      <c r="S35" s="520"/>
      <c r="T35" s="520"/>
      <c r="U35" s="520">
        <v>2.0489999999999999</v>
      </c>
      <c r="V35" s="582"/>
      <c r="W35" s="520"/>
      <c r="X35" s="520">
        <v>1.84</v>
      </c>
      <c r="Y35" s="520">
        <v>3.43</v>
      </c>
      <c r="Z35" s="520">
        <v>5.6905000000000001</v>
      </c>
      <c r="AA35" s="520"/>
      <c r="AB35" s="520">
        <v>4.2569999999999997</v>
      </c>
      <c r="AC35" s="520"/>
      <c r="AD35" s="520"/>
      <c r="AE35" s="520"/>
      <c r="AF35" s="520"/>
      <c r="AG35" s="520"/>
      <c r="AH35" s="520"/>
      <c r="AI35" s="520"/>
      <c r="AJ35" s="520"/>
      <c r="AK35" s="520"/>
      <c r="AL35" s="520"/>
      <c r="AM35" s="520"/>
      <c r="AN35" s="520"/>
      <c r="AO35" s="582"/>
      <c r="AP35" s="520"/>
      <c r="AQ35" s="520"/>
      <c r="AR35" s="520"/>
      <c r="AS35" s="520"/>
      <c r="AT35" s="520"/>
      <c r="AU35" s="520"/>
      <c r="AV35" s="520"/>
      <c r="AW35" s="520"/>
      <c r="AX35" s="520"/>
      <c r="AY35" s="520"/>
      <c r="AZ35" s="520"/>
      <c r="BA35" s="520"/>
      <c r="BB35" s="520"/>
      <c r="BC35" s="520"/>
      <c r="BD35" s="520"/>
      <c r="BE35" s="520"/>
      <c r="BF35" s="520"/>
      <c r="BG35" s="520"/>
      <c r="BH35" s="520"/>
      <c r="BI35" s="520"/>
      <c r="BJ35" s="520"/>
      <c r="BK35" s="520"/>
      <c r="BL35" s="520"/>
      <c r="BM35" s="520"/>
      <c r="BN35" s="520"/>
      <c r="BO35" s="520"/>
      <c r="BP35" s="605"/>
      <c r="BQ35" s="600">
        <f t="shared" si="0"/>
        <v>43.950499999999998</v>
      </c>
      <c r="BR35" s="606">
        <v>1.84</v>
      </c>
      <c r="BS35" s="607">
        <v>0.34150000000000003</v>
      </c>
      <c r="BT35" s="607"/>
      <c r="BU35" s="607"/>
      <c r="BV35" s="607"/>
      <c r="BW35" s="607"/>
      <c r="BX35" s="607"/>
      <c r="BY35" s="607"/>
      <c r="BZ35" s="607"/>
      <c r="CA35" s="607"/>
      <c r="CB35" s="607"/>
      <c r="CC35" s="607"/>
      <c r="CD35" s="607"/>
      <c r="CE35" s="607"/>
      <c r="CF35" s="607"/>
      <c r="CG35" s="607"/>
      <c r="CH35" s="607"/>
      <c r="CI35" s="607"/>
      <c r="CJ35" s="607"/>
      <c r="CK35" s="607"/>
      <c r="CL35" s="607"/>
      <c r="CM35" s="607"/>
      <c r="CN35" s="607"/>
      <c r="CO35" s="607"/>
      <c r="CP35" s="607"/>
      <c r="CQ35" s="664">
        <f t="shared" si="6"/>
        <v>2.1815000000000002</v>
      </c>
      <c r="CR35" s="607"/>
      <c r="CS35" s="521"/>
      <c r="CT35" s="521"/>
      <c r="CU35" s="682"/>
      <c r="CV35" s="521"/>
      <c r="CW35" s="607"/>
      <c r="CX35" s="607"/>
      <c r="CY35" s="607"/>
      <c r="CZ35" s="683"/>
      <c r="DA35" s="607"/>
      <c r="DB35" s="607"/>
      <c r="DC35" s="607"/>
      <c r="DD35" s="710"/>
      <c r="DE35" s="607"/>
      <c r="DF35" s="607"/>
      <c r="DG35" s="607"/>
      <c r="DH35" s="607"/>
      <c r="DI35" s="607"/>
      <c r="DJ35" s="607"/>
      <c r="DK35" s="607"/>
      <c r="DL35" s="607"/>
      <c r="DM35" s="607"/>
      <c r="DN35" s="607"/>
      <c r="DO35" s="607"/>
      <c r="DP35" s="565">
        <f t="shared" si="1"/>
        <v>0</v>
      </c>
      <c r="DQ35" s="735">
        <f t="shared" si="7"/>
        <v>2.1815000000000002</v>
      </c>
      <c r="DR35" s="736">
        <v>1.548</v>
      </c>
      <c r="DS35" s="607">
        <v>1.548</v>
      </c>
      <c r="DT35" s="607"/>
      <c r="DU35" s="607"/>
      <c r="DV35" s="607"/>
      <c r="DW35" s="607"/>
      <c r="DX35" s="607"/>
      <c r="DY35" s="607"/>
      <c r="DZ35" s="607"/>
      <c r="EA35" s="607"/>
      <c r="EB35" s="607"/>
      <c r="EC35" s="607"/>
      <c r="ED35" s="607"/>
      <c r="EE35" s="607"/>
      <c r="EF35" s="607"/>
      <c r="EG35" s="607"/>
      <c r="EH35" s="607"/>
      <c r="EI35" s="607"/>
      <c r="EJ35" s="607"/>
      <c r="EK35" s="607"/>
      <c r="EL35" s="607"/>
      <c r="EM35" s="607"/>
      <c r="EN35" s="607"/>
      <c r="EO35" s="607"/>
      <c r="EP35" s="607"/>
      <c r="EQ35" s="607"/>
      <c r="ER35" s="607"/>
      <c r="ES35" s="607"/>
      <c r="ET35" s="607"/>
      <c r="EU35" s="607"/>
      <c r="EV35" s="607"/>
      <c r="EW35" s="607"/>
      <c r="EX35" s="607"/>
      <c r="EY35" s="607"/>
      <c r="EZ35" s="607"/>
      <c r="FA35" s="607"/>
      <c r="FB35" s="607"/>
      <c r="FC35" s="607"/>
      <c r="FD35" s="607"/>
      <c r="FE35" s="607"/>
      <c r="FF35" s="607"/>
      <c r="FG35" s="607"/>
      <c r="FH35" s="607"/>
      <c r="FI35" s="607"/>
      <c r="FJ35" s="607"/>
      <c r="FK35" s="607"/>
      <c r="FL35" s="607"/>
      <c r="FM35" s="758">
        <f t="shared" si="8"/>
        <v>3.0960000000000001</v>
      </c>
      <c r="FN35" s="607"/>
      <c r="FO35" s="607"/>
      <c r="FP35" s="607"/>
      <c r="FQ35" s="607"/>
      <c r="FR35" s="607"/>
      <c r="FS35" s="607"/>
      <c r="FT35" s="607"/>
      <c r="FU35" s="607"/>
      <c r="FV35" s="607"/>
      <c r="FW35" s="607"/>
      <c r="FX35" s="607"/>
      <c r="FY35" s="607"/>
      <c r="FZ35" s="607"/>
      <c r="GA35" s="607"/>
      <c r="GB35" s="607"/>
      <c r="GC35" s="607">
        <f t="shared" si="2"/>
        <v>0</v>
      </c>
      <c r="GD35" s="607"/>
      <c r="GE35" s="607"/>
      <c r="GF35" s="607"/>
      <c r="GG35" s="607"/>
      <c r="GH35" s="607"/>
      <c r="GI35" s="607"/>
      <c r="GJ35" s="607"/>
      <c r="GK35" s="607"/>
      <c r="GL35" s="607"/>
      <c r="GM35" s="607"/>
      <c r="GN35" s="607"/>
      <c r="GO35" s="607"/>
      <c r="GP35" s="607"/>
      <c r="GQ35" s="607"/>
      <c r="GR35" s="607"/>
      <c r="GS35" s="607">
        <f t="shared" si="3"/>
        <v>0</v>
      </c>
      <c r="GT35" s="607"/>
      <c r="GU35" s="607"/>
      <c r="GV35" s="607"/>
      <c r="GW35" s="607"/>
      <c r="GX35" s="607"/>
      <c r="GY35" s="607"/>
      <c r="GZ35" s="607"/>
      <c r="HA35" s="607"/>
      <c r="HB35" s="607"/>
      <c r="HC35" s="607"/>
      <c r="HD35" s="607">
        <f t="shared" si="10"/>
        <v>0</v>
      </c>
      <c r="HE35" s="540">
        <f t="shared" si="11"/>
        <v>49.243499999999997</v>
      </c>
      <c r="HF35" s="607">
        <v>0</v>
      </c>
      <c r="HG35" s="607">
        <f t="shared" si="4"/>
        <v>-49.243499999999997</v>
      </c>
      <c r="HH35" s="781"/>
      <c r="HI35" s="806">
        <f t="shared" si="5"/>
        <v>0</v>
      </c>
      <c r="HJ35" s="811">
        <f t="shared" si="9"/>
        <v>-49.243499999999997</v>
      </c>
      <c r="HK35" s="812"/>
    </row>
    <row r="36" spans="2:219" ht="12.75" hidden="1" customHeight="1">
      <c r="B36" s="522"/>
      <c r="C36" s="523" t="s">
        <v>269</v>
      </c>
      <c r="D36" s="524">
        <v>1.875</v>
      </c>
      <c r="E36" s="525"/>
      <c r="F36" s="525"/>
      <c r="G36" s="525"/>
      <c r="H36" s="525"/>
      <c r="I36" s="568"/>
      <c r="J36" s="568"/>
      <c r="K36" s="568"/>
      <c r="L36" s="568"/>
      <c r="M36" s="568"/>
      <c r="N36" s="568"/>
      <c r="O36" s="568"/>
      <c r="P36" s="568"/>
      <c r="Q36" s="568"/>
      <c r="R36" s="568"/>
      <c r="S36" s="568"/>
      <c r="T36" s="568"/>
      <c r="U36" s="568"/>
      <c r="V36" s="583"/>
      <c r="W36" s="568"/>
      <c r="X36" s="568"/>
      <c r="Y36" s="568"/>
      <c r="Z36" s="568">
        <v>1.0900000000000001</v>
      </c>
      <c r="AA36" s="568"/>
      <c r="AB36" s="568"/>
      <c r="AC36" s="568"/>
      <c r="AD36" s="568"/>
      <c r="AE36" s="568"/>
      <c r="AF36" s="568"/>
      <c r="AG36" s="568"/>
      <c r="AH36" s="568"/>
      <c r="AI36" s="568"/>
      <c r="AJ36" s="568"/>
      <c r="AK36" s="568"/>
      <c r="AL36" s="568"/>
      <c r="AM36" s="568"/>
      <c r="AN36" s="568"/>
      <c r="AO36" s="583"/>
      <c r="AP36" s="568"/>
      <c r="AQ36" s="568"/>
      <c r="AR36" s="568"/>
      <c r="AS36" s="568"/>
      <c r="AT36" s="568"/>
      <c r="AU36" s="568"/>
      <c r="AV36" s="568"/>
      <c r="AW36" s="568"/>
      <c r="AX36" s="568"/>
      <c r="AY36" s="568"/>
      <c r="AZ36" s="568"/>
      <c r="BA36" s="568"/>
      <c r="BB36" s="568"/>
      <c r="BC36" s="568"/>
      <c r="BD36" s="568"/>
      <c r="BE36" s="568"/>
      <c r="BF36" s="568"/>
      <c r="BG36" s="568"/>
      <c r="BH36" s="568"/>
      <c r="BI36" s="568"/>
      <c r="BJ36" s="568"/>
      <c r="BK36" s="568"/>
      <c r="BL36" s="568"/>
      <c r="BM36" s="568"/>
      <c r="BN36" s="568"/>
      <c r="BO36" s="568"/>
      <c r="BP36" s="608"/>
      <c r="BQ36" s="609">
        <f>SUM(E36:BP36)</f>
        <v>1.0900000000000001</v>
      </c>
      <c r="BR36" s="610"/>
      <c r="BS36" s="611"/>
      <c r="BT36" s="611"/>
      <c r="BU36" s="611"/>
      <c r="BV36" s="611"/>
      <c r="BW36" s="611"/>
      <c r="BX36" s="611"/>
      <c r="BY36" s="611"/>
      <c r="BZ36" s="611"/>
      <c r="CA36" s="611"/>
      <c r="CB36" s="611"/>
      <c r="CC36" s="611"/>
      <c r="CD36" s="611"/>
      <c r="CE36" s="611"/>
      <c r="CF36" s="611"/>
      <c r="CG36" s="611"/>
      <c r="CH36" s="611"/>
      <c r="CI36" s="611"/>
      <c r="CJ36" s="611"/>
      <c r="CK36" s="611"/>
      <c r="CL36" s="611"/>
      <c r="CM36" s="611"/>
      <c r="CN36" s="611"/>
      <c r="CO36" s="611"/>
      <c r="CP36" s="611"/>
      <c r="CQ36" s="665">
        <f>+SUM(BR36:CP36)</f>
        <v>0</v>
      </c>
      <c r="CR36" s="611"/>
      <c r="CS36" s="525"/>
      <c r="CT36" s="525"/>
      <c r="CU36" s="684"/>
      <c r="CV36" s="525"/>
      <c r="CW36" s="611"/>
      <c r="CX36" s="611"/>
      <c r="CY36" s="611"/>
      <c r="CZ36" s="685"/>
      <c r="DA36" s="611"/>
      <c r="DB36" s="611"/>
      <c r="DC36" s="611"/>
      <c r="DD36" s="711"/>
      <c r="DE36" s="611"/>
      <c r="DF36" s="611"/>
      <c r="DG36" s="611"/>
      <c r="DH36" s="611"/>
      <c r="DI36" s="611"/>
      <c r="DJ36" s="611"/>
      <c r="DK36" s="611"/>
      <c r="DL36" s="611"/>
      <c r="DM36" s="611"/>
      <c r="DN36" s="611"/>
      <c r="DO36" s="611"/>
      <c r="DP36" s="723">
        <f>+SUM(CR36:DO36)</f>
        <v>0</v>
      </c>
      <c r="DQ36" s="737">
        <f>+CQ36+DP36</f>
        <v>0</v>
      </c>
      <c r="DR36" s="611"/>
      <c r="DS36" s="611"/>
      <c r="DT36" s="611"/>
      <c r="DU36" s="611"/>
      <c r="DV36" s="611"/>
      <c r="DW36" s="611"/>
      <c r="DX36" s="611"/>
      <c r="DY36" s="611"/>
      <c r="DZ36" s="611"/>
      <c r="EA36" s="611"/>
      <c r="EB36" s="611"/>
      <c r="EC36" s="611"/>
      <c r="ED36" s="611"/>
      <c r="EE36" s="611"/>
      <c r="EF36" s="611"/>
      <c r="EG36" s="611"/>
      <c r="EH36" s="611"/>
      <c r="EI36" s="611"/>
      <c r="EJ36" s="611"/>
      <c r="EK36" s="611"/>
      <c r="EL36" s="611"/>
      <c r="EM36" s="611"/>
      <c r="EN36" s="611"/>
      <c r="EO36" s="611"/>
      <c r="EP36" s="611"/>
      <c r="EQ36" s="611"/>
      <c r="ER36" s="611"/>
      <c r="ES36" s="611"/>
      <c r="ET36" s="611"/>
      <c r="EU36" s="611"/>
      <c r="EV36" s="611"/>
      <c r="EW36" s="611"/>
      <c r="EX36" s="611"/>
      <c r="EY36" s="611"/>
      <c r="EZ36" s="611"/>
      <c r="FA36" s="611"/>
      <c r="FB36" s="611"/>
      <c r="FC36" s="611"/>
      <c r="FD36" s="611"/>
      <c r="FE36" s="611"/>
      <c r="FF36" s="611"/>
      <c r="FG36" s="611"/>
      <c r="FH36" s="611"/>
      <c r="FI36" s="611"/>
      <c r="FJ36" s="611"/>
      <c r="FK36" s="611"/>
      <c r="FL36" s="611"/>
      <c r="FM36" s="759">
        <f>SUM(DR36:FL36)</f>
        <v>0</v>
      </c>
      <c r="FN36" s="611"/>
      <c r="FO36" s="611"/>
      <c r="FP36" s="611"/>
      <c r="FQ36" s="611"/>
      <c r="FR36" s="611"/>
      <c r="FS36" s="611"/>
      <c r="FT36" s="611"/>
      <c r="FU36" s="611"/>
      <c r="FV36" s="611"/>
      <c r="FW36" s="611"/>
      <c r="FX36" s="611"/>
      <c r="FY36" s="611"/>
      <c r="FZ36" s="611"/>
      <c r="GA36" s="611"/>
      <c r="GB36" s="611"/>
      <c r="GC36" s="611">
        <f>+FN36+FO36+FP36+FQ36+FR36+FS36+FT36+FU36+FV36+FW36+FX36+FY36+FZ36+GA36+GB36</f>
        <v>0</v>
      </c>
      <c r="GD36" s="611"/>
      <c r="GE36" s="611"/>
      <c r="GF36" s="611"/>
      <c r="GG36" s="611"/>
      <c r="GH36" s="611"/>
      <c r="GI36" s="611"/>
      <c r="GJ36" s="611"/>
      <c r="GK36" s="611"/>
      <c r="GL36" s="611"/>
      <c r="GM36" s="611"/>
      <c r="GN36" s="611"/>
      <c r="GO36" s="611"/>
      <c r="GP36" s="611"/>
      <c r="GQ36" s="611"/>
      <c r="GR36" s="611"/>
      <c r="GS36" s="611">
        <f>+GD36+GE36+GF36+GG36+GH36+GI36+GJ36+GK36+GL36+GM36+GN36+GO36+GP36+GQ36+GR36</f>
        <v>0</v>
      </c>
      <c r="GT36" s="611"/>
      <c r="GU36" s="611"/>
      <c r="GV36" s="611"/>
      <c r="GW36" s="611"/>
      <c r="GX36" s="611"/>
      <c r="GY36" s="611"/>
      <c r="GZ36" s="611"/>
      <c r="HA36" s="611"/>
      <c r="HB36" s="611"/>
      <c r="HC36" s="611"/>
      <c r="HD36" s="611">
        <f>+GT36+GU36+GV36+GW36+GX36+GY36+GZ36+HA36+HB36+HC36</f>
        <v>0</v>
      </c>
      <c r="HE36" s="782">
        <f>HD36+D36+BQ36-DQ36-FM36-GC36+GS36</f>
        <v>2.9649999999999999</v>
      </c>
      <c r="HF36" s="611">
        <v>1</v>
      </c>
      <c r="HG36" s="611">
        <f>-HE36+HF36</f>
        <v>-1.9649999999999999</v>
      </c>
      <c r="HH36" s="783"/>
      <c r="HI36" s="813">
        <f t="shared" si="5"/>
        <v>0</v>
      </c>
      <c r="HJ36" s="814">
        <f>+HI36-HE36</f>
        <v>-2.9649999999999999</v>
      </c>
      <c r="HK36" s="815"/>
    </row>
    <row r="37" spans="2:219">
      <c r="B37" s="526" t="s">
        <v>270</v>
      </c>
      <c r="C37" s="527" t="s">
        <v>271</v>
      </c>
      <c r="D37" s="528"/>
      <c r="E37" s="529"/>
      <c r="F37" s="530"/>
      <c r="G37" s="530"/>
      <c r="H37" s="530"/>
      <c r="I37" s="569"/>
      <c r="J37" s="569"/>
      <c r="K37" s="569"/>
      <c r="L37" s="569"/>
      <c r="M37" s="570"/>
      <c r="N37" s="569"/>
      <c r="O37" s="569"/>
      <c r="P37" s="571"/>
      <c r="Q37" s="569"/>
      <c r="R37" s="569"/>
      <c r="S37" s="569"/>
      <c r="T37" s="569"/>
      <c r="U37" s="569"/>
      <c r="V37" s="569"/>
      <c r="W37" s="569"/>
      <c r="X37" s="569"/>
      <c r="Y37" s="585"/>
      <c r="Z37" s="585"/>
      <c r="AA37" s="585"/>
      <c r="AB37" s="585"/>
      <c r="AC37" s="585"/>
      <c r="AD37" s="585"/>
      <c r="AE37" s="585"/>
      <c r="AF37" s="585"/>
      <c r="AG37" s="585"/>
      <c r="AH37" s="585"/>
      <c r="AI37" s="585"/>
      <c r="AJ37" s="585"/>
      <c r="AK37" s="585"/>
      <c r="AL37" s="585"/>
      <c r="AM37" s="585"/>
      <c r="AN37" s="585"/>
      <c r="AO37" s="585"/>
      <c r="AP37" s="585"/>
      <c r="AQ37" s="585"/>
      <c r="AR37" s="585"/>
      <c r="AS37" s="585"/>
      <c r="AT37" s="585"/>
      <c r="AU37" s="585"/>
      <c r="AV37" s="585"/>
      <c r="AW37" s="585"/>
      <c r="AX37" s="585"/>
      <c r="AY37" s="585"/>
      <c r="AZ37" s="585"/>
      <c r="BA37" s="585"/>
      <c r="BB37" s="585"/>
      <c r="BC37" s="585"/>
      <c r="BD37" s="585"/>
      <c r="BE37" s="585"/>
      <c r="BF37" s="585"/>
      <c r="BG37" s="585"/>
      <c r="BH37" s="585"/>
      <c r="BI37" s="585"/>
      <c r="BJ37" s="585"/>
      <c r="BK37" s="585"/>
      <c r="BL37" s="585"/>
      <c r="BM37" s="585"/>
      <c r="BN37" s="585"/>
      <c r="BO37" s="585"/>
      <c r="BP37" s="612"/>
      <c r="BQ37" s="596">
        <f t="shared" si="0"/>
        <v>0</v>
      </c>
      <c r="BR37" s="613"/>
      <c r="BS37" s="614"/>
      <c r="BT37" s="614"/>
      <c r="BU37" s="614"/>
      <c r="BV37" s="614"/>
      <c r="BW37" s="614"/>
      <c r="BX37" s="614"/>
      <c r="BY37" s="614"/>
      <c r="BZ37" s="614"/>
      <c r="CA37" s="614"/>
      <c r="CB37" s="614"/>
      <c r="CC37" s="614"/>
      <c r="CD37" s="614"/>
      <c r="CE37" s="648"/>
      <c r="CF37" s="614"/>
      <c r="CG37" s="614"/>
      <c r="CH37" s="614"/>
      <c r="CI37" s="614"/>
      <c r="CJ37" s="614"/>
      <c r="CK37" s="614"/>
      <c r="CL37" s="614"/>
      <c r="CM37" s="614"/>
      <c r="CN37" s="614"/>
      <c r="CO37" s="614"/>
      <c r="CP37" s="614"/>
      <c r="CQ37" s="666">
        <f t="shared" si="6"/>
        <v>0</v>
      </c>
      <c r="CR37" s="614"/>
      <c r="CS37" s="686"/>
      <c r="CT37" s="686"/>
      <c r="CU37" s="686"/>
      <c r="CV37" s="686"/>
      <c r="CW37" s="614"/>
      <c r="CX37" s="614"/>
      <c r="CY37" s="614"/>
      <c r="CZ37" s="687"/>
      <c r="DA37" s="614"/>
      <c r="DB37" s="614"/>
      <c r="DC37" s="614"/>
      <c r="DD37" s="712"/>
      <c r="DE37" s="614"/>
      <c r="DF37" s="614"/>
      <c r="DG37" s="614"/>
      <c r="DH37" s="614"/>
      <c r="DI37" s="614"/>
      <c r="DJ37" s="614"/>
      <c r="DK37" s="614"/>
      <c r="DL37" s="614"/>
      <c r="DM37" s="614"/>
      <c r="DN37" s="614"/>
      <c r="DO37" s="614"/>
      <c r="DP37" s="724">
        <f t="shared" si="1"/>
        <v>0</v>
      </c>
      <c r="DQ37" s="738">
        <f>+CQ37+DP37</f>
        <v>0</v>
      </c>
      <c r="DR37" s="614"/>
      <c r="DS37" s="614"/>
      <c r="DT37" s="614"/>
      <c r="DU37" s="614"/>
      <c r="DV37" s="614"/>
      <c r="DW37" s="614"/>
      <c r="DX37" s="614"/>
      <c r="DY37" s="614"/>
      <c r="DZ37" s="614"/>
      <c r="EA37" s="614"/>
      <c r="EB37" s="614"/>
      <c r="EC37" s="614"/>
      <c r="ED37" s="614"/>
      <c r="EE37" s="614"/>
      <c r="EF37" s="614"/>
      <c r="EG37" s="614"/>
      <c r="EH37" s="614"/>
      <c r="EI37" s="614"/>
      <c r="EJ37" s="614"/>
      <c r="EK37" s="614"/>
      <c r="EL37" s="614"/>
      <c r="EM37" s="614"/>
      <c r="EN37" s="614"/>
      <c r="EO37" s="614"/>
      <c r="EP37" s="614"/>
      <c r="EQ37" s="614"/>
      <c r="ER37" s="614"/>
      <c r="ES37" s="614"/>
      <c r="ET37" s="614"/>
      <c r="EU37" s="614"/>
      <c r="EV37" s="614"/>
      <c r="EW37" s="614"/>
      <c r="EX37" s="614"/>
      <c r="EY37" s="614"/>
      <c r="EZ37" s="614"/>
      <c r="FA37" s="614"/>
      <c r="FB37" s="614"/>
      <c r="FC37" s="614"/>
      <c r="FD37" s="614"/>
      <c r="FE37" s="614"/>
      <c r="FF37" s="614"/>
      <c r="FG37" s="614"/>
      <c r="FH37" s="614"/>
      <c r="FI37" s="614"/>
      <c r="FJ37" s="614"/>
      <c r="FK37" s="614"/>
      <c r="FL37" s="614"/>
      <c r="FM37" s="760">
        <f t="shared" si="8"/>
        <v>0</v>
      </c>
      <c r="FN37" s="614"/>
      <c r="FO37" s="614"/>
      <c r="FP37" s="614"/>
      <c r="FQ37" s="614"/>
      <c r="FR37" s="614"/>
      <c r="FS37" s="614"/>
      <c r="FT37" s="614"/>
      <c r="FU37" s="614"/>
      <c r="FV37" s="614"/>
      <c r="FW37" s="614"/>
      <c r="FX37" s="614"/>
      <c r="FY37" s="614"/>
      <c r="FZ37" s="614"/>
      <c r="GA37" s="614"/>
      <c r="GB37" s="614"/>
      <c r="GC37" s="614">
        <f t="shared" si="2"/>
        <v>0</v>
      </c>
      <c r="GD37" s="614"/>
      <c r="GE37" s="614"/>
      <c r="GF37" s="614"/>
      <c r="GG37" s="614"/>
      <c r="GH37" s="614"/>
      <c r="GI37" s="614"/>
      <c r="GJ37" s="614"/>
      <c r="GK37" s="614"/>
      <c r="GL37" s="614"/>
      <c r="GM37" s="614"/>
      <c r="GN37" s="614"/>
      <c r="GO37" s="614"/>
      <c r="GP37" s="614"/>
      <c r="GQ37" s="614"/>
      <c r="GR37" s="614"/>
      <c r="GS37" s="614">
        <f t="shared" si="3"/>
        <v>0</v>
      </c>
      <c r="GT37" s="614"/>
      <c r="GU37" s="614"/>
      <c r="GV37" s="614"/>
      <c r="GW37" s="614"/>
      <c r="GX37" s="614"/>
      <c r="GY37" s="614"/>
      <c r="GZ37" s="614"/>
      <c r="HA37" s="614"/>
      <c r="HB37" s="614"/>
      <c r="HC37" s="614"/>
      <c r="HD37" s="614">
        <f t="shared" si="10"/>
        <v>0</v>
      </c>
      <c r="HE37" s="614">
        <f t="shared" si="11"/>
        <v>0</v>
      </c>
      <c r="HF37" s="614">
        <f t="shared" ref="HF37:HF48" si="12">+D37</f>
        <v>0</v>
      </c>
      <c r="HG37" s="614">
        <f t="shared" si="4"/>
        <v>0</v>
      </c>
      <c r="HH37" s="784"/>
      <c r="HI37" s="816">
        <f t="shared" ref="HI37:HI100" si="13">+HH37</f>
        <v>0</v>
      </c>
      <c r="HJ37" s="817">
        <f t="shared" si="9"/>
        <v>0</v>
      </c>
      <c r="HK37" s="818">
        <f>+HI37/24</f>
        <v>0</v>
      </c>
    </row>
    <row r="38" spans="2:219" ht="20.25" customHeight="1">
      <c r="B38" s="531" t="s">
        <v>272</v>
      </c>
      <c r="C38" s="500" t="s">
        <v>273</v>
      </c>
      <c r="D38" s="532"/>
      <c r="E38" s="533"/>
      <c r="F38" s="534"/>
      <c r="G38" s="534"/>
      <c r="H38" s="534"/>
      <c r="I38" s="572"/>
      <c r="J38" s="572"/>
      <c r="K38" s="572"/>
      <c r="L38" s="572"/>
      <c r="M38" s="572"/>
      <c r="N38" s="572"/>
      <c r="O38" s="572"/>
      <c r="P38" s="572"/>
      <c r="Q38" s="572"/>
      <c r="R38" s="572"/>
      <c r="S38" s="572"/>
      <c r="T38" s="572"/>
      <c r="U38" s="572"/>
      <c r="V38" s="572"/>
      <c r="W38" s="572"/>
      <c r="X38" s="572"/>
      <c r="Y38" s="503"/>
      <c r="Z38" s="503"/>
      <c r="AA38" s="503"/>
      <c r="AB38" s="503"/>
      <c r="AC38" s="503"/>
      <c r="AD38" s="503"/>
      <c r="AE38" s="503"/>
      <c r="AF38" s="503"/>
      <c r="AG38" s="503"/>
      <c r="AH38" s="503"/>
      <c r="AI38" s="503"/>
      <c r="AJ38" s="503"/>
      <c r="AK38" s="503"/>
      <c r="AL38" s="503"/>
      <c r="AM38" s="503"/>
      <c r="AN38" s="503"/>
      <c r="AO38" s="503"/>
      <c r="AP38" s="503"/>
      <c r="AQ38" s="503"/>
      <c r="AR38" s="503"/>
      <c r="AS38" s="503"/>
      <c r="AT38" s="503"/>
      <c r="AU38" s="503"/>
      <c r="AV38" s="503"/>
      <c r="AW38" s="503"/>
      <c r="AX38" s="503"/>
      <c r="AY38" s="503"/>
      <c r="AZ38" s="503"/>
      <c r="BA38" s="503"/>
      <c r="BB38" s="503"/>
      <c r="BC38" s="503"/>
      <c r="BD38" s="503"/>
      <c r="BE38" s="503"/>
      <c r="BF38" s="503"/>
      <c r="BG38" s="503"/>
      <c r="BH38" s="503"/>
      <c r="BI38" s="503"/>
      <c r="BJ38" s="503"/>
      <c r="BK38" s="503"/>
      <c r="BL38" s="503"/>
      <c r="BM38" s="503"/>
      <c r="BN38" s="503"/>
      <c r="BO38" s="503"/>
      <c r="BP38" s="597"/>
      <c r="BQ38" s="598">
        <f t="shared" si="0"/>
        <v>0</v>
      </c>
      <c r="BR38" s="615"/>
      <c r="BS38" s="616"/>
      <c r="BT38" s="616"/>
      <c r="BU38" s="616"/>
      <c r="BV38" s="616"/>
      <c r="BW38" s="642"/>
      <c r="BX38" s="616"/>
      <c r="BY38" s="616"/>
      <c r="BZ38" s="642"/>
      <c r="CA38" s="643"/>
      <c r="CB38" s="616"/>
      <c r="CC38" s="616"/>
      <c r="CD38" s="616"/>
      <c r="CE38" s="649"/>
      <c r="CF38" s="616"/>
      <c r="CG38" s="616"/>
      <c r="CH38" s="616"/>
      <c r="CI38" s="616"/>
      <c r="CJ38" s="616"/>
      <c r="CK38" s="616"/>
      <c r="CL38" s="616"/>
      <c r="CM38" s="616"/>
      <c r="CN38" s="616"/>
      <c r="CO38" s="616"/>
      <c r="CP38" s="616"/>
      <c r="CQ38" s="667">
        <f t="shared" si="6"/>
        <v>0</v>
      </c>
      <c r="CR38" s="616"/>
      <c r="CS38" s="688"/>
      <c r="CT38" s="688"/>
      <c r="CU38" s="688"/>
      <c r="CV38" s="688"/>
      <c r="CW38" s="616"/>
      <c r="CX38" s="616"/>
      <c r="CY38" s="616"/>
      <c r="CZ38" s="689"/>
      <c r="DA38" s="616"/>
      <c r="DB38" s="616"/>
      <c r="DC38" s="616"/>
      <c r="DD38" s="707"/>
      <c r="DE38" s="616"/>
      <c r="DF38" s="616"/>
      <c r="DG38" s="616"/>
      <c r="DH38" s="616"/>
      <c r="DI38" s="616"/>
      <c r="DJ38" s="616"/>
      <c r="DK38" s="616"/>
      <c r="DL38" s="616"/>
      <c r="DM38" s="616"/>
      <c r="DN38" s="616"/>
      <c r="DO38" s="616"/>
      <c r="DP38" s="563">
        <f t="shared" si="1"/>
        <v>0</v>
      </c>
      <c r="DQ38" s="739">
        <f t="shared" si="7"/>
        <v>0</v>
      </c>
      <c r="DS38" s="616"/>
      <c r="DT38" s="740"/>
      <c r="DU38" s="616"/>
      <c r="DV38" s="616"/>
      <c r="DW38" s="616"/>
      <c r="DX38" s="616"/>
      <c r="DY38" s="616"/>
      <c r="DZ38" s="616"/>
      <c r="EA38" s="616"/>
      <c r="EB38" s="616"/>
      <c r="EC38" s="616"/>
      <c r="ED38" s="616"/>
      <c r="EE38" s="616"/>
      <c r="EF38" s="616"/>
      <c r="EG38" s="616"/>
      <c r="EH38" s="616"/>
      <c r="EI38" s="616"/>
      <c r="EJ38" s="616"/>
      <c r="EK38" s="616"/>
      <c r="EL38" s="616"/>
      <c r="EM38" s="616"/>
      <c r="EN38" s="616"/>
      <c r="EO38" s="616"/>
      <c r="EP38" s="616"/>
      <c r="EQ38" s="616"/>
      <c r="ER38" s="616"/>
      <c r="ES38" s="616"/>
      <c r="ET38" s="616"/>
      <c r="EU38" s="616"/>
      <c r="EV38" s="616"/>
      <c r="EW38" s="616"/>
      <c r="EX38" s="616"/>
      <c r="EY38" s="616"/>
      <c r="EZ38" s="616"/>
      <c r="FA38" s="616"/>
      <c r="FB38" s="616"/>
      <c r="FC38" s="616"/>
      <c r="FD38" s="616"/>
      <c r="FE38" s="616"/>
      <c r="FF38" s="616"/>
      <c r="FG38" s="616"/>
      <c r="FH38" s="616"/>
      <c r="FI38" s="616"/>
      <c r="FJ38" s="616"/>
      <c r="FK38" s="616"/>
      <c r="FL38" s="616"/>
      <c r="FM38" s="761">
        <f>SUM(DS38:FL38)</f>
        <v>0</v>
      </c>
      <c r="FN38" s="616"/>
      <c r="FO38" s="616"/>
      <c r="FP38" s="616"/>
      <c r="FQ38" s="616"/>
      <c r="FR38" s="616"/>
      <c r="FS38" s="616"/>
      <c r="FT38" s="616"/>
      <c r="FU38" s="616"/>
      <c r="FV38" s="616"/>
      <c r="FW38" s="616"/>
      <c r="FX38" s="616"/>
      <c r="FY38" s="616"/>
      <c r="FZ38" s="616"/>
      <c r="GA38" s="616"/>
      <c r="GB38" s="616"/>
      <c r="GC38" s="616">
        <f t="shared" si="2"/>
        <v>0</v>
      </c>
      <c r="GD38" s="616"/>
      <c r="GE38" s="616"/>
      <c r="GF38" s="616"/>
      <c r="GG38" s="616"/>
      <c r="GH38" s="616"/>
      <c r="GI38" s="616"/>
      <c r="GJ38" s="616"/>
      <c r="GK38" s="616"/>
      <c r="GL38" s="616"/>
      <c r="GM38" s="616"/>
      <c r="GN38" s="616"/>
      <c r="GO38" s="616"/>
      <c r="GP38" s="616"/>
      <c r="GQ38" s="616"/>
      <c r="GR38" s="616"/>
      <c r="GS38" s="616">
        <f t="shared" si="3"/>
        <v>0</v>
      </c>
      <c r="GT38" s="616"/>
      <c r="GU38" s="616"/>
      <c r="GV38" s="616"/>
      <c r="GW38" s="616"/>
      <c r="GX38" s="616"/>
      <c r="GY38" s="616"/>
      <c r="GZ38" s="616"/>
      <c r="HA38" s="616"/>
      <c r="HB38" s="616"/>
      <c r="HC38" s="616"/>
      <c r="HD38" s="616">
        <f t="shared" si="10"/>
        <v>0</v>
      </c>
      <c r="HE38" s="616">
        <f t="shared" si="11"/>
        <v>0</v>
      </c>
      <c r="HF38" s="616">
        <f t="shared" si="12"/>
        <v>0</v>
      </c>
      <c r="HG38" s="616">
        <f t="shared" si="4"/>
        <v>0</v>
      </c>
      <c r="HH38" s="785"/>
      <c r="HI38" s="804">
        <f t="shared" si="13"/>
        <v>0</v>
      </c>
      <c r="HJ38" s="819">
        <f t="shared" si="9"/>
        <v>0</v>
      </c>
      <c r="HK38" s="803">
        <f t="shared" ref="HK38:HK46" si="14">+HI38/24</f>
        <v>0</v>
      </c>
    </row>
    <row r="39" spans="2:219">
      <c r="B39" s="531" t="s">
        <v>274</v>
      </c>
      <c r="C39" s="500" t="s">
        <v>275</v>
      </c>
      <c r="D39" s="532"/>
      <c r="E39" s="535"/>
      <c r="F39" s="534"/>
      <c r="G39" s="534"/>
      <c r="H39" s="534"/>
      <c r="I39" s="572"/>
      <c r="J39" s="572"/>
      <c r="K39" s="572"/>
      <c r="L39" s="572"/>
      <c r="M39" s="572"/>
      <c r="N39" s="572"/>
      <c r="O39" s="572"/>
      <c r="P39" s="572"/>
      <c r="Q39" s="572"/>
      <c r="R39" s="572"/>
      <c r="S39" s="572"/>
      <c r="T39" s="572"/>
      <c r="U39" s="572"/>
      <c r="V39" s="572"/>
      <c r="W39" s="572"/>
      <c r="X39" s="572"/>
      <c r="Y39" s="503"/>
      <c r="Z39" s="503"/>
      <c r="AA39" s="503"/>
      <c r="AB39" s="503"/>
      <c r="AC39" s="503"/>
      <c r="AD39" s="503"/>
      <c r="AE39" s="503"/>
      <c r="AF39" s="503"/>
      <c r="AG39" s="503"/>
      <c r="AH39" s="503"/>
      <c r="AI39" s="503"/>
      <c r="AJ39" s="503"/>
      <c r="AK39" s="503"/>
      <c r="AL39" s="503"/>
      <c r="AM39" s="503"/>
      <c r="AN39" s="503"/>
      <c r="AO39" s="503"/>
      <c r="AP39" s="503"/>
      <c r="AQ39" s="503"/>
      <c r="AR39" s="503"/>
      <c r="AS39" s="503"/>
      <c r="AT39" s="503"/>
      <c r="AU39" s="503"/>
      <c r="AV39" s="503"/>
      <c r="AW39" s="503"/>
      <c r="AX39" s="503"/>
      <c r="AY39" s="503"/>
      <c r="AZ39" s="503"/>
      <c r="BA39" s="503"/>
      <c r="BB39" s="503"/>
      <c r="BC39" s="503"/>
      <c r="BD39" s="503"/>
      <c r="BE39" s="503"/>
      <c r="BF39" s="503"/>
      <c r="BG39" s="503"/>
      <c r="BH39" s="503"/>
      <c r="BI39" s="503"/>
      <c r="BJ39" s="503"/>
      <c r="BK39" s="503"/>
      <c r="BL39" s="503"/>
      <c r="BM39" s="503"/>
      <c r="BN39" s="503"/>
      <c r="BO39" s="503"/>
      <c r="BP39" s="597"/>
      <c r="BQ39" s="598">
        <f t="shared" si="0"/>
        <v>0</v>
      </c>
      <c r="BR39" s="615"/>
      <c r="BS39" s="616"/>
      <c r="BT39" s="616"/>
      <c r="BU39" s="616"/>
      <c r="BV39" s="616"/>
      <c r="BW39" s="616"/>
      <c r="BX39" s="616"/>
      <c r="BY39" s="616"/>
      <c r="BZ39" s="616"/>
      <c r="CA39" s="616"/>
      <c r="CB39" s="616"/>
      <c r="CC39" s="616"/>
      <c r="CD39" s="616"/>
      <c r="CE39" s="649"/>
      <c r="CF39" s="616"/>
      <c r="CG39" s="616"/>
      <c r="CH39" s="616"/>
      <c r="CI39" s="616"/>
      <c r="CJ39" s="616"/>
      <c r="CK39" s="616"/>
      <c r="CL39" s="616"/>
      <c r="CM39" s="616"/>
      <c r="CN39" s="616"/>
      <c r="CO39" s="616"/>
      <c r="CP39" s="616"/>
      <c r="CQ39" s="667">
        <f t="shared" si="6"/>
        <v>0</v>
      </c>
      <c r="CR39" s="616"/>
      <c r="CS39" s="688"/>
      <c r="CT39" s="688"/>
      <c r="CU39" s="688"/>
      <c r="CV39" s="688"/>
      <c r="CW39" s="616"/>
      <c r="CX39" s="616"/>
      <c r="CY39" s="616"/>
      <c r="CZ39" s="689"/>
      <c r="DA39" s="616"/>
      <c r="DB39" s="616"/>
      <c r="DC39" s="616"/>
      <c r="DD39" s="707"/>
      <c r="DE39" s="616"/>
      <c r="DF39" s="616"/>
      <c r="DG39" s="616"/>
      <c r="DH39" s="616"/>
      <c r="DI39" s="616"/>
      <c r="DJ39" s="616"/>
      <c r="DK39" s="616"/>
      <c r="DL39" s="616"/>
      <c r="DM39" s="616"/>
      <c r="DN39" s="616"/>
      <c r="DO39" s="616"/>
      <c r="DP39" s="563">
        <f t="shared" si="1"/>
        <v>0</v>
      </c>
      <c r="DQ39" s="739">
        <f t="shared" si="7"/>
        <v>0</v>
      </c>
      <c r="DR39" s="616"/>
      <c r="DS39" s="616"/>
      <c r="DT39" s="616"/>
      <c r="DU39" s="616"/>
      <c r="DV39" s="616"/>
      <c r="DW39" s="616"/>
      <c r="DX39" s="616"/>
      <c r="DY39" s="616"/>
      <c r="DZ39" s="616"/>
      <c r="EA39" s="616"/>
      <c r="EB39" s="616"/>
      <c r="EC39" s="616"/>
      <c r="ED39" s="616"/>
      <c r="EE39" s="616"/>
      <c r="EF39" s="616"/>
      <c r="EG39" s="616"/>
      <c r="EH39" s="616"/>
      <c r="EI39" s="616"/>
      <c r="EJ39" s="616"/>
      <c r="EK39" s="616"/>
      <c r="EL39" s="616"/>
      <c r="EM39" s="616"/>
      <c r="EN39" s="616"/>
      <c r="EO39" s="616"/>
      <c r="EP39" s="616"/>
      <c r="EQ39" s="616"/>
      <c r="ER39" s="616"/>
      <c r="ES39" s="616"/>
      <c r="ET39" s="616"/>
      <c r="EU39" s="616"/>
      <c r="EV39" s="616"/>
      <c r="EW39" s="616"/>
      <c r="EX39" s="616"/>
      <c r="EY39" s="616"/>
      <c r="EZ39" s="616"/>
      <c r="FA39" s="616"/>
      <c r="FB39" s="616"/>
      <c r="FC39" s="616"/>
      <c r="FD39" s="616"/>
      <c r="FE39" s="616"/>
      <c r="FF39" s="616"/>
      <c r="FG39" s="616"/>
      <c r="FH39" s="616"/>
      <c r="FI39" s="616"/>
      <c r="FJ39" s="616"/>
      <c r="FK39" s="616"/>
      <c r="FL39" s="616"/>
      <c r="FM39" s="761">
        <f t="shared" si="8"/>
        <v>0</v>
      </c>
      <c r="FN39" s="616"/>
      <c r="FO39" s="616"/>
      <c r="FP39" s="616"/>
      <c r="FQ39" s="616"/>
      <c r="FR39" s="616"/>
      <c r="FS39" s="616"/>
      <c r="FT39" s="616"/>
      <c r="FU39" s="616"/>
      <c r="FV39" s="616"/>
      <c r="FW39" s="616"/>
      <c r="FX39" s="616"/>
      <c r="FY39" s="616"/>
      <c r="FZ39" s="616"/>
      <c r="GA39" s="616"/>
      <c r="GB39" s="616"/>
      <c r="GC39" s="616">
        <f t="shared" si="2"/>
        <v>0</v>
      </c>
      <c r="GD39" s="616"/>
      <c r="GE39" s="616"/>
      <c r="GF39" s="616"/>
      <c r="GG39" s="616"/>
      <c r="GH39" s="616"/>
      <c r="GI39" s="616"/>
      <c r="GJ39" s="616"/>
      <c r="GK39" s="616"/>
      <c r="GL39" s="616"/>
      <c r="GM39" s="616"/>
      <c r="GN39" s="616"/>
      <c r="GO39" s="616"/>
      <c r="GP39" s="616"/>
      <c r="GQ39" s="616"/>
      <c r="GR39" s="616"/>
      <c r="GS39" s="616">
        <f t="shared" si="3"/>
        <v>0</v>
      </c>
      <c r="GT39" s="616"/>
      <c r="GU39" s="616"/>
      <c r="GV39" s="616"/>
      <c r="GW39" s="616"/>
      <c r="GX39" s="616"/>
      <c r="GY39" s="616"/>
      <c r="GZ39" s="616"/>
      <c r="HA39" s="616"/>
      <c r="HB39" s="616"/>
      <c r="HC39" s="616"/>
      <c r="HD39" s="616">
        <f t="shared" si="10"/>
        <v>0</v>
      </c>
      <c r="HE39" s="616">
        <f t="shared" si="11"/>
        <v>0</v>
      </c>
      <c r="HF39" s="616">
        <f t="shared" si="12"/>
        <v>0</v>
      </c>
      <c r="HG39" s="616">
        <f t="shared" si="4"/>
        <v>0</v>
      </c>
      <c r="HH39" s="786">
        <f>8*12200+12205+2259</f>
        <v>112064</v>
      </c>
      <c r="HI39" s="804">
        <f t="shared" si="13"/>
        <v>112064</v>
      </c>
      <c r="HJ39" s="819">
        <f t="shared" si="9"/>
        <v>112064</v>
      </c>
      <c r="HK39" s="803">
        <f t="shared" si="14"/>
        <v>4669.333333333333</v>
      </c>
    </row>
    <row r="40" spans="2:219">
      <c r="B40" s="536" t="s">
        <v>276</v>
      </c>
      <c r="C40" s="537" t="s">
        <v>277</v>
      </c>
      <c r="D40" s="538"/>
      <c r="E40" s="539"/>
      <c r="F40" s="540"/>
      <c r="G40" s="540"/>
      <c r="H40" s="540"/>
      <c r="I40" s="573"/>
      <c r="J40" s="573"/>
      <c r="K40" s="573"/>
      <c r="L40" s="573"/>
      <c r="M40" s="573"/>
      <c r="N40" s="573"/>
      <c r="O40" s="573"/>
      <c r="P40" s="573"/>
      <c r="Q40" s="573"/>
      <c r="R40" s="573"/>
      <c r="S40" s="573"/>
      <c r="T40" s="573"/>
      <c r="U40" s="573"/>
      <c r="V40" s="573"/>
      <c r="W40" s="573"/>
      <c r="X40" s="573"/>
      <c r="Y40" s="586"/>
      <c r="Z40" s="586"/>
      <c r="AA40" s="586"/>
      <c r="AB40" s="586"/>
      <c r="AC40" s="586"/>
      <c r="AD40" s="586"/>
      <c r="AE40" s="586"/>
      <c r="AF40" s="586"/>
      <c r="AG40" s="586"/>
      <c r="AH40" s="586"/>
      <c r="AI40" s="586"/>
      <c r="AJ40" s="586"/>
      <c r="AK40" s="586"/>
      <c r="AL40" s="586"/>
      <c r="AM40" s="586"/>
      <c r="AN40" s="586"/>
      <c r="AO40" s="586"/>
      <c r="AP40" s="586"/>
      <c r="AQ40" s="586"/>
      <c r="AR40" s="586"/>
      <c r="AS40" s="586"/>
      <c r="AT40" s="586"/>
      <c r="AU40" s="586"/>
      <c r="AV40" s="586"/>
      <c r="AW40" s="586"/>
      <c r="AX40" s="586"/>
      <c r="AY40" s="586"/>
      <c r="AZ40" s="586"/>
      <c r="BA40" s="586"/>
      <c r="BB40" s="586"/>
      <c r="BC40" s="586"/>
      <c r="BD40" s="586"/>
      <c r="BE40" s="586"/>
      <c r="BF40" s="586"/>
      <c r="BG40" s="586"/>
      <c r="BH40" s="586"/>
      <c r="BI40" s="586"/>
      <c r="BJ40" s="586"/>
      <c r="BK40" s="586"/>
      <c r="BL40" s="586"/>
      <c r="BM40" s="586"/>
      <c r="BN40" s="586"/>
      <c r="BO40" s="586"/>
      <c r="BP40" s="617"/>
      <c r="BQ40" s="600">
        <f t="shared" si="0"/>
        <v>0</v>
      </c>
      <c r="BR40" s="618"/>
      <c r="BS40" s="619"/>
      <c r="BT40" s="619"/>
      <c r="BU40" s="619"/>
      <c r="BV40" s="619"/>
      <c r="BW40" s="619"/>
      <c r="BX40" s="619"/>
      <c r="BY40" s="619"/>
      <c r="BZ40" s="619"/>
      <c r="CA40" s="644"/>
      <c r="CB40" s="619"/>
      <c r="CC40" s="619"/>
      <c r="CD40" s="619"/>
      <c r="CE40" s="650"/>
      <c r="CF40" s="619"/>
      <c r="CG40" s="619"/>
      <c r="CH40" s="619"/>
      <c r="CI40" s="619"/>
      <c r="CJ40" s="619"/>
      <c r="CK40" s="619"/>
      <c r="CL40" s="619"/>
      <c r="CM40" s="619"/>
      <c r="CN40" s="619"/>
      <c r="CO40" s="619"/>
      <c r="CP40" s="619"/>
      <c r="CQ40" s="668">
        <f t="shared" si="6"/>
        <v>0</v>
      </c>
      <c r="CR40" s="619"/>
      <c r="CS40" s="690"/>
      <c r="CT40" s="690"/>
      <c r="CU40" s="690"/>
      <c r="CV40" s="690"/>
      <c r="CW40" s="619"/>
      <c r="CX40" s="619"/>
      <c r="CY40" s="619"/>
      <c r="CZ40" s="691"/>
      <c r="DA40" s="619"/>
      <c r="DB40" s="619"/>
      <c r="DC40" s="619"/>
      <c r="DD40" s="710"/>
      <c r="DE40" s="619"/>
      <c r="DF40" s="619"/>
      <c r="DG40" s="619"/>
      <c r="DH40" s="619"/>
      <c r="DI40" s="619"/>
      <c r="DJ40" s="619"/>
      <c r="DK40" s="619"/>
      <c r="DL40" s="619"/>
      <c r="DM40" s="619"/>
      <c r="DN40" s="619"/>
      <c r="DO40" s="619"/>
      <c r="DP40" s="565">
        <f t="shared" si="1"/>
        <v>0</v>
      </c>
      <c r="DQ40" s="741">
        <f t="shared" si="7"/>
        <v>0</v>
      </c>
      <c r="DR40" s="619"/>
      <c r="DS40" s="742"/>
      <c r="DT40" s="619"/>
      <c r="DU40" s="619"/>
      <c r="DV40" s="619"/>
      <c r="DW40" s="619"/>
      <c r="DX40" s="619"/>
      <c r="DY40" s="619"/>
      <c r="DZ40" s="619"/>
      <c r="EA40" s="619"/>
      <c r="EB40" s="619"/>
      <c r="EC40" s="619"/>
      <c r="ED40" s="619"/>
      <c r="EE40" s="619"/>
      <c r="EF40" s="619"/>
      <c r="EG40" s="619"/>
      <c r="EH40" s="619"/>
      <c r="EI40" s="619"/>
      <c r="EJ40" s="619"/>
      <c r="EK40" s="619"/>
      <c r="EL40" s="619"/>
      <c r="EM40" s="619"/>
      <c r="EN40" s="619"/>
      <c r="EO40" s="619"/>
      <c r="EP40" s="619"/>
      <c r="EQ40" s="619"/>
      <c r="ER40" s="619"/>
      <c r="ES40" s="619"/>
      <c r="ET40" s="619"/>
      <c r="EU40" s="619"/>
      <c r="EV40" s="619"/>
      <c r="EW40" s="619"/>
      <c r="EX40" s="619"/>
      <c r="EY40" s="619"/>
      <c r="EZ40" s="619"/>
      <c r="FA40" s="619"/>
      <c r="FB40" s="619"/>
      <c r="FC40" s="619"/>
      <c r="FD40" s="619"/>
      <c r="FE40" s="619"/>
      <c r="FF40" s="619"/>
      <c r="FG40" s="619"/>
      <c r="FH40" s="619"/>
      <c r="FI40" s="619"/>
      <c r="FJ40" s="619"/>
      <c r="FK40" s="619"/>
      <c r="FL40" s="619"/>
      <c r="FM40" s="762">
        <f t="shared" si="8"/>
        <v>0</v>
      </c>
      <c r="FN40" s="619"/>
      <c r="FO40" s="619"/>
      <c r="FP40" s="619"/>
      <c r="FQ40" s="619"/>
      <c r="FR40" s="619"/>
      <c r="FS40" s="619"/>
      <c r="FT40" s="619"/>
      <c r="FU40" s="619"/>
      <c r="FV40" s="619"/>
      <c r="FW40" s="619"/>
      <c r="FX40" s="619"/>
      <c r="FY40" s="619"/>
      <c r="FZ40" s="619"/>
      <c r="GA40" s="619"/>
      <c r="GB40" s="619"/>
      <c r="GC40" s="619">
        <f t="shared" si="2"/>
        <v>0</v>
      </c>
      <c r="GD40" s="619"/>
      <c r="GE40" s="619"/>
      <c r="GF40" s="619"/>
      <c r="GG40" s="619"/>
      <c r="GH40" s="619"/>
      <c r="GI40" s="619"/>
      <c r="GJ40" s="619"/>
      <c r="GK40" s="619"/>
      <c r="GL40" s="619"/>
      <c r="GM40" s="619"/>
      <c r="GN40" s="619"/>
      <c r="GO40" s="619"/>
      <c r="GP40" s="619"/>
      <c r="GQ40" s="619"/>
      <c r="GR40" s="619"/>
      <c r="GS40" s="619">
        <f t="shared" si="3"/>
        <v>0</v>
      </c>
      <c r="GT40" s="619"/>
      <c r="GU40" s="619"/>
      <c r="GV40" s="619"/>
      <c r="GW40" s="619"/>
      <c r="GX40" s="619"/>
      <c r="GY40" s="619"/>
      <c r="GZ40" s="619"/>
      <c r="HA40" s="619"/>
      <c r="HB40" s="619"/>
      <c r="HC40" s="619"/>
      <c r="HD40" s="619">
        <f t="shared" si="10"/>
        <v>0</v>
      </c>
      <c r="HE40" s="619">
        <f t="shared" si="11"/>
        <v>0</v>
      </c>
      <c r="HF40" s="619">
        <f t="shared" si="12"/>
        <v>0</v>
      </c>
      <c r="HG40" s="619">
        <f t="shared" si="4"/>
        <v>0</v>
      </c>
      <c r="HH40" s="741"/>
      <c r="HI40" s="804">
        <f t="shared" si="13"/>
        <v>0</v>
      </c>
      <c r="HJ40" s="820">
        <f t="shared" si="9"/>
        <v>0</v>
      </c>
      <c r="HK40" s="803">
        <f t="shared" si="14"/>
        <v>0</v>
      </c>
    </row>
    <row r="41" spans="2:219">
      <c r="B41" s="541" t="s">
        <v>278</v>
      </c>
      <c r="C41" s="507" t="s">
        <v>279</v>
      </c>
      <c r="D41" s="542"/>
      <c r="E41" s="543"/>
      <c r="F41" s="544"/>
      <c r="G41" s="544"/>
      <c r="H41" s="544"/>
      <c r="I41" s="574"/>
      <c r="J41" s="574"/>
      <c r="K41" s="574"/>
      <c r="L41" s="574"/>
      <c r="M41" s="574"/>
      <c r="N41" s="574"/>
      <c r="O41" s="574"/>
      <c r="P41" s="574"/>
      <c r="Q41" s="574"/>
      <c r="R41" s="574"/>
      <c r="S41" s="574"/>
      <c r="T41" s="574"/>
      <c r="U41" s="574"/>
      <c r="V41" s="574"/>
      <c r="W41" s="574"/>
      <c r="X41" s="574"/>
      <c r="Y41" s="587"/>
      <c r="Z41" s="587"/>
      <c r="AA41" s="587"/>
      <c r="AB41" s="587"/>
      <c r="AC41" s="587"/>
      <c r="AD41" s="587"/>
      <c r="AE41" s="587"/>
      <c r="AF41" s="587"/>
      <c r="AG41" s="587"/>
      <c r="AH41" s="587"/>
      <c r="AI41" s="587"/>
      <c r="AJ41" s="587"/>
      <c r="AK41" s="587"/>
      <c r="AL41" s="587"/>
      <c r="AM41" s="587"/>
      <c r="AN41" s="587"/>
      <c r="AO41" s="587"/>
      <c r="AP41" s="587"/>
      <c r="AQ41" s="587"/>
      <c r="AR41" s="587"/>
      <c r="AS41" s="587"/>
      <c r="AT41" s="587"/>
      <c r="AU41" s="587"/>
      <c r="AV41" s="587"/>
      <c r="AW41" s="587"/>
      <c r="AX41" s="587"/>
      <c r="AY41" s="587"/>
      <c r="AZ41" s="587"/>
      <c r="BA41" s="587"/>
      <c r="BB41" s="587"/>
      <c r="BC41" s="587"/>
      <c r="BD41" s="587"/>
      <c r="BE41" s="587"/>
      <c r="BF41" s="587"/>
      <c r="BG41" s="587"/>
      <c r="BH41" s="587"/>
      <c r="BI41" s="587"/>
      <c r="BJ41" s="587"/>
      <c r="BK41" s="587"/>
      <c r="BL41" s="587"/>
      <c r="BM41" s="587"/>
      <c r="BN41" s="587"/>
      <c r="BO41" s="587"/>
      <c r="BP41" s="620"/>
      <c r="BQ41" s="596">
        <f t="shared" si="0"/>
        <v>0</v>
      </c>
      <c r="BR41" s="621"/>
      <c r="BS41" s="622"/>
      <c r="BT41" s="622"/>
      <c r="BU41" s="622"/>
      <c r="BV41" s="622"/>
      <c r="BW41" s="622"/>
      <c r="BX41" s="622"/>
      <c r="BY41" s="622"/>
      <c r="BZ41" s="622"/>
      <c r="CA41" s="645"/>
      <c r="CB41" s="622"/>
      <c r="CC41" s="622"/>
      <c r="CD41" s="622"/>
      <c r="CE41" s="651"/>
      <c r="CF41" s="622"/>
      <c r="CG41" s="622"/>
      <c r="CH41" s="622"/>
      <c r="CI41" s="622"/>
      <c r="CJ41" s="622"/>
      <c r="CK41" s="622"/>
      <c r="CL41" s="622"/>
      <c r="CM41" s="622"/>
      <c r="CN41" s="622"/>
      <c r="CO41" s="622"/>
      <c r="CP41" s="622"/>
      <c r="CQ41" s="669">
        <f t="shared" si="6"/>
        <v>0</v>
      </c>
      <c r="CR41" s="622"/>
      <c r="CS41" s="692"/>
      <c r="CT41" s="692"/>
      <c r="CU41" s="692"/>
      <c r="CV41" s="692"/>
      <c r="CW41" s="622"/>
      <c r="CX41" s="622"/>
      <c r="CY41" s="622"/>
      <c r="CZ41" s="693"/>
      <c r="DA41" s="622"/>
      <c r="DB41" s="622"/>
      <c r="DC41" s="622"/>
      <c r="DD41" s="706"/>
      <c r="DE41" s="622"/>
      <c r="DF41" s="622"/>
      <c r="DG41" s="622"/>
      <c r="DH41" s="622"/>
      <c r="DI41" s="622"/>
      <c r="DJ41" s="622"/>
      <c r="DK41" s="622"/>
      <c r="DL41" s="622"/>
      <c r="DM41" s="622"/>
      <c r="DN41" s="622"/>
      <c r="DO41" s="622"/>
      <c r="DP41" s="561">
        <f t="shared" si="1"/>
        <v>0</v>
      </c>
      <c r="DQ41" s="743">
        <f t="shared" si="7"/>
        <v>0</v>
      </c>
      <c r="DR41" s="622"/>
      <c r="DS41" s="622"/>
      <c r="DT41" s="622"/>
      <c r="DU41" s="622"/>
      <c r="DV41" s="622"/>
      <c r="DW41" s="622"/>
      <c r="DX41" s="622"/>
      <c r="DY41" s="622"/>
      <c r="DZ41" s="622"/>
      <c r="EA41" s="622"/>
      <c r="EB41" s="622"/>
      <c r="EC41" s="622"/>
      <c r="ED41" s="622"/>
      <c r="EE41" s="622"/>
      <c r="EF41" s="622"/>
      <c r="EG41" s="622"/>
      <c r="EH41" s="622"/>
      <c r="EI41" s="622"/>
      <c r="EJ41" s="622"/>
      <c r="EK41" s="622"/>
      <c r="EL41" s="622"/>
      <c r="EM41" s="622"/>
      <c r="EN41" s="622"/>
      <c r="EO41" s="622"/>
      <c r="EP41" s="622"/>
      <c r="EQ41" s="622"/>
      <c r="ER41" s="622"/>
      <c r="ES41" s="622"/>
      <c r="ET41" s="622"/>
      <c r="EU41" s="622"/>
      <c r="EV41" s="622"/>
      <c r="EW41" s="622"/>
      <c r="EX41" s="622"/>
      <c r="EY41" s="622"/>
      <c r="EZ41" s="622"/>
      <c r="FA41" s="622"/>
      <c r="FB41" s="622"/>
      <c r="FC41" s="622"/>
      <c r="FD41" s="622"/>
      <c r="FE41" s="622"/>
      <c r="FF41" s="622"/>
      <c r="FG41" s="622"/>
      <c r="FH41" s="622"/>
      <c r="FI41" s="622"/>
      <c r="FJ41" s="622"/>
      <c r="FK41" s="622"/>
      <c r="FL41" s="622"/>
      <c r="FM41" s="763">
        <f t="shared" si="8"/>
        <v>0</v>
      </c>
      <c r="FN41" s="622"/>
      <c r="FO41" s="622"/>
      <c r="FP41" s="622"/>
      <c r="FQ41" s="622"/>
      <c r="FR41" s="622"/>
      <c r="FS41" s="622"/>
      <c r="FT41" s="622"/>
      <c r="FU41" s="622"/>
      <c r="FV41" s="622"/>
      <c r="FW41" s="622"/>
      <c r="FX41" s="622"/>
      <c r="FY41" s="622"/>
      <c r="FZ41" s="622"/>
      <c r="GA41" s="622"/>
      <c r="GB41" s="622"/>
      <c r="GC41" s="622">
        <f t="shared" si="2"/>
        <v>0</v>
      </c>
      <c r="GD41" s="622"/>
      <c r="GE41" s="622"/>
      <c r="GF41" s="622"/>
      <c r="GG41" s="622"/>
      <c r="GH41" s="622"/>
      <c r="GI41" s="622"/>
      <c r="GJ41" s="622"/>
      <c r="GK41" s="622"/>
      <c r="GL41" s="622"/>
      <c r="GM41" s="622"/>
      <c r="GN41" s="622"/>
      <c r="GO41" s="622"/>
      <c r="GP41" s="622"/>
      <c r="GQ41" s="622"/>
      <c r="GR41" s="622"/>
      <c r="GS41" s="622">
        <f t="shared" si="3"/>
        <v>0</v>
      </c>
      <c r="GT41" s="622"/>
      <c r="GU41" s="622"/>
      <c r="GV41" s="622"/>
      <c r="GW41" s="622"/>
      <c r="GX41" s="622"/>
      <c r="GY41" s="622"/>
      <c r="GZ41" s="622"/>
      <c r="HA41" s="622"/>
      <c r="HB41" s="622"/>
      <c r="HC41" s="622"/>
      <c r="HD41" s="622">
        <f t="shared" si="10"/>
        <v>0</v>
      </c>
      <c r="HE41" s="622">
        <f t="shared" si="11"/>
        <v>0</v>
      </c>
      <c r="HF41" s="622">
        <f t="shared" si="12"/>
        <v>0</v>
      </c>
      <c r="HG41" s="622">
        <f t="shared" si="4"/>
        <v>0</v>
      </c>
      <c r="HH41" s="743">
        <f>15600*6+3*14825+6480</f>
        <v>144555</v>
      </c>
      <c r="HI41" s="804">
        <f t="shared" si="13"/>
        <v>144555</v>
      </c>
      <c r="HJ41" s="821">
        <f t="shared" si="9"/>
        <v>144555</v>
      </c>
      <c r="HK41" s="803">
        <f t="shared" si="14"/>
        <v>6023.125</v>
      </c>
    </row>
    <row r="42" spans="2:219">
      <c r="B42" s="541" t="s">
        <v>280</v>
      </c>
      <c r="C42" s="545" t="s">
        <v>281</v>
      </c>
      <c r="D42" s="546"/>
      <c r="E42" s="547"/>
      <c r="F42" s="548"/>
      <c r="G42" s="548"/>
      <c r="H42" s="548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  <c r="U42" s="575"/>
      <c r="V42" s="575"/>
      <c r="W42" s="575"/>
      <c r="X42" s="575"/>
      <c r="Y42" s="588"/>
      <c r="Z42" s="588"/>
      <c r="AA42" s="588"/>
      <c r="AB42" s="588"/>
      <c r="AC42" s="588"/>
      <c r="AD42" s="588"/>
      <c r="AE42" s="588"/>
      <c r="AF42" s="588"/>
      <c r="AG42" s="588"/>
      <c r="AH42" s="588"/>
      <c r="AI42" s="588"/>
      <c r="AJ42" s="588"/>
      <c r="AK42" s="588"/>
      <c r="AL42" s="588"/>
      <c r="AM42" s="588"/>
      <c r="AN42" s="588"/>
      <c r="AO42" s="588"/>
      <c r="AP42" s="588"/>
      <c r="AQ42" s="588"/>
      <c r="AR42" s="588"/>
      <c r="AS42" s="588"/>
      <c r="AT42" s="588"/>
      <c r="AU42" s="588"/>
      <c r="AV42" s="588"/>
      <c r="AW42" s="588"/>
      <c r="AX42" s="588"/>
      <c r="AY42" s="588"/>
      <c r="AZ42" s="588"/>
      <c r="BA42" s="588"/>
      <c r="BB42" s="588"/>
      <c r="BC42" s="588"/>
      <c r="BD42" s="588"/>
      <c r="BE42" s="588"/>
      <c r="BF42" s="588"/>
      <c r="BG42" s="588"/>
      <c r="BH42" s="588"/>
      <c r="BI42" s="588"/>
      <c r="BJ42" s="588"/>
      <c r="BK42" s="588"/>
      <c r="BL42" s="588"/>
      <c r="BM42" s="588"/>
      <c r="BN42" s="588"/>
      <c r="BO42" s="588"/>
      <c r="BP42" s="623"/>
      <c r="BQ42" s="598">
        <f t="shared" si="0"/>
        <v>0</v>
      </c>
      <c r="BR42" s="624"/>
      <c r="BS42" s="625"/>
      <c r="BT42" s="625"/>
      <c r="BU42" s="625"/>
      <c r="BV42" s="625"/>
      <c r="BW42" s="625"/>
      <c r="BX42" s="625"/>
      <c r="BY42" s="625"/>
      <c r="BZ42" s="625"/>
      <c r="CA42" s="646"/>
      <c r="CB42" s="625"/>
      <c r="CC42" s="625"/>
      <c r="CD42" s="625"/>
      <c r="CE42" s="652"/>
      <c r="CF42" s="625"/>
      <c r="CG42" s="625"/>
      <c r="CH42" s="625"/>
      <c r="CI42" s="625"/>
      <c r="CJ42" s="625"/>
      <c r="CK42" s="625"/>
      <c r="CL42" s="625"/>
      <c r="CM42" s="625"/>
      <c r="CN42" s="625"/>
      <c r="CO42" s="625"/>
      <c r="CP42" s="625"/>
      <c r="CQ42" s="670">
        <f t="shared" si="6"/>
        <v>0</v>
      </c>
      <c r="CR42" s="625"/>
      <c r="CS42" s="694"/>
      <c r="CT42" s="694"/>
      <c r="CU42" s="694"/>
      <c r="CV42" s="694"/>
      <c r="CW42" s="625"/>
      <c r="CX42" s="625"/>
      <c r="CY42" s="625"/>
      <c r="CZ42" s="695"/>
      <c r="DA42" s="625"/>
      <c r="DB42" s="625"/>
      <c r="DC42" s="625"/>
      <c r="DD42" s="713"/>
      <c r="DE42" s="625"/>
      <c r="DF42" s="625"/>
      <c r="DG42" s="625"/>
      <c r="DH42" s="625"/>
      <c r="DI42" s="625"/>
      <c r="DJ42" s="625"/>
      <c r="DK42" s="625"/>
      <c r="DL42" s="625"/>
      <c r="DM42" s="625"/>
      <c r="DN42" s="625"/>
      <c r="DO42" s="625"/>
      <c r="DP42" s="722">
        <f t="shared" si="1"/>
        <v>0</v>
      </c>
      <c r="DQ42" s="744">
        <f t="shared" si="7"/>
        <v>0</v>
      </c>
      <c r="DR42" s="625"/>
      <c r="DS42" s="625"/>
      <c r="DT42" s="625"/>
      <c r="DU42" s="625"/>
      <c r="DV42" s="625"/>
      <c r="DW42" s="625"/>
      <c r="DX42" s="625"/>
      <c r="DY42" s="625"/>
      <c r="DZ42" s="625"/>
      <c r="EA42" s="625"/>
      <c r="EB42" s="625"/>
      <c r="EC42" s="625"/>
      <c r="ED42" s="625"/>
      <c r="EE42" s="625"/>
      <c r="EF42" s="625"/>
      <c r="EG42" s="625"/>
      <c r="EH42" s="625"/>
      <c r="EI42" s="625"/>
      <c r="EJ42" s="625"/>
      <c r="EK42" s="625"/>
      <c r="EL42" s="625"/>
      <c r="EM42" s="625"/>
      <c r="EN42" s="625"/>
      <c r="EO42" s="625"/>
      <c r="EP42" s="625"/>
      <c r="EQ42" s="625"/>
      <c r="ER42" s="625"/>
      <c r="ES42" s="625"/>
      <c r="ET42" s="625"/>
      <c r="EU42" s="625"/>
      <c r="EV42" s="625"/>
      <c r="EW42" s="625"/>
      <c r="EX42" s="625"/>
      <c r="EY42" s="625"/>
      <c r="EZ42" s="625"/>
      <c r="FA42" s="625"/>
      <c r="FB42" s="625"/>
      <c r="FC42" s="625"/>
      <c r="FD42" s="625"/>
      <c r="FE42" s="625"/>
      <c r="FF42" s="625"/>
      <c r="FG42" s="625"/>
      <c r="FH42" s="625"/>
      <c r="FI42" s="625"/>
      <c r="FJ42" s="625"/>
      <c r="FK42" s="625"/>
      <c r="FL42" s="625"/>
      <c r="FM42" s="764">
        <f t="shared" si="8"/>
        <v>0</v>
      </c>
      <c r="FN42" s="625"/>
      <c r="FO42" s="625"/>
      <c r="FP42" s="625"/>
      <c r="FQ42" s="625"/>
      <c r="FR42" s="625"/>
      <c r="FS42" s="625"/>
      <c r="FT42" s="625"/>
      <c r="FU42" s="625"/>
      <c r="FV42" s="625"/>
      <c r="FW42" s="625"/>
      <c r="FX42" s="625"/>
      <c r="FY42" s="625"/>
      <c r="FZ42" s="625"/>
      <c r="GA42" s="625"/>
      <c r="GB42" s="625"/>
      <c r="GC42" s="625">
        <f t="shared" si="2"/>
        <v>0</v>
      </c>
      <c r="GD42" s="625"/>
      <c r="GE42" s="625"/>
      <c r="GF42" s="625"/>
      <c r="GG42" s="625"/>
      <c r="GH42" s="625"/>
      <c r="GI42" s="625"/>
      <c r="GJ42" s="625"/>
      <c r="GK42" s="625"/>
      <c r="GL42" s="625"/>
      <c r="GM42" s="625"/>
      <c r="GN42" s="625"/>
      <c r="GO42" s="625"/>
      <c r="GP42" s="625"/>
      <c r="GQ42" s="625"/>
      <c r="GR42" s="625"/>
      <c r="GS42" s="625">
        <f t="shared" si="3"/>
        <v>0</v>
      </c>
      <c r="GT42" s="625"/>
      <c r="GU42" s="625"/>
      <c r="GV42" s="625"/>
      <c r="GW42" s="625"/>
      <c r="GX42" s="625"/>
      <c r="GY42" s="625"/>
      <c r="GZ42" s="625"/>
      <c r="HA42" s="625"/>
      <c r="HB42" s="625"/>
      <c r="HC42" s="625"/>
      <c r="HD42" s="625">
        <f t="shared" si="10"/>
        <v>0</v>
      </c>
      <c r="HE42" s="625">
        <f t="shared" si="11"/>
        <v>0</v>
      </c>
      <c r="HF42" s="625">
        <f t="shared" si="12"/>
        <v>0</v>
      </c>
      <c r="HG42" s="625">
        <f t="shared" si="4"/>
        <v>0</v>
      </c>
      <c r="HH42" s="744"/>
      <c r="HI42" s="804">
        <f t="shared" si="13"/>
        <v>0</v>
      </c>
      <c r="HJ42" s="822">
        <f t="shared" si="9"/>
        <v>0</v>
      </c>
      <c r="HK42" s="803">
        <f t="shared" si="14"/>
        <v>0</v>
      </c>
    </row>
    <row r="43" spans="2:219">
      <c r="B43" s="531" t="s">
        <v>282</v>
      </c>
      <c r="C43" s="537" t="s">
        <v>283</v>
      </c>
      <c r="D43" s="538"/>
      <c r="E43" s="549"/>
      <c r="F43" s="540"/>
      <c r="G43" s="540"/>
      <c r="H43" s="540"/>
      <c r="I43" s="573"/>
      <c r="J43" s="573"/>
      <c r="K43" s="573"/>
      <c r="L43" s="573"/>
      <c r="M43" s="573"/>
      <c r="N43" s="573"/>
      <c r="O43" s="573"/>
      <c r="P43" s="573"/>
      <c r="Q43" s="573"/>
      <c r="R43" s="573"/>
      <c r="S43" s="573"/>
      <c r="T43" s="573"/>
      <c r="U43" s="573"/>
      <c r="V43" s="573"/>
      <c r="W43" s="573"/>
      <c r="X43" s="573"/>
      <c r="Y43" s="586"/>
      <c r="Z43" s="586"/>
      <c r="AA43" s="586"/>
      <c r="AB43" s="586"/>
      <c r="AC43" s="586"/>
      <c r="AD43" s="586"/>
      <c r="AE43" s="586"/>
      <c r="AF43" s="586"/>
      <c r="AG43" s="586"/>
      <c r="AH43" s="586"/>
      <c r="AI43" s="586"/>
      <c r="AJ43" s="586"/>
      <c r="AK43" s="586"/>
      <c r="AL43" s="586"/>
      <c r="AM43" s="586"/>
      <c r="AN43" s="586"/>
      <c r="AO43" s="586"/>
      <c r="AP43" s="586"/>
      <c r="AQ43" s="586"/>
      <c r="AR43" s="586"/>
      <c r="AS43" s="586"/>
      <c r="AT43" s="586"/>
      <c r="AU43" s="586"/>
      <c r="AV43" s="586"/>
      <c r="AW43" s="586"/>
      <c r="AX43" s="586"/>
      <c r="AY43" s="586"/>
      <c r="AZ43" s="586"/>
      <c r="BA43" s="586"/>
      <c r="BB43" s="586"/>
      <c r="BC43" s="586"/>
      <c r="BD43" s="586"/>
      <c r="BE43" s="586"/>
      <c r="BF43" s="586"/>
      <c r="BG43" s="586"/>
      <c r="BH43" s="586"/>
      <c r="BI43" s="586"/>
      <c r="BJ43" s="586"/>
      <c r="BK43" s="586"/>
      <c r="BL43" s="586"/>
      <c r="BM43" s="586"/>
      <c r="BN43" s="586"/>
      <c r="BO43" s="586"/>
      <c r="BP43" s="617"/>
      <c r="BQ43" s="598">
        <f t="shared" si="0"/>
        <v>0</v>
      </c>
      <c r="BR43" s="618"/>
      <c r="BS43" s="619"/>
      <c r="BT43" s="619"/>
      <c r="BU43" s="619"/>
      <c r="BV43" s="619"/>
      <c r="BW43" s="619"/>
      <c r="BX43" s="619"/>
      <c r="BY43" s="619"/>
      <c r="BZ43" s="619"/>
      <c r="CA43" s="644"/>
      <c r="CB43" s="619"/>
      <c r="CC43" s="619"/>
      <c r="CD43" s="619"/>
      <c r="CE43" s="650"/>
      <c r="CF43" s="619"/>
      <c r="CG43" s="619"/>
      <c r="CH43" s="619"/>
      <c r="CI43" s="619"/>
      <c r="CJ43" s="619"/>
      <c r="CK43" s="619"/>
      <c r="CL43" s="619"/>
      <c r="CM43" s="619"/>
      <c r="CN43" s="619"/>
      <c r="CO43" s="619"/>
      <c r="CP43" s="619"/>
      <c r="CQ43" s="668">
        <f t="shared" si="6"/>
        <v>0</v>
      </c>
      <c r="CR43" s="619"/>
      <c r="CS43" s="690"/>
      <c r="CT43" s="690"/>
      <c r="CU43" s="690"/>
      <c r="CV43" s="690"/>
      <c r="CW43" s="619"/>
      <c r="CX43" s="619"/>
      <c r="CY43" s="619"/>
      <c r="CZ43" s="691"/>
      <c r="DA43" s="619"/>
      <c r="DB43" s="619"/>
      <c r="DC43" s="619"/>
      <c r="DD43" s="710"/>
      <c r="DE43" s="619"/>
      <c r="DF43" s="619"/>
      <c r="DG43" s="619"/>
      <c r="DH43" s="619"/>
      <c r="DI43" s="619"/>
      <c r="DJ43" s="619"/>
      <c r="DK43" s="619"/>
      <c r="DL43" s="619"/>
      <c r="DM43" s="619"/>
      <c r="DN43" s="619"/>
      <c r="DO43" s="619"/>
      <c r="DP43" s="565">
        <f t="shared" si="1"/>
        <v>0</v>
      </c>
      <c r="DQ43" s="741">
        <f t="shared" si="7"/>
        <v>0</v>
      </c>
      <c r="DR43" s="619"/>
      <c r="DS43" s="619"/>
      <c r="DT43" s="619"/>
      <c r="DU43" s="619"/>
      <c r="DV43" s="619"/>
      <c r="DW43" s="619"/>
      <c r="DX43" s="619"/>
      <c r="DY43" s="619"/>
      <c r="DZ43" s="619"/>
      <c r="EA43" s="619"/>
      <c r="EB43" s="619"/>
      <c r="EC43" s="619"/>
      <c r="ED43" s="619"/>
      <c r="EE43" s="619"/>
      <c r="EF43" s="619"/>
      <c r="EG43" s="619"/>
      <c r="EH43" s="619"/>
      <c r="EI43" s="619"/>
      <c r="EJ43" s="619"/>
      <c r="EK43" s="619"/>
      <c r="EL43" s="619"/>
      <c r="EM43" s="619"/>
      <c r="EN43" s="619"/>
      <c r="EO43" s="619"/>
      <c r="EP43" s="619"/>
      <c r="EQ43" s="619"/>
      <c r="ER43" s="619"/>
      <c r="ES43" s="619"/>
      <c r="ET43" s="619"/>
      <c r="EU43" s="619"/>
      <c r="EV43" s="619"/>
      <c r="EW43" s="619"/>
      <c r="EX43" s="619"/>
      <c r="EY43" s="619"/>
      <c r="EZ43" s="619"/>
      <c r="FA43" s="619"/>
      <c r="FB43" s="619"/>
      <c r="FC43" s="619"/>
      <c r="FD43" s="619"/>
      <c r="FE43" s="619"/>
      <c r="FF43" s="619"/>
      <c r="FG43" s="619"/>
      <c r="FH43" s="619"/>
      <c r="FI43" s="619"/>
      <c r="FJ43" s="619"/>
      <c r="FK43" s="619"/>
      <c r="FL43" s="619"/>
      <c r="FM43" s="762">
        <f t="shared" si="8"/>
        <v>0</v>
      </c>
      <c r="FN43" s="619"/>
      <c r="FO43" s="619"/>
      <c r="FP43" s="619"/>
      <c r="FQ43" s="619"/>
      <c r="FR43" s="619"/>
      <c r="FS43" s="619"/>
      <c r="FT43" s="619"/>
      <c r="FU43" s="619"/>
      <c r="FV43" s="619"/>
      <c r="FW43" s="619"/>
      <c r="FX43" s="619"/>
      <c r="FY43" s="619"/>
      <c r="FZ43" s="619"/>
      <c r="GA43" s="619"/>
      <c r="GB43" s="619"/>
      <c r="GC43" s="619">
        <f t="shared" si="2"/>
        <v>0</v>
      </c>
      <c r="GD43" s="619"/>
      <c r="GE43" s="619"/>
      <c r="GF43" s="619"/>
      <c r="GG43" s="619"/>
      <c r="GH43" s="619"/>
      <c r="GI43" s="619"/>
      <c r="GJ43" s="619"/>
      <c r="GK43" s="619"/>
      <c r="GL43" s="619"/>
      <c r="GM43" s="619"/>
      <c r="GN43" s="619"/>
      <c r="GO43" s="619"/>
      <c r="GP43" s="619"/>
      <c r="GQ43" s="619"/>
      <c r="GR43" s="619"/>
      <c r="GS43" s="619">
        <f t="shared" si="3"/>
        <v>0</v>
      </c>
      <c r="GT43" s="619"/>
      <c r="GU43" s="619"/>
      <c r="GV43" s="619"/>
      <c r="GW43" s="619"/>
      <c r="GX43" s="619"/>
      <c r="GY43" s="619"/>
      <c r="GZ43" s="619"/>
      <c r="HA43" s="619"/>
      <c r="HB43" s="619"/>
      <c r="HC43" s="619"/>
      <c r="HD43" s="619">
        <f t="shared" si="10"/>
        <v>0</v>
      </c>
      <c r="HE43" s="619">
        <f t="shared" si="11"/>
        <v>0</v>
      </c>
      <c r="HF43" s="619">
        <f t="shared" si="12"/>
        <v>0</v>
      </c>
      <c r="HG43" s="619">
        <f t="shared" si="4"/>
        <v>0</v>
      </c>
      <c r="HH43" s="741"/>
      <c r="HI43" s="804">
        <f t="shared" si="13"/>
        <v>0</v>
      </c>
      <c r="HJ43" s="820">
        <f t="shared" si="9"/>
        <v>0</v>
      </c>
      <c r="HK43" s="803">
        <f t="shared" si="14"/>
        <v>0</v>
      </c>
    </row>
    <row r="44" spans="2:219">
      <c r="B44" s="531" t="s">
        <v>284</v>
      </c>
      <c r="C44" s="494" t="s">
        <v>285</v>
      </c>
      <c r="D44" s="542"/>
      <c r="E44" s="543"/>
      <c r="F44" s="544"/>
      <c r="G44" s="544"/>
      <c r="H44" s="544"/>
      <c r="I44" s="574"/>
      <c r="J44" s="574"/>
      <c r="K44" s="574"/>
      <c r="L44" s="574"/>
      <c r="M44" s="574"/>
      <c r="N44" s="574"/>
      <c r="O44" s="574"/>
      <c r="P44" s="574"/>
      <c r="Q44" s="574"/>
      <c r="R44" s="574"/>
      <c r="S44" s="574"/>
      <c r="T44" s="574"/>
      <c r="U44" s="574"/>
      <c r="V44" s="574"/>
      <c r="W44" s="574"/>
      <c r="X44" s="574"/>
      <c r="Y44" s="587"/>
      <c r="Z44" s="587"/>
      <c r="AA44" s="587"/>
      <c r="AB44" s="587"/>
      <c r="AC44" s="587"/>
      <c r="AD44" s="587"/>
      <c r="AE44" s="587"/>
      <c r="AF44" s="587"/>
      <c r="AG44" s="587"/>
      <c r="AH44" s="587"/>
      <c r="AI44" s="587"/>
      <c r="AJ44" s="587"/>
      <c r="AK44" s="587"/>
      <c r="AL44" s="587"/>
      <c r="AM44" s="587"/>
      <c r="AN44" s="587"/>
      <c r="AO44" s="587"/>
      <c r="AP44" s="587"/>
      <c r="AQ44" s="587"/>
      <c r="AR44" s="587"/>
      <c r="AS44" s="587"/>
      <c r="AT44" s="587"/>
      <c r="AU44" s="587"/>
      <c r="AV44" s="587"/>
      <c r="AW44" s="587"/>
      <c r="AX44" s="587"/>
      <c r="AY44" s="587"/>
      <c r="AZ44" s="587"/>
      <c r="BA44" s="587"/>
      <c r="BB44" s="587"/>
      <c r="BC44" s="587"/>
      <c r="BD44" s="587"/>
      <c r="BE44" s="587"/>
      <c r="BF44" s="587"/>
      <c r="BG44" s="587"/>
      <c r="BH44" s="587"/>
      <c r="BI44" s="587"/>
      <c r="BJ44" s="587"/>
      <c r="BK44" s="587"/>
      <c r="BL44" s="587"/>
      <c r="BM44" s="587"/>
      <c r="BN44" s="587"/>
      <c r="BO44" s="587"/>
      <c r="BP44" s="620"/>
      <c r="BQ44" s="598">
        <f t="shared" si="0"/>
        <v>0</v>
      </c>
      <c r="BR44" s="621"/>
      <c r="BS44" s="622"/>
      <c r="BT44" s="622"/>
      <c r="BU44" s="622"/>
      <c r="BV44" s="622"/>
      <c r="BW44" s="622"/>
      <c r="BX44" s="622"/>
      <c r="BY44" s="622"/>
      <c r="BZ44" s="622"/>
      <c r="CA44" s="645"/>
      <c r="CB44" s="622"/>
      <c r="CC44" s="622"/>
      <c r="CD44" s="622"/>
      <c r="CE44" s="651"/>
      <c r="CF44" s="622"/>
      <c r="CG44" s="622"/>
      <c r="CH44" s="622"/>
      <c r="CI44" s="622"/>
      <c r="CJ44" s="622"/>
      <c r="CK44" s="622"/>
      <c r="CL44" s="622"/>
      <c r="CM44" s="622"/>
      <c r="CN44" s="622"/>
      <c r="CO44" s="622"/>
      <c r="CP44" s="622"/>
      <c r="CQ44" s="669">
        <f t="shared" si="6"/>
        <v>0</v>
      </c>
      <c r="CR44" s="622"/>
      <c r="CS44" s="692"/>
      <c r="CT44" s="692"/>
      <c r="CU44" s="692"/>
      <c r="CV44" s="692"/>
      <c r="CW44" s="622"/>
      <c r="CX44" s="622"/>
      <c r="CY44" s="622"/>
      <c r="CZ44" s="693"/>
      <c r="DA44" s="622"/>
      <c r="DB44" s="622"/>
      <c r="DC44" s="622"/>
      <c r="DD44" s="706"/>
      <c r="DE44" s="622"/>
      <c r="DF44" s="622"/>
      <c r="DG44" s="622"/>
      <c r="DH44" s="622"/>
      <c r="DI44" s="622"/>
      <c r="DJ44" s="622"/>
      <c r="DK44" s="622"/>
      <c r="DL44" s="622"/>
      <c r="DM44" s="622"/>
      <c r="DN44" s="622"/>
      <c r="DO44" s="622"/>
      <c r="DP44" s="561">
        <f t="shared" si="1"/>
        <v>0</v>
      </c>
      <c r="DQ44" s="743">
        <f t="shared" si="7"/>
        <v>0</v>
      </c>
      <c r="DR44" s="622"/>
      <c r="DS44" s="622"/>
      <c r="DT44" s="622"/>
      <c r="DU44" s="622"/>
      <c r="DV44" s="622"/>
      <c r="DW44" s="622"/>
      <c r="DX44" s="622"/>
      <c r="DY44" s="622"/>
      <c r="DZ44" s="622"/>
      <c r="EA44" s="622"/>
      <c r="EB44" s="622"/>
      <c r="EC44" s="622"/>
      <c r="ED44" s="622"/>
      <c r="EE44" s="622"/>
      <c r="EF44" s="622"/>
      <c r="EG44" s="622"/>
      <c r="EH44" s="622"/>
      <c r="EI44" s="622"/>
      <c r="EJ44" s="622"/>
      <c r="EK44" s="622"/>
      <c r="EL44" s="622"/>
      <c r="EM44" s="622"/>
      <c r="EN44" s="622"/>
      <c r="EO44" s="622"/>
      <c r="EP44" s="622"/>
      <c r="EQ44" s="622"/>
      <c r="ER44" s="622"/>
      <c r="ES44" s="622"/>
      <c r="ET44" s="622"/>
      <c r="EU44" s="622"/>
      <c r="EV44" s="622"/>
      <c r="EW44" s="622"/>
      <c r="EX44" s="622"/>
      <c r="EY44" s="622"/>
      <c r="EZ44" s="622"/>
      <c r="FA44" s="622"/>
      <c r="FB44" s="622"/>
      <c r="FC44" s="622"/>
      <c r="FD44" s="622"/>
      <c r="FE44" s="622"/>
      <c r="FF44" s="622"/>
      <c r="FG44" s="622"/>
      <c r="FH44" s="622"/>
      <c r="FI44" s="622"/>
      <c r="FJ44" s="622"/>
      <c r="FK44" s="622"/>
      <c r="FL44" s="622"/>
      <c r="FM44" s="763">
        <f t="shared" si="8"/>
        <v>0</v>
      </c>
      <c r="FN44" s="622"/>
      <c r="FO44" s="622"/>
      <c r="FP44" s="622"/>
      <c r="FQ44" s="622"/>
      <c r="FR44" s="622"/>
      <c r="FS44" s="622"/>
      <c r="FT44" s="622"/>
      <c r="FU44" s="622"/>
      <c r="FV44" s="622"/>
      <c r="FW44" s="622"/>
      <c r="FX44" s="622"/>
      <c r="FY44" s="622"/>
      <c r="FZ44" s="622"/>
      <c r="GA44" s="622"/>
      <c r="GB44" s="622"/>
      <c r="GC44" s="622">
        <f t="shared" si="2"/>
        <v>0</v>
      </c>
      <c r="GD44" s="622"/>
      <c r="GE44" s="622"/>
      <c r="GF44" s="622"/>
      <c r="GG44" s="622"/>
      <c r="GH44" s="622"/>
      <c r="GI44" s="622"/>
      <c r="GJ44" s="622"/>
      <c r="GK44" s="622"/>
      <c r="GL44" s="622"/>
      <c r="GM44" s="622"/>
      <c r="GN44" s="622"/>
      <c r="GO44" s="622"/>
      <c r="GP44" s="622"/>
      <c r="GQ44" s="622"/>
      <c r="GR44" s="622"/>
      <c r="GS44" s="622">
        <f t="shared" si="3"/>
        <v>0</v>
      </c>
      <c r="GT44" s="622"/>
      <c r="GU44" s="622"/>
      <c r="GV44" s="622"/>
      <c r="GW44" s="622"/>
      <c r="GX44" s="622"/>
      <c r="GY44" s="622"/>
      <c r="GZ44" s="622"/>
      <c r="HA44" s="622"/>
      <c r="HB44" s="622"/>
      <c r="HC44" s="622"/>
      <c r="HD44" s="622">
        <f t="shared" si="10"/>
        <v>0</v>
      </c>
      <c r="HE44" s="622">
        <f t="shared" si="11"/>
        <v>0</v>
      </c>
      <c r="HF44" s="622">
        <f t="shared" si="12"/>
        <v>0</v>
      </c>
      <c r="HG44" s="622">
        <f t="shared" si="4"/>
        <v>0</v>
      </c>
      <c r="HH44" s="743"/>
      <c r="HI44" s="804">
        <f t="shared" si="13"/>
        <v>0</v>
      </c>
      <c r="HJ44" s="821">
        <f t="shared" si="9"/>
        <v>0</v>
      </c>
      <c r="HK44" s="803">
        <f t="shared" si="14"/>
        <v>0</v>
      </c>
    </row>
    <row r="45" spans="2:219">
      <c r="B45" s="531" t="s">
        <v>286</v>
      </c>
      <c r="C45" s="500" t="s">
        <v>287</v>
      </c>
      <c r="D45" s="532"/>
      <c r="E45" s="550"/>
      <c r="F45" s="551"/>
      <c r="G45" s="551"/>
      <c r="H45" s="551"/>
      <c r="I45" s="576"/>
      <c r="J45" s="576"/>
      <c r="K45" s="576"/>
      <c r="L45" s="576"/>
      <c r="M45" s="576"/>
      <c r="N45" s="576"/>
      <c r="O45" s="576"/>
      <c r="P45" s="576"/>
      <c r="Q45" s="576"/>
      <c r="R45" s="576"/>
      <c r="S45" s="576"/>
      <c r="T45" s="576"/>
      <c r="U45" s="576"/>
      <c r="V45" s="576"/>
      <c r="W45" s="576"/>
      <c r="X45" s="576"/>
      <c r="Y45" s="589"/>
      <c r="Z45" s="589"/>
      <c r="AA45" s="589"/>
      <c r="AB45" s="589"/>
      <c r="AC45" s="589"/>
      <c r="AD45" s="589"/>
      <c r="AE45" s="589"/>
      <c r="AF45" s="589"/>
      <c r="AG45" s="589"/>
      <c r="AH45" s="589"/>
      <c r="AI45" s="589"/>
      <c r="AJ45" s="589"/>
      <c r="AK45" s="589"/>
      <c r="AL45" s="589"/>
      <c r="AM45" s="589"/>
      <c r="AN45" s="589"/>
      <c r="AO45" s="589"/>
      <c r="AP45" s="589"/>
      <c r="AQ45" s="589"/>
      <c r="AR45" s="589"/>
      <c r="AS45" s="589"/>
      <c r="AT45" s="589"/>
      <c r="AU45" s="589"/>
      <c r="AV45" s="589"/>
      <c r="AW45" s="589"/>
      <c r="AX45" s="589"/>
      <c r="AY45" s="589"/>
      <c r="AZ45" s="589"/>
      <c r="BA45" s="589"/>
      <c r="BB45" s="589"/>
      <c r="BC45" s="589"/>
      <c r="BD45" s="589"/>
      <c r="BE45" s="589"/>
      <c r="BF45" s="589"/>
      <c r="BG45" s="589"/>
      <c r="BH45" s="589"/>
      <c r="BI45" s="589"/>
      <c r="BJ45" s="589"/>
      <c r="BK45" s="589"/>
      <c r="BL45" s="589"/>
      <c r="BM45" s="589"/>
      <c r="BN45" s="589"/>
      <c r="BO45" s="589"/>
      <c r="BP45" s="626"/>
      <c r="BQ45" s="598">
        <f t="shared" si="0"/>
        <v>0</v>
      </c>
      <c r="BR45" s="615"/>
      <c r="BS45" s="616"/>
      <c r="BT45" s="616"/>
      <c r="BU45" s="616"/>
      <c r="BV45" s="616"/>
      <c r="BW45" s="616"/>
      <c r="BX45" s="616"/>
      <c r="BY45" s="616"/>
      <c r="BZ45" s="616"/>
      <c r="CA45" s="643"/>
      <c r="CB45" s="616"/>
      <c r="CC45" s="616"/>
      <c r="CD45" s="616"/>
      <c r="CE45" s="649"/>
      <c r="CF45" s="616"/>
      <c r="CG45" s="616"/>
      <c r="CH45" s="616"/>
      <c r="CI45" s="616"/>
      <c r="CJ45" s="616"/>
      <c r="CK45" s="616"/>
      <c r="CL45" s="616"/>
      <c r="CM45" s="616"/>
      <c r="CN45" s="616"/>
      <c r="CO45" s="616"/>
      <c r="CP45" s="616"/>
      <c r="CQ45" s="667">
        <f t="shared" si="6"/>
        <v>0</v>
      </c>
      <c r="CR45" s="616"/>
      <c r="CS45" s="688"/>
      <c r="CT45" s="688"/>
      <c r="CU45" s="688"/>
      <c r="CV45" s="688"/>
      <c r="CW45" s="616"/>
      <c r="CX45" s="616"/>
      <c r="CY45" s="616"/>
      <c r="CZ45" s="689"/>
      <c r="DA45" s="616"/>
      <c r="DB45" s="616"/>
      <c r="DC45" s="616"/>
      <c r="DD45" s="707"/>
      <c r="DE45" s="616"/>
      <c r="DF45" s="616"/>
      <c r="DG45" s="616"/>
      <c r="DH45" s="616"/>
      <c r="DI45" s="616"/>
      <c r="DJ45" s="616"/>
      <c r="DK45" s="616"/>
      <c r="DL45" s="616"/>
      <c r="DM45" s="616"/>
      <c r="DN45" s="616"/>
      <c r="DO45" s="616"/>
      <c r="DP45" s="563">
        <f t="shared" si="1"/>
        <v>0</v>
      </c>
      <c r="DQ45" s="739">
        <f t="shared" si="7"/>
        <v>0</v>
      </c>
      <c r="DR45" s="616"/>
      <c r="DS45" s="616"/>
      <c r="DT45" s="616"/>
      <c r="DU45" s="616"/>
      <c r="DV45" s="616"/>
      <c r="DW45" s="616"/>
      <c r="DX45" s="616"/>
      <c r="DY45" s="616"/>
      <c r="DZ45" s="616"/>
      <c r="EA45" s="616"/>
      <c r="EB45" s="616"/>
      <c r="EC45" s="616"/>
      <c r="ED45" s="616"/>
      <c r="EE45" s="616"/>
      <c r="EF45" s="616"/>
      <c r="EG45" s="616"/>
      <c r="EH45" s="616"/>
      <c r="EI45" s="616"/>
      <c r="EJ45" s="616"/>
      <c r="EK45" s="616"/>
      <c r="EL45" s="616"/>
      <c r="EM45" s="616"/>
      <c r="EN45" s="616"/>
      <c r="EO45" s="616"/>
      <c r="EP45" s="616"/>
      <c r="EQ45" s="616"/>
      <c r="ER45" s="616"/>
      <c r="ES45" s="616"/>
      <c r="ET45" s="616"/>
      <c r="EU45" s="616"/>
      <c r="EV45" s="616"/>
      <c r="EW45" s="616"/>
      <c r="EX45" s="616"/>
      <c r="EY45" s="616"/>
      <c r="EZ45" s="616"/>
      <c r="FA45" s="616"/>
      <c r="FB45" s="616"/>
      <c r="FC45" s="616"/>
      <c r="FD45" s="616"/>
      <c r="FE45" s="616"/>
      <c r="FF45" s="616"/>
      <c r="FG45" s="616"/>
      <c r="FH45" s="616"/>
      <c r="FI45" s="616"/>
      <c r="FJ45" s="616"/>
      <c r="FK45" s="616"/>
      <c r="FL45" s="616"/>
      <c r="FM45" s="761">
        <f t="shared" si="8"/>
        <v>0</v>
      </c>
      <c r="FN45" s="616"/>
      <c r="FO45" s="616"/>
      <c r="FP45" s="616"/>
      <c r="FQ45" s="616"/>
      <c r="FR45" s="616"/>
      <c r="FS45" s="616"/>
      <c r="FT45" s="616"/>
      <c r="FU45" s="616"/>
      <c r="FV45" s="616"/>
      <c r="FW45" s="616"/>
      <c r="FX45" s="616"/>
      <c r="FY45" s="616"/>
      <c r="FZ45" s="616"/>
      <c r="GA45" s="616"/>
      <c r="GB45" s="616"/>
      <c r="GC45" s="616">
        <f t="shared" si="2"/>
        <v>0</v>
      </c>
      <c r="GD45" s="616"/>
      <c r="GE45" s="616"/>
      <c r="GF45" s="616"/>
      <c r="GG45" s="616"/>
      <c r="GH45" s="616"/>
      <c r="GI45" s="616"/>
      <c r="GJ45" s="616"/>
      <c r="GK45" s="616"/>
      <c r="GL45" s="616"/>
      <c r="GM45" s="616"/>
      <c r="GN45" s="616"/>
      <c r="GO45" s="616"/>
      <c r="GP45" s="616"/>
      <c r="GQ45" s="616"/>
      <c r="GR45" s="616"/>
      <c r="GS45" s="616">
        <f t="shared" si="3"/>
        <v>0</v>
      </c>
      <c r="GT45" s="616"/>
      <c r="GU45" s="616"/>
      <c r="GV45" s="616"/>
      <c r="GW45" s="616"/>
      <c r="GX45" s="616"/>
      <c r="GY45" s="616"/>
      <c r="GZ45" s="616"/>
      <c r="HA45" s="616"/>
      <c r="HB45" s="616"/>
      <c r="HC45" s="616"/>
      <c r="HD45" s="616">
        <f t="shared" si="10"/>
        <v>0</v>
      </c>
      <c r="HE45" s="616">
        <f t="shared" si="11"/>
        <v>0</v>
      </c>
      <c r="HF45" s="616">
        <f t="shared" si="12"/>
        <v>0</v>
      </c>
      <c r="HG45" s="616">
        <f t="shared" si="4"/>
        <v>0</v>
      </c>
      <c r="HH45" s="739"/>
      <c r="HI45" s="804">
        <f t="shared" si="13"/>
        <v>0</v>
      </c>
      <c r="HJ45" s="819">
        <f t="shared" si="9"/>
        <v>0</v>
      </c>
      <c r="HK45" s="803">
        <f t="shared" si="14"/>
        <v>0</v>
      </c>
    </row>
    <row r="46" spans="2:219">
      <c r="B46" s="536" t="s">
        <v>288</v>
      </c>
      <c r="C46" s="537" t="s">
        <v>289</v>
      </c>
      <c r="D46" s="538"/>
      <c r="E46" s="549"/>
      <c r="F46" s="540"/>
      <c r="G46" s="540"/>
      <c r="H46" s="540"/>
      <c r="I46" s="573"/>
      <c r="J46" s="573"/>
      <c r="K46" s="573"/>
      <c r="L46" s="573"/>
      <c r="M46" s="573"/>
      <c r="N46" s="573"/>
      <c r="O46" s="573"/>
      <c r="P46" s="573"/>
      <c r="Q46" s="573"/>
      <c r="R46" s="573"/>
      <c r="S46" s="573"/>
      <c r="T46" s="573"/>
      <c r="U46" s="573"/>
      <c r="V46" s="573"/>
      <c r="W46" s="573"/>
      <c r="X46" s="573"/>
      <c r="Y46" s="586"/>
      <c r="Z46" s="586"/>
      <c r="AA46" s="586"/>
      <c r="AB46" s="586"/>
      <c r="AC46" s="586"/>
      <c r="AD46" s="586"/>
      <c r="AE46" s="586"/>
      <c r="AF46" s="586"/>
      <c r="AG46" s="586"/>
      <c r="AH46" s="586"/>
      <c r="AI46" s="586"/>
      <c r="AJ46" s="586"/>
      <c r="AK46" s="586"/>
      <c r="AL46" s="586"/>
      <c r="AM46" s="586"/>
      <c r="AN46" s="586"/>
      <c r="AO46" s="586"/>
      <c r="AP46" s="586"/>
      <c r="AQ46" s="586"/>
      <c r="AR46" s="586"/>
      <c r="AS46" s="586"/>
      <c r="AT46" s="586"/>
      <c r="AU46" s="586"/>
      <c r="AV46" s="586"/>
      <c r="AW46" s="586"/>
      <c r="AX46" s="586"/>
      <c r="AY46" s="586"/>
      <c r="AZ46" s="586"/>
      <c r="BA46" s="586"/>
      <c r="BB46" s="586"/>
      <c r="BC46" s="586"/>
      <c r="BD46" s="586"/>
      <c r="BE46" s="586"/>
      <c r="BF46" s="586"/>
      <c r="BG46" s="586"/>
      <c r="BH46" s="586"/>
      <c r="BI46" s="586"/>
      <c r="BJ46" s="586"/>
      <c r="BK46" s="586"/>
      <c r="BL46" s="586"/>
      <c r="BM46" s="586"/>
      <c r="BN46" s="586"/>
      <c r="BO46" s="586"/>
      <c r="BP46" s="617"/>
      <c r="BQ46" s="600">
        <f t="shared" si="0"/>
        <v>0</v>
      </c>
      <c r="BR46" s="618"/>
      <c r="BS46" s="619"/>
      <c r="BT46" s="619"/>
      <c r="BU46" s="619"/>
      <c r="BV46" s="619"/>
      <c r="BW46" s="619"/>
      <c r="BX46" s="619"/>
      <c r="BY46" s="619"/>
      <c r="BZ46" s="619"/>
      <c r="CA46" s="644"/>
      <c r="CB46" s="619"/>
      <c r="CC46" s="619"/>
      <c r="CD46" s="619"/>
      <c r="CE46" s="650"/>
      <c r="CF46" s="619"/>
      <c r="CG46" s="619"/>
      <c r="CH46" s="619"/>
      <c r="CI46" s="619"/>
      <c r="CJ46" s="619"/>
      <c r="CK46" s="619"/>
      <c r="CL46" s="619"/>
      <c r="CM46" s="619"/>
      <c r="CN46" s="619"/>
      <c r="CO46" s="619"/>
      <c r="CP46" s="619"/>
      <c r="CQ46" s="668">
        <f t="shared" si="6"/>
        <v>0</v>
      </c>
      <c r="CR46" s="619"/>
      <c r="CS46" s="690"/>
      <c r="CT46" s="690"/>
      <c r="CU46" s="690"/>
      <c r="CV46" s="690"/>
      <c r="CW46" s="619"/>
      <c r="CX46" s="619"/>
      <c r="CY46" s="619"/>
      <c r="CZ46" s="691"/>
      <c r="DA46" s="619"/>
      <c r="DB46" s="619"/>
      <c r="DC46" s="619"/>
      <c r="DD46" s="710"/>
      <c r="DE46" s="619"/>
      <c r="DF46" s="619"/>
      <c r="DG46" s="619"/>
      <c r="DH46" s="619"/>
      <c r="DI46" s="619"/>
      <c r="DJ46" s="619"/>
      <c r="DK46" s="619"/>
      <c r="DL46" s="619"/>
      <c r="DM46" s="619"/>
      <c r="DN46" s="619"/>
      <c r="DO46" s="619"/>
      <c r="DP46" s="565">
        <f t="shared" si="1"/>
        <v>0</v>
      </c>
      <c r="DQ46" s="741">
        <f t="shared" si="7"/>
        <v>0</v>
      </c>
      <c r="DR46" s="619"/>
      <c r="DS46" s="619"/>
      <c r="DT46" s="619"/>
      <c r="DU46" s="619"/>
      <c r="DV46" s="619"/>
      <c r="DW46" s="619"/>
      <c r="DX46" s="619"/>
      <c r="DY46" s="619"/>
      <c r="DZ46" s="619"/>
      <c r="EA46" s="619"/>
      <c r="EB46" s="619"/>
      <c r="EC46" s="619"/>
      <c r="ED46" s="619"/>
      <c r="EE46" s="619"/>
      <c r="EF46" s="619"/>
      <c r="EG46" s="619"/>
      <c r="EH46" s="619"/>
      <c r="EI46" s="619"/>
      <c r="EJ46" s="619"/>
      <c r="EK46" s="619"/>
      <c r="EL46" s="619"/>
      <c r="EM46" s="619"/>
      <c r="EN46" s="619"/>
      <c r="EO46" s="619"/>
      <c r="EP46" s="619"/>
      <c r="EQ46" s="619"/>
      <c r="ER46" s="619"/>
      <c r="ES46" s="619"/>
      <c r="ET46" s="619"/>
      <c r="EU46" s="619"/>
      <c r="EV46" s="619"/>
      <c r="EW46" s="619"/>
      <c r="EX46" s="619"/>
      <c r="EY46" s="619"/>
      <c r="EZ46" s="619"/>
      <c r="FA46" s="619"/>
      <c r="FB46" s="619"/>
      <c r="FC46" s="619"/>
      <c r="FD46" s="619"/>
      <c r="FE46" s="619"/>
      <c r="FF46" s="619"/>
      <c r="FG46" s="619"/>
      <c r="FH46" s="619"/>
      <c r="FI46" s="619"/>
      <c r="FJ46" s="619"/>
      <c r="FK46" s="619"/>
      <c r="FL46" s="619"/>
      <c r="FM46" s="762">
        <f t="shared" si="8"/>
        <v>0</v>
      </c>
      <c r="FN46" s="619"/>
      <c r="FO46" s="619"/>
      <c r="FP46" s="619"/>
      <c r="FQ46" s="619"/>
      <c r="FR46" s="619"/>
      <c r="FS46" s="619"/>
      <c r="FT46" s="619"/>
      <c r="FU46" s="619"/>
      <c r="FV46" s="619"/>
      <c r="FW46" s="619"/>
      <c r="FX46" s="619"/>
      <c r="FY46" s="619"/>
      <c r="FZ46" s="619"/>
      <c r="GA46" s="619"/>
      <c r="GB46" s="619"/>
      <c r="GC46" s="619">
        <f t="shared" si="2"/>
        <v>0</v>
      </c>
      <c r="GD46" s="619"/>
      <c r="GE46" s="619"/>
      <c r="GF46" s="619"/>
      <c r="GG46" s="619"/>
      <c r="GH46" s="619"/>
      <c r="GI46" s="619"/>
      <c r="GJ46" s="619"/>
      <c r="GK46" s="619"/>
      <c r="GL46" s="619"/>
      <c r="GM46" s="619"/>
      <c r="GN46" s="619"/>
      <c r="GO46" s="619"/>
      <c r="GP46" s="619"/>
      <c r="GQ46" s="619"/>
      <c r="GR46" s="619"/>
      <c r="GS46" s="619">
        <f t="shared" si="3"/>
        <v>0</v>
      </c>
      <c r="GT46" s="619"/>
      <c r="GU46" s="619"/>
      <c r="GV46" s="619"/>
      <c r="GW46" s="619"/>
      <c r="GX46" s="619"/>
      <c r="GY46" s="619"/>
      <c r="GZ46" s="619"/>
      <c r="HA46" s="619"/>
      <c r="HB46" s="619"/>
      <c r="HC46" s="619"/>
      <c r="HD46" s="619">
        <f t="shared" si="10"/>
        <v>0</v>
      </c>
      <c r="HE46" s="619">
        <f t="shared" si="11"/>
        <v>0</v>
      </c>
      <c r="HF46" s="619">
        <f t="shared" si="12"/>
        <v>0</v>
      </c>
      <c r="HG46" s="619">
        <f t="shared" si="4"/>
        <v>0</v>
      </c>
      <c r="HH46" s="741"/>
      <c r="HI46" s="804">
        <f t="shared" si="13"/>
        <v>0</v>
      </c>
      <c r="HJ46" s="820">
        <f t="shared" si="9"/>
        <v>0</v>
      </c>
      <c r="HK46" s="803">
        <f t="shared" si="14"/>
        <v>0</v>
      </c>
    </row>
    <row r="47" spans="2:219">
      <c r="B47" s="541" t="s">
        <v>290</v>
      </c>
      <c r="C47" s="494" t="s">
        <v>291</v>
      </c>
      <c r="D47" s="542"/>
      <c r="E47" s="543"/>
      <c r="F47" s="544"/>
      <c r="G47" s="544"/>
      <c r="H47" s="544"/>
      <c r="I47" s="574"/>
      <c r="J47" s="574"/>
      <c r="K47" s="574"/>
      <c r="L47" s="574"/>
      <c r="M47" s="574"/>
      <c r="N47" s="574"/>
      <c r="O47" s="574"/>
      <c r="P47" s="574"/>
      <c r="Q47" s="574"/>
      <c r="R47" s="574"/>
      <c r="S47" s="574"/>
      <c r="T47" s="574"/>
      <c r="U47" s="574"/>
      <c r="V47" s="574"/>
      <c r="W47" s="574"/>
      <c r="X47" s="574"/>
      <c r="Y47" s="587"/>
      <c r="Z47" s="587"/>
      <c r="AA47" s="587"/>
      <c r="AB47" s="587"/>
      <c r="AC47" s="587"/>
      <c r="AD47" s="587"/>
      <c r="AE47" s="587"/>
      <c r="AF47" s="587"/>
      <c r="AG47" s="587"/>
      <c r="AH47" s="587"/>
      <c r="AI47" s="587"/>
      <c r="AJ47" s="587"/>
      <c r="AK47" s="587"/>
      <c r="AL47" s="587"/>
      <c r="AM47" s="587"/>
      <c r="AN47" s="587"/>
      <c r="AO47" s="587"/>
      <c r="AP47" s="587"/>
      <c r="AQ47" s="587"/>
      <c r="AR47" s="587"/>
      <c r="AS47" s="587"/>
      <c r="AT47" s="587"/>
      <c r="AU47" s="587"/>
      <c r="AV47" s="587"/>
      <c r="AW47" s="587"/>
      <c r="AX47" s="587"/>
      <c r="AY47" s="587"/>
      <c r="AZ47" s="587"/>
      <c r="BA47" s="587"/>
      <c r="BB47" s="587"/>
      <c r="BC47" s="587"/>
      <c r="BD47" s="587"/>
      <c r="BE47" s="587"/>
      <c r="BF47" s="587"/>
      <c r="BG47" s="587"/>
      <c r="BH47" s="587"/>
      <c r="BI47" s="587"/>
      <c r="BJ47" s="587"/>
      <c r="BK47" s="587"/>
      <c r="BL47" s="587"/>
      <c r="BM47" s="587"/>
      <c r="BN47" s="587"/>
      <c r="BO47" s="587"/>
      <c r="BP47" s="620"/>
      <c r="BQ47" s="596">
        <f t="shared" si="0"/>
        <v>0</v>
      </c>
      <c r="BR47" s="621"/>
      <c r="BS47" s="622"/>
      <c r="BT47" s="622"/>
      <c r="BU47" s="622"/>
      <c r="BV47" s="622"/>
      <c r="BW47" s="622"/>
      <c r="BX47" s="622"/>
      <c r="BY47" s="622"/>
      <c r="BZ47" s="622"/>
      <c r="CA47" s="622"/>
      <c r="CB47" s="622"/>
      <c r="CC47" s="622"/>
      <c r="CD47" s="622"/>
      <c r="CE47" s="651"/>
      <c r="CF47" s="622"/>
      <c r="CG47" s="622"/>
      <c r="CH47" s="622"/>
      <c r="CI47" s="622"/>
      <c r="CJ47" s="622"/>
      <c r="CK47" s="622"/>
      <c r="CL47" s="622"/>
      <c r="CM47" s="622"/>
      <c r="CN47" s="622"/>
      <c r="CO47" s="622"/>
      <c r="CP47" s="622"/>
      <c r="CQ47" s="669">
        <f t="shared" si="6"/>
        <v>0</v>
      </c>
      <c r="CR47" s="622"/>
      <c r="CS47" s="692"/>
      <c r="CT47" s="692"/>
      <c r="CU47" s="692"/>
      <c r="CV47" s="692"/>
      <c r="CW47" s="622"/>
      <c r="CX47" s="622"/>
      <c r="CY47" s="622"/>
      <c r="CZ47" s="693"/>
      <c r="DA47" s="622"/>
      <c r="DB47" s="622"/>
      <c r="DC47" s="622"/>
      <c r="DD47" s="706"/>
      <c r="DE47" s="622"/>
      <c r="DF47" s="622"/>
      <c r="DG47" s="622"/>
      <c r="DH47" s="622"/>
      <c r="DI47" s="622"/>
      <c r="DJ47" s="622"/>
      <c r="DK47" s="622"/>
      <c r="DL47" s="622"/>
      <c r="DM47" s="622"/>
      <c r="DN47" s="622"/>
      <c r="DO47" s="622"/>
      <c r="DP47" s="561">
        <f t="shared" si="1"/>
        <v>0</v>
      </c>
      <c r="DQ47" s="743">
        <f t="shared" si="7"/>
        <v>0</v>
      </c>
      <c r="DR47" s="622"/>
      <c r="DS47" s="622"/>
      <c r="DT47" s="622"/>
      <c r="DU47" s="622"/>
      <c r="DV47" s="622"/>
      <c r="DW47" s="622"/>
      <c r="DX47" s="622"/>
      <c r="DY47" s="622"/>
      <c r="DZ47" s="622"/>
      <c r="EA47" s="622"/>
      <c r="EB47" s="622"/>
      <c r="EC47" s="622"/>
      <c r="ED47" s="622"/>
      <c r="EE47" s="622"/>
      <c r="EF47" s="622"/>
      <c r="EG47" s="622"/>
      <c r="EH47" s="622"/>
      <c r="EI47" s="622"/>
      <c r="EJ47" s="622"/>
      <c r="EK47" s="622"/>
      <c r="EL47" s="622"/>
      <c r="EM47" s="622"/>
      <c r="EN47" s="622"/>
      <c r="EO47" s="622"/>
      <c r="EP47" s="622"/>
      <c r="EQ47" s="622"/>
      <c r="ER47" s="622"/>
      <c r="ES47" s="622"/>
      <c r="ET47" s="622"/>
      <c r="EU47" s="622"/>
      <c r="EV47" s="622"/>
      <c r="EW47" s="622"/>
      <c r="EX47" s="622"/>
      <c r="EY47" s="622"/>
      <c r="EZ47" s="622"/>
      <c r="FA47" s="622"/>
      <c r="FB47" s="622"/>
      <c r="FC47" s="622"/>
      <c r="FD47" s="622"/>
      <c r="FE47" s="622"/>
      <c r="FF47" s="622"/>
      <c r="FG47" s="622"/>
      <c r="FH47" s="622"/>
      <c r="FI47" s="622"/>
      <c r="FJ47" s="622"/>
      <c r="FK47" s="622"/>
      <c r="FL47" s="622"/>
      <c r="FM47" s="763">
        <f t="shared" si="8"/>
        <v>0</v>
      </c>
      <c r="FN47" s="622"/>
      <c r="FO47" s="622"/>
      <c r="FP47" s="622"/>
      <c r="FQ47" s="622"/>
      <c r="FR47" s="622"/>
      <c r="FS47" s="622"/>
      <c r="FT47" s="622"/>
      <c r="FU47" s="622"/>
      <c r="FV47" s="622"/>
      <c r="FW47" s="622"/>
      <c r="FX47" s="622"/>
      <c r="FY47" s="622"/>
      <c r="FZ47" s="622"/>
      <c r="GA47" s="622"/>
      <c r="GB47" s="622"/>
      <c r="GC47" s="622">
        <f t="shared" si="2"/>
        <v>0</v>
      </c>
      <c r="GD47" s="622"/>
      <c r="GE47" s="622"/>
      <c r="GF47" s="622"/>
      <c r="GG47" s="622"/>
      <c r="GH47" s="622"/>
      <c r="GI47" s="622"/>
      <c r="GJ47" s="622"/>
      <c r="GK47" s="622"/>
      <c r="GL47" s="622"/>
      <c r="GM47" s="622"/>
      <c r="GN47" s="622"/>
      <c r="GO47" s="622"/>
      <c r="GP47" s="622"/>
      <c r="GQ47" s="622"/>
      <c r="GR47" s="622"/>
      <c r="GS47" s="622">
        <f t="shared" si="3"/>
        <v>0</v>
      </c>
      <c r="GT47" s="622"/>
      <c r="GU47" s="622"/>
      <c r="GV47" s="622"/>
      <c r="GW47" s="622"/>
      <c r="GX47" s="622"/>
      <c r="GY47" s="622"/>
      <c r="GZ47" s="622"/>
      <c r="HA47" s="622"/>
      <c r="HB47" s="622"/>
      <c r="HC47" s="622"/>
      <c r="HD47" s="622">
        <f t="shared" si="10"/>
        <v>0</v>
      </c>
      <c r="HE47" s="622">
        <f t="shared" si="11"/>
        <v>0</v>
      </c>
      <c r="HF47" s="622">
        <f t="shared" si="12"/>
        <v>0</v>
      </c>
      <c r="HG47" s="622">
        <f t="shared" si="4"/>
        <v>0</v>
      </c>
      <c r="HH47" s="743"/>
      <c r="HI47" s="804">
        <f t="shared" si="13"/>
        <v>0</v>
      </c>
      <c r="HJ47" s="821">
        <f t="shared" ref="HJ47:HJ78" si="15">+HI47-HE47</f>
        <v>0</v>
      </c>
      <c r="HK47" s="803">
        <f>+HI47/12</f>
        <v>0</v>
      </c>
    </row>
    <row r="48" spans="2:219">
      <c r="B48" s="531" t="s">
        <v>292</v>
      </c>
      <c r="C48" s="500" t="s">
        <v>293</v>
      </c>
      <c r="D48" s="532"/>
      <c r="E48" s="550"/>
      <c r="F48" s="551"/>
      <c r="G48" s="551"/>
      <c r="H48" s="551"/>
      <c r="I48" s="576"/>
      <c r="J48" s="576"/>
      <c r="K48" s="576"/>
      <c r="L48" s="576"/>
      <c r="M48" s="576"/>
      <c r="N48" s="576"/>
      <c r="O48" s="576"/>
      <c r="P48" s="576"/>
      <c r="Q48" s="576"/>
      <c r="R48" s="576"/>
      <c r="S48" s="576"/>
      <c r="T48" s="576"/>
      <c r="U48" s="576"/>
      <c r="V48" s="576"/>
      <c r="W48" s="576"/>
      <c r="X48" s="576"/>
      <c r="Y48" s="589"/>
      <c r="Z48" s="589"/>
      <c r="AA48" s="589"/>
      <c r="AB48" s="589"/>
      <c r="AC48" s="589"/>
      <c r="AD48" s="589"/>
      <c r="AE48" s="589"/>
      <c r="AF48" s="589"/>
      <c r="AG48" s="589"/>
      <c r="AH48" s="589"/>
      <c r="AI48" s="589"/>
      <c r="AJ48" s="589"/>
      <c r="AK48" s="589"/>
      <c r="AL48" s="589"/>
      <c r="AM48" s="589"/>
      <c r="AN48" s="589"/>
      <c r="AO48" s="589"/>
      <c r="AP48" s="589"/>
      <c r="AQ48" s="589"/>
      <c r="AR48" s="589"/>
      <c r="AS48" s="589"/>
      <c r="AT48" s="589"/>
      <c r="AU48" s="589"/>
      <c r="AV48" s="589"/>
      <c r="AW48" s="589"/>
      <c r="AX48" s="589"/>
      <c r="AY48" s="589"/>
      <c r="AZ48" s="589"/>
      <c r="BA48" s="589"/>
      <c r="BB48" s="589"/>
      <c r="BC48" s="589"/>
      <c r="BD48" s="589"/>
      <c r="BE48" s="589"/>
      <c r="BF48" s="589"/>
      <c r="BG48" s="589"/>
      <c r="BH48" s="589"/>
      <c r="BI48" s="589"/>
      <c r="BJ48" s="589"/>
      <c r="BK48" s="589"/>
      <c r="BL48" s="589"/>
      <c r="BM48" s="589"/>
      <c r="BN48" s="589"/>
      <c r="BO48" s="589"/>
      <c r="BP48" s="626"/>
      <c r="BQ48" s="598">
        <f t="shared" ref="BQ48:BQ110" si="16">SUM(E48:BP48)</f>
        <v>0</v>
      </c>
      <c r="BR48" s="615"/>
      <c r="BS48" s="616"/>
      <c r="BT48" s="616"/>
      <c r="BU48" s="616"/>
      <c r="BV48" s="616"/>
      <c r="BW48" s="616"/>
      <c r="BX48" s="616"/>
      <c r="BY48" s="616"/>
      <c r="BZ48" s="616"/>
      <c r="CA48" s="643"/>
      <c r="CB48" s="616"/>
      <c r="CC48" s="616"/>
      <c r="CD48" s="616"/>
      <c r="CE48" s="649"/>
      <c r="CF48" s="616"/>
      <c r="CG48" s="616"/>
      <c r="CH48" s="616"/>
      <c r="CI48" s="616"/>
      <c r="CJ48" s="616"/>
      <c r="CK48" s="616"/>
      <c r="CL48" s="616"/>
      <c r="CM48" s="616"/>
      <c r="CN48" s="616"/>
      <c r="CO48" s="616"/>
      <c r="CP48" s="616"/>
      <c r="CQ48" s="667">
        <f t="shared" si="6"/>
        <v>0</v>
      </c>
      <c r="CR48" s="616"/>
      <c r="CS48" s="688"/>
      <c r="CT48" s="688"/>
      <c r="CU48" s="688"/>
      <c r="CV48" s="688"/>
      <c r="CW48" s="616"/>
      <c r="CX48" s="616"/>
      <c r="CY48" s="616"/>
      <c r="CZ48" s="689"/>
      <c r="DA48" s="616"/>
      <c r="DB48" s="616"/>
      <c r="DC48" s="616"/>
      <c r="DD48" s="707"/>
      <c r="DE48" s="616"/>
      <c r="DF48" s="616"/>
      <c r="DG48" s="616"/>
      <c r="DH48" s="616"/>
      <c r="DI48" s="616"/>
      <c r="DJ48" s="616"/>
      <c r="DK48" s="616"/>
      <c r="DL48" s="616"/>
      <c r="DM48" s="616"/>
      <c r="DN48" s="616"/>
      <c r="DO48" s="616"/>
      <c r="DP48" s="563">
        <f t="shared" ref="DP48:DP100" si="17">+SUM(CR48:DO48)</f>
        <v>0</v>
      </c>
      <c r="DQ48" s="739">
        <f t="shared" ref="DQ48:DQ100" si="18">+CQ48+DP48</f>
        <v>0</v>
      </c>
      <c r="DR48" s="616"/>
      <c r="DS48" s="616"/>
      <c r="DT48" s="616"/>
      <c r="DU48" s="616"/>
      <c r="DV48" s="616"/>
      <c r="DW48" s="616"/>
      <c r="DX48" s="616"/>
      <c r="DY48" s="616"/>
      <c r="DZ48" s="616"/>
      <c r="EA48" s="616"/>
      <c r="EB48" s="616"/>
      <c r="EC48" s="616"/>
      <c r="ED48" s="616"/>
      <c r="EE48" s="616"/>
      <c r="EF48" s="616"/>
      <c r="EG48" s="616"/>
      <c r="EH48" s="616"/>
      <c r="EI48" s="616"/>
      <c r="EJ48" s="616"/>
      <c r="EK48" s="616"/>
      <c r="EL48" s="616"/>
      <c r="EM48" s="616"/>
      <c r="EN48" s="616"/>
      <c r="EO48" s="616"/>
      <c r="EP48" s="616"/>
      <c r="EQ48" s="616"/>
      <c r="ER48" s="616"/>
      <c r="ES48" s="616"/>
      <c r="ET48" s="616"/>
      <c r="EU48" s="616"/>
      <c r="EV48" s="616"/>
      <c r="EW48" s="616"/>
      <c r="EX48" s="616"/>
      <c r="EY48" s="616"/>
      <c r="EZ48" s="616"/>
      <c r="FA48" s="616"/>
      <c r="FB48" s="616"/>
      <c r="FC48" s="616"/>
      <c r="FD48" s="616"/>
      <c r="FE48" s="616"/>
      <c r="FF48" s="616"/>
      <c r="FG48" s="616"/>
      <c r="FH48" s="616"/>
      <c r="FI48" s="616"/>
      <c r="FJ48" s="616"/>
      <c r="FK48" s="616"/>
      <c r="FL48" s="616"/>
      <c r="FM48" s="761">
        <f t="shared" si="8"/>
        <v>0</v>
      </c>
      <c r="FN48" s="616"/>
      <c r="FO48" s="616"/>
      <c r="FP48" s="616"/>
      <c r="FQ48" s="616"/>
      <c r="FR48" s="616"/>
      <c r="FS48" s="616"/>
      <c r="FT48" s="616"/>
      <c r="FU48" s="616"/>
      <c r="FV48" s="616"/>
      <c r="FW48" s="616"/>
      <c r="FX48" s="616"/>
      <c r="FY48" s="616"/>
      <c r="FZ48" s="616"/>
      <c r="GA48" s="616"/>
      <c r="GB48" s="616"/>
      <c r="GC48" s="616">
        <f t="shared" si="2"/>
        <v>0</v>
      </c>
      <c r="GD48" s="616"/>
      <c r="GE48" s="616"/>
      <c r="GF48" s="616"/>
      <c r="GG48" s="616"/>
      <c r="GH48" s="616"/>
      <c r="GI48" s="616"/>
      <c r="GJ48" s="616"/>
      <c r="GK48" s="616"/>
      <c r="GL48" s="616"/>
      <c r="GM48" s="616"/>
      <c r="GN48" s="616"/>
      <c r="GO48" s="616"/>
      <c r="GP48" s="616"/>
      <c r="GQ48" s="616"/>
      <c r="GR48" s="616"/>
      <c r="GS48" s="616">
        <f t="shared" si="3"/>
        <v>0</v>
      </c>
      <c r="GT48" s="616"/>
      <c r="GU48" s="616"/>
      <c r="GV48" s="616"/>
      <c r="GW48" s="616"/>
      <c r="GX48" s="616"/>
      <c r="GY48" s="616"/>
      <c r="GZ48" s="616"/>
      <c r="HA48" s="616"/>
      <c r="HB48" s="616"/>
      <c r="HC48" s="616"/>
      <c r="HD48" s="616">
        <f t="shared" ref="HD48:HD100" si="19">+GT48+GU48+GV48+GW48+GX48+GY48+GZ48+HA48+HB48+HC48</f>
        <v>0</v>
      </c>
      <c r="HE48" s="616">
        <f t="shared" ref="HE48:HE85" si="20">HD48+D48+BQ48-DQ48-FM48-GC48+GS48</f>
        <v>0</v>
      </c>
      <c r="HF48" s="616">
        <f t="shared" si="12"/>
        <v>0</v>
      </c>
      <c r="HG48" s="616">
        <f t="shared" si="4"/>
        <v>0</v>
      </c>
      <c r="HH48" s="739"/>
      <c r="HI48" s="804">
        <f t="shared" si="13"/>
        <v>0</v>
      </c>
      <c r="HJ48" s="819">
        <f t="shared" si="15"/>
        <v>0</v>
      </c>
      <c r="HK48" s="803">
        <f t="shared" ref="HK48:HK79" si="21">+HI48/12</f>
        <v>0</v>
      </c>
    </row>
    <row r="49" spans="1:257">
      <c r="B49" s="531" t="s">
        <v>294</v>
      </c>
      <c r="C49" s="500" t="s">
        <v>295</v>
      </c>
      <c r="D49" s="532"/>
      <c r="E49" s="550"/>
      <c r="F49" s="551"/>
      <c r="G49" s="551"/>
      <c r="H49" s="551"/>
      <c r="I49" s="576"/>
      <c r="J49" s="576"/>
      <c r="K49" s="576"/>
      <c r="L49" s="576"/>
      <c r="M49" s="576"/>
      <c r="N49" s="576"/>
      <c r="O49" s="576"/>
      <c r="P49" s="577"/>
      <c r="Q49" s="576"/>
      <c r="R49" s="576"/>
      <c r="S49" s="576"/>
      <c r="T49" s="576"/>
      <c r="U49" s="576"/>
      <c r="V49" s="576"/>
      <c r="W49" s="576"/>
      <c r="X49" s="576"/>
      <c r="Y49" s="589"/>
      <c r="Z49" s="589"/>
      <c r="AA49" s="589"/>
      <c r="AB49" s="589"/>
      <c r="AC49" s="589"/>
      <c r="AD49" s="589"/>
      <c r="AE49" s="589"/>
      <c r="AF49" s="589"/>
      <c r="AG49" s="589"/>
      <c r="AH49" s="589"/>
      <c r="AI49" s="589"/>
      <c r="AJ49" s="589"/>
      <c r="AK49" s="589"/>
      <c r="AL49" s="589"/>
      <c r="AM49" s="589"/>
      <c r="AN49" s="589"/>
      <c r="AO49" s="589"/>
      <c r="AP49" s="589"/>
      <c r="AQ49" s="589"/>
      <c r="AR49" s="589"/>
      <c r="AS49" s="589"/>
      <c r="AT49" s="589"/>
      <c r="AU49" s="589"/>
      <c r="AV49" s="589"/>
      <c r="AW49" s="589"/>
      <c r="AX49" s="589"/>
      <c r="AY49" s="589"/>
      <c r="AZ49" s="589"/>
      <c r="BA49" s="589"/>
      <c r="BB49" s="589"/>
      <c r="BC49" s="589"/>
      <c r="BD49" s="589"/>
      <c r="BE49" s="589"/>
      <c r="BF49" s="589"/>
      <c r="BG49" s="589"/>
      <c r="BH49" s="589"/>
      <c r="BI49" s="589"/>
      <c r="BJ49" s="589"/>
      <c r="BK49" s="589"/>
      <c r="BL49" s="589"/>
      <c r="BM49" s="589"/>
      <c r="BN49" s="589"/>
      <c r="BO49" s="589"/>
      <c r="BP49" s="626"/>
      <c r="BQ49" s="598">
        <f t="shared" si="16"/>
        <v>0</v>
      </c>
      <c r="BR49" s="615"/>
      <c r="BS49" s="616"/>
      <c r="BT49" s="616"/>
      <c r="BU49" s="616"/>
      <c r="BV49" s="616"/>
      <c r="BW49" s="616"/>
      <c r="BX49" s="616"/>
      <c r="BY49" s="616"/>
      <c r="BZ49" s="616"/>
      <c r="CA49" s="616"/>
      <c r="CB49" s="616"/>
      <c r="CC49" s="616"/>
      <c r="CD49" s="616"/>
      <c r="CE49" s="649"/>
      <c r="CF49" s="616"/>
      <c r="CG49" s="616"/>
      <c r="CH49" s="616"/>
      <c r="CI49" s="616"/>
      <c r="CJ49" s="616"/>
      <c r="CK49" s="616"/>
      <c r="CL49" s="616"/>
      <c r="CM49" s="616"/>
      <c r="CN49" s="616"/>
      <c r="CO49" s="616"/>
      <c r="CP49" s="616"/>
      <c r="CQ49" s="667">
        <f t="shared" si="6"/>
        <v>0</v>
      </c>
      <c r="CR49" s="616"/>
      <c r="CS49" s="688"/>
      <c r="CT49" s="688"/>
      <c r="CU49" s="688"/>
      <c r="CV49" s="688"/>
      <c r="CW49" s="616"/>
      <c r="CX49" s="616"/>
      <c r="CY49" s="616"/>
      <c r="CZ49" s="689"/>
      <c r="DA49" s="616"/>
      <c r="DB49" s="616"/>
      <c r="DC49" s="616"/>
      <c r="DD49" s="707"/>
      <c r="DE49" s="616"/>
      <c r="DF49" s="616"/>
      <c r="DG49" s="616"/>
      <c r="DH49" s="616"/>
      <c r="DI49" s="616"/>
      <c r="DJ49" s="616"/>
      <c r="DK49" s="616"/>
      <c r="DL49" s="616"/>
      <c r="DM49" s="616"/>
      <c r="DN49" s="616"/>
      <c r="DO49" s="616"/>
      <c r="DP49" s="563">
        <f t="shared" si="17"/>
        <v>0</v>
      </c>
      <c r="DQ49" s="739">
        <f t="shared" si="18"/>
        <v>0</v>
      </c>
      <c r="DR49" s="616"/>
      <c r="DS49" s="616"/>
      <c r="DT49" s="616"/>
      <c r="DU49" s="616"/>
      <c r="DV49" s="616"/>
      <c r="DW49" s="616"/>
      <c r="DX49" s="616"/>
      <c r="DY49" s="616"/>
      <c r="DZ49" s="616"/>
      <c r="EA49" s="616"/>
      <c r="EB49" s="616"/>
      <c r="EC49" s="616"/>
      <c r="ED49" s="616"/>
      <c r="EE49" s="616"/>
      <c r="EF49" s="616"/>
      <c r="EG49" s="616"/>
      <c r="EH49" s="616"/>
      <c r="EI49" s="616"/>
      <c r="EJ49" s="616"/>
      <c r="EK49" s="616"/>
      <c r="EL49" s="616"/>
      <c r="EM49" s="616"/>
      <c r="EN49" s="616"/>
      <c r="EO49" s="616"/>
      <c r="EP49" s="616"/>
      <c r="EQ49" s="616"/>
      <c r="ER49" s="616"/>
      <c r="ES49" s="616"/>
      <c r="ET49" s="616"/>
      <c r="EU49" s="616"/>
      <c r="EV49" s="616"/>
      <c r="EW49" s="616"/>
      <c r="EX49" s="616"/>
      <c r="EY49" s="616"/>
      <c r="EZ49" s="616"/>
      <c r="FA49" s="616"/>
      <c r="FB49" s="616"/>
      <c r="FC49" s="616"/>
      <c r="FD49" s="616"/>
      <c r="FE49" s="616"/>
      <c r="FF49" s="616"/>
      <c r="FG49" s="616"/>
      <c r="FH49" s="616"/>
      <c r="FI49" s="616"/>
      <c r="FJ49" s="616"/>
      <c r="FK49" s="616"/>
      <c r="FL49" s="616"/>
      <c r="FM49" s="761">
        <f t="shared" si="8"/>
        <v>0</v>
      </c>
      <c r="FN49" s="616"/>
      <c r="FO49" s="616"/>
      <c r="FP49" s="616"/>
      <c r="FQ49" s="616"/>
      <c r="FR49" s="616"/>
      <c r="FS49" s="616"/>
      <c r="FT49" s="616"/>
      <c r="FU49" s="616"/>
      <c r="FV49" s="616"/>
      <c r="FW49" s="616"/>
      <c r="FX49" s="616"/>
      <c r="FY49" s="616"/>
      <c r="FZ49" s="616"/>
      <c r="GA49" s="616"/>
      <c r="GB49" s="616"/>
      <c r="GC49" s="616">
        <f t="shared" si="2"/>
        <v>0</v>
      </c>
      <c r="GD49" s="616"/>
      <c r="GE49" s="616"/>
      <c r="GF49" s="616"/>
      <c r="GG49" s="616"/>
      <c r="GH49" s="616"/>
      <c r="GI49" s="616"/>
      <c r="GJ49" s="616"/>
      <c r="GK49" s="616"/>
      <c r="GL49" s="616"/>
      <c r="GM49" s="616"/>
      <c r="GN49" s="616"/>
      <c r="GO49" s="616"/>
      <c r="GP49" s="616"/>
      <c r="GQ49" s="616"/>
      <c r="GR49" s="616"/>
      <c r="GS49" s="616">
        <f t="shared" si="3"/>
        <v>0</v>
      </c>
      <c r="GT49" s="616"/>
      <c r="GU49" s="616"/>
      <c r="GV49" s="616"/>
      <c r="GW49" s="616"/>
      <c r="GX49" s="616"/>
      <c r="GY49" s="616"/>
      <c r="GZ49" s="616"/>
      <c r="HA49" s="616"/>
      <c r="HB49" s="616"/>
      <c r="HC49" s="616"/>
      <c r="HD49" s="616">
        <f t="shared" si="19"/>
        <v>0</v>
      </c>
      <c r="HE49" s="616">
        <f t="shared" si="20"/>
        <v>0</v>
      </c>
      <c r="HF49" s="616"/>
      <c r="HG49" s="616">
        <f t="shared" si="4"/>
        <v>0</v>
      </c>
      <c r="HH49" s="739"/>
      <c r="HI49" s="804">
        <f t="shared" si="13"/>
        <v>0</v>
      </c>
      <c r="HJ49" s="819">
        <f t="shared" si="15"/>
        <v>0</v>
      </c>
      <c r="HK49" s="803">
        <f t="shared" si="21"/>
        <v>0</v>
      </c>
    </row>
    <row r="50" spans="1:257">
      <c r="B50" s="531" t="s">
        <v>296</v>
      </c>
      <c r="C50" s="500" t="s">
        <v>297</v>
      </c>
      <c r="D50" s="532"/>
      <c r="E50" s="550"/>
      <c r="F50" s="551"/>
      <c r="G50" s="551"/>
      <c r="H50" s="551"/>
      <c r="I50" s="576"/>
      <c r="J50" s="576"/>
      <c r="K50" s="576"/>
      <c r="L50" s="576"/>
      <c r="M50" s="576"/>
      <c r="N50" s="576"/>
      <c r="O50" s="576"/>
      <c r="P50" s="576"/>
      <c r="Q50" s="576"/>
      <c r="R50" s="576"/>
      <c r="S50" s="576"/>
      <c r="T50" s="576"/>
      <c r="U50" s="576"/>
      <c r="V50" s="576"/>
      <c r="W50" s="576"/>
      <c r="X50" s="576"/>
      <c r="Y50" s="589"/>
      <c r="Z50" s="589"/>
      <c r="AA50" s="589"/>
      <c r="AB50" s="589"/>
      <c r="AC50" s="589"/>
      <c r="AD50" s="589"/>
      <c r="AE50" s="589"/>
      <c r="AF50" s="589"/>
      <c r="AG50" s="589"/>
      <c r="AH50" s="589"/>
      <c r="AI50" s="589"/>
      <c r="AJ50" s="589"/>
      <c r="AK50" s="589"/>
      <c r="AL50" s="589"/>
      <c r="AM50" s="589"/>
      <c r="AN50" s="589"/>
      <c r="AO50" s="589"/>
      <c r="AP50" s="589"/>
      <c r="AQ50" s="589"/>
      <c r="AR50" s="589"/>
      <c r="AS50" s="589"/>
      <c r="AT50" s="589"/>
      <c r="AU50" s="589"/>
      <c r="AV50" s="589"/>
      <c r="AW50" s="589"/>
      <c r="AX50" s="589"/>
      <c r="AY50" s="589"/>
      <c r="AZ50" s="589"/>
      <c r="BA50" s="589"/>
      <c r="BB50" s="589"/>
      <c r="BC50" s="589"/>
      <c r="BD50" s="589"/>
      <c r="BE50" s="589"/>
      <c r="BF50" s="589"/>
      <c r="BG50" s="589"/>
      <c r="BH50" s="589"/>
      <c r="BI50" s="589"/>
      <c r="BJ50" s="589"/>
      <c r="BK50" s="589"/>
      <c r="BL50" s="589"/>
      <c r="BM50" s="589"/>
      <c r="BN50" s="589"/>
      <c r="BO50" s="589"/>
      <c r="BP50" s="626"/>
      <c r="BQ50" s="598">
        <f t="shared" si="16"/>
        <v>0</v>
      </c>
      <c r="BR50" s="615"/>
      <c r="BS50" s="616"/>
      <c r="BT50" s="616"/>
      <c r="BU50" s="616"/>
      <c r="BV50" s="616"/>
      <c r="BW50" s="616"/>
      <c r="BX50" s="616"/>
      <c r="BY50" s="616"/>
      <c r="BZ50" s="616"/>
      <c r="CA50" s="643"/>
      <c r="CB50" s="616"/>
      <c r="CC50" s="616"/>
      <c r="CD50" s="616"/>
      <c r="CE50" s="649"/>
      <c r="CF50" s="616"/>
      <c r="CG50" s="616"/>
      <c r="CH50" s="616"/>
      <c r="CI50" s="616"/>
      <c r="CJ50" s="616"/>
      <c r="CK50" s="616"/>
      <c r="CL50" s="616"/>
      <c r="CM50" s="616"/>
      <c r="CN50" s="616"/>
      <c r="CO50" s="616"/>
      <c r="CP50" s="616"/>
      <c r="CQ50" s="667">
        <f t="shared" si="6"/>
        <v>0</v>
      </c>
      <c r="CR50" s="616"/>
      <c r="CS50" s="688"/>
      <c r="CT50" s="688"/>
      <c r="CU50" s="688"/>
      <c r="CV50" s="688"/>
      <c r="CW50" s="616"/>
      <c r="CX50" s="616"/>
      <c r="CY50" s="616"/>
      <c r="CZ50" s="689"/>
      <c r="DA50" s="616"/>
      <c r="DB50" s="616"/>
      <c r="DC50" s="616"/>
      <c r="DD50" s="707"/>
      <c r="DE50" s="616"/>
      <c r="DF50" s="616"/>
      <c r="DG50" s="616"/>
      <c r="DH50" s="616"/>
      <c r="DI50" s="616"/>
      <c r="DJ50" s="616"/>
      <c r="DK50" s="616"/>
      <c r="DL50" s="616"/>
      <c r="DM50" s="616"/>
      <c r="DN50" s="616"/>
      <c r="DO50" s="616"/>
      <c r="DP50" s="563">
        <f t="shared" si="17"/>
        <v>0</v>
      </c>
      <c r="DQ50" s="739">
        <f t="shared" si="18"/>
        <v>0</v>
      </c>
      <c r="DR50" s="616"/>
      <c r="DS50" s="616"/>
      <c r="DT50" s="616"/>
      <c r="DU50" s="616"/>
      <c r="DV50" s="616"/>
      <c r="DW50" s="616"/>
      <c r="DX50" s="616"/>
      <c r="DY50" s="616"/>
      <c r="DZ50" s="616"/>
      <c r="EA50" s="616"/>
      <c r="EB50" s="616"/>
      <c r="EC50" s="616"/>
      <c r="ED50" s="616"/>
      <c r="EE50" s="616"/>
      <c r="EF50" s="616"/>
      <c r="EG50" s="616"/>
      <c r="EH50" s="616"/>
      <c r="EI50" s="616"/>
      <c r="EJ50" s="616"/>
      <c r="EK50" s="616"/>
      <c r="EL50" s="616"/>
      <c r="EM50" s="616"/>
      <c r="EN50" s="616"/>
      <c r="EO50" s="616"/>
      <c r="EP50" s="616"/>
      <c r="EQ50" s="616"/>
      <c r="ER50" s="616"/>
      <c r="ES50" s="616"/>
      <c r="ET50" s="616"/>
      <c r="EU50" s="616"/>
      <c r="EV50" s="616"/>
      <c r="EW50" s="616"/>
      <c r="EX50" s="616"/>
      <c r="EY50" s="616"/>
      <c r="EZ50" s="616"/>
      <c r="FA50" s="616"/>
      <c r="FB50" s="616"/>
      <c r="FC50" s="616"/>
      <c r="FD50" s="616"/>
      <c r="FE50" s="616"/>
      <c r="FF50" s="616"/>
      <c r="FG50" s="616"/>
      <c r="FH50" s="616"/>
      <c r="FI50" s="616"/>
      <c r="FJ50" s="616"/>
      <c r="FK50" s="616"/>
      <c r="FL50" s="616"/>
      <c r="FM50" s="761">
        <f t="shared" si="8"/>
        <v>0</v>
      </c>
      <c r="FN50" s="616"/>
      <c r="FO50" s="616"/>
      <c r="FP50" s="616"/>
      <c r="FQ50" s="616"/>
      <c r="FR50" s="616"/>
      <c r="FS50" s="616"/>
      <c r="FT50" s="616"/>
      <c r="FU50" s="616"/>
      <c r="FV50" s="616"/>
      <c r="FW50" s="616"/>
      <c r="FX50" s="616"/>
      <c r="FY50" s="616"/>
      <c r="FZ50" s="616"/>
      <c r="GA50" s="616"/>
      <c r="GB50" s="616"/>
      <c r="GC50" s="616">
        <f t="shared" si="2"/>
        <v>0</v>
      </c>
      <c r="GD50" s="616"/>
      <c r="GE50" s="616"/>
      <c r="GF50" s="616"/>
      <c r="GG50" s="616"/>
      <c r="GH50" s="616"/>
      <c r="GI50" s="616"/>
      <c r="GJ50" s="616"/>
      <c r="GK50" s="616"/>
      <c r="GL50" s="616"/>
      <c r="GM50" s="616"/>
      <c r="GN50" s="616"/>
      <c r="GO50" s="616"/>
      <c r="GP50" s="616"/>
      <c r="GQ50" s="616"/>
      <c r="GR50" s="616"/>
      <c r="GS50" s="616">
        <f t="shared" si="3"/>
        <v>0</v>
      </c>
      <c r="GT50" s="616"/>
      <c r="GU50" s="616"/>
      <c r="GV50" s="616"/>
      <c r="GW50" s="616"/>
      <c r="GX50" s="616"/>
      <c r="GY50" s="616"/>
      <c r="GZ50" s="616"/>
      <c r="HA50" s="616"/>
      <c r="HB50" s="616"/>
      <c r="HC50" s="616"/>
      <c r="HD50" s="616">
        <f t="shared" si="19"/>
        <v>0</v>
      </c>
      <c r="HE50" s="616">
        <f t="shared" si="20"/>
        <v>0</v>
      </c>
      <c r="HF50" s="616">
        <f t="shared" ref="HF50:HF100" si="22">+D50</f>
        <v>0</v>
      </c>
      <c r="HG50" s="616">
        <f t="shared" si="4"/>
        <v>0</v>
      </c>
      <c r="HH50" s="739">
        <f>5025+7150+7155+7265</f>
        <v>26595</v>
      </c>
      <c r="HI50" s="804">
        <f t="shared" si="13"/>
        <v>26595</v>
      </c>
      <c r="HJ50" s="819">
        <f t="shared" si="15"/>
        <v>26595</v>
      </c>
      <c r="HK50" s="803">
        <f t="shared" si="21"/>
        <v>2216.25</v>
      </c>
    </row>
    <row r="51" spans="1:257">
      <c r="B51" s="531" t="s">
        <v>298</v>
      </c>
      <c r="C51" s="500" t="s">
        <v>299</v>
      </c>
      <c r="D51" s="532"/>
      <c r="E51" s="550"/>
      <c r="F51" s="551"/>
      <c r="G51" s="551"/>
      <c r="H51" s="551"/>
      <c r="I51" s="576"/>
      <c r="J51" s="576"/>
      <c r="K51" s="576"/>
      <c r="L51" s="576"/>
      <c r="M51" s="576"/>
      <c r="N51" s="576"/>
      <c r="O51" s="576"/>
      <c r="P51" s="576"/>
      <c r="Q51" s="576"/>
      <c r="R51" s="576"/>
      <c r="S51" s="576"/>
      <c r="T51" s="576"/>
      <c r="U51" s="576"/>
      <c r="V51" s="576"/>
      <c r="W51" s="576"/>
      <c r="X51" s="576"/>
      <c r="Y51" s="589"/>
      <c r="Z51" s="589"/>
      <c r="AA51" s="589"/>
      <c r="AB51" s="589"/>
      <c r="AC51" s="589"/>
      <c r="AD51" s="589"/>
      <c r="AE51" s="589"/>
      <c r="AF51" s="589"/>
      <c r="AG51" s="589"/>
      <c r="AH51" s="589"/>
      <c r="AI51" s="589"/>
      <c r="AJ51" s="589"/>
      <c r="AK51" s="589"/>
      <c r="AL51" s="589"/>
      <c r="AM51" s="589"/>
      <c r="AN51" s="589"/>
      <c r="AO51" s="589"/>
      <c r="AP51" s="589"/>
      <c r="AQ51" s="589"/>
      <c r="AR51" s="589"/>
      <c r="AS51" s="589"/>
      <c r="AT51" s="589"/>
      <c r="AU51" s="589"/>
      <c r="AV51" s="589"/>
      <c r="AW51" s="589"/>
      <c r="AX51" s="589"/>
      <c r="AY51" s="589"/>
      <c r="AZ51" s="589"/>
      <c r="BA51" s="589"/>
      <c r="BB51" s="589"/>
      <c r="BC51" s="589"/>
      <c r="BD51" s="589"/>
      <c r="BE51" s="589"/>
      <c r="BF51" s="589"/>
      <c r="BG51" s="589"/>
      <c r="BH51" s="589"/>
      <c r="BI51" s="589"/>
      <c r="BJ51" s="589"/>
      <c r="BK51" s="589"/>
      <c r="BL51" s="589"/>
      <c r="BM51" s="589"/>
      <c r="BN51" s="589"/>
      <c r="BO51" s="589"/>
      <c r="BP51" s="626"/>
      <c r="BQ51" s="598">
        <f t="shared" si="16"/>
        <v>0</v>
      </c>
      <c r="BR51" s="615"/>
      <c r="BS51" s="627"/>
      <c r="BT51" s="616"/>
      <c r="BU51" s="616"/>
      <c r="BV51" s="616"/>
      <c r="BW51" s="616"/>
      <c r="BX51" s="616"/>
      <c r="BY51" s="616"/>
      <c r="BZ51" s="616"/>
      <c r="CA51" s="616"/>
      <c r="CB51" s="616"/>
      <c r="CC51" s="616"/>
      <c r="CD51" s="616"/>
      <c r="CE51" s="649"/>
      <c r="CF51" s="616"/>
      <c r="CG51" s="616"/>
      <c r="CH51" s="616"/>
      <c r="CI51" s="616"/>
      <c r="CJ51" s="616"/>
      <c r="CK51" s="616"/>
      <c r="CL51" s="616"/>
      <c r="CM51" s="616"/>
      <c r="CN51" s="616"/>
      <c r="CO51" s="616"/>
      <c r="CP51" s="616"/>
      <c r="CQ51" s="667">
        <f t="shared" si="6"/>
        <v>0</v>
      </c>
      <c r="CR51" s="619"/>
      <c r="CS51" s="688"/>
      <c r="CT51" s="688"/>
      <c r="CU51" s="688"/>
      <c r="CV51" s="688"/>
      <c r="CW51" s="616"/>
      <c r="CX51" s="616"/>
      <c r="CY51" s="616"/>
      <c r="CZ51" s="689"/>
      <c r="DA51" s="616"/>
      <c r="DB51" s="616"/>
      <c r="DC51" s="616"/>
      <c r="DD51" s="707"/>
      <c r="DE51" s="616"/>
      <c r="DF51" s="616"/>
      <c r="DG51" s="616"/>
      <c r="DH51" s="616"/>
      <c r="DI51" s="616"/>
      <c r="DJ51" s="616"/>
      <c r="DK51" s="616"/>
      <c r="DL51" s="616"/>
      <c r="DM51" s="616"/>
      <c r="DN51" s="616"/>
      <c r="DO51" s="616"/>
      <c r="DP51" s="563">
        <f t="shared" si="17"/>
        <v>0</v>
      </c>
      <c r="DQ51" s="739">
        <f t="shared" si="18"/>
        <v>0</v>
      </c>
      <c r="DR51" s="616"/>
      <c r="DS51" s="616"/>
      <c r="DT51" s="616"/>
      <c r="DU51" s="616"/>
      <c r="DV51" s="616"/>
      <c r="DW51" s="616"/>
      <c r="DX51" s="616"/>
      <c r="DY51" s="616"/>
      <c r="DZ51" s="616"/>
      <c r="EA51" s="616"/>
      <c r="EB51" s="616"/>
      <c r="EC51" s="616"/>
      <c r="ED51" s="616"/>
      <c r="EE51" s="616"/>
      <c r="EF51" s="616"/>
      <c r="EG51" s="616"/>
      <c r="EH51" s="616"/>
      <c r="EI51" s="616"/>
      <c r="EJ51" s="616"/>
      <c r="EK51" s="616"/>
      <c r="EL51" s="616"/>
      <c r="EM51" s="616"/>
      <c r="EN51" s="616"/>
      <c r="EO51" s="616"/>
      <c r="EP51" s="616"/>
      <c r="EQ51" s="616"/>
      <c r="ER51" s="616"/>
      <c r="ES51" s="616"/>
      <c r="ET51" s="616"/>
      <c r="EU51" s="616"/>
      <c r="EV51" s="616"/>
      <c r="EW51" s="616"/>
      <c r="EX51" s="616"/>
      <c r="EY51" s="616"/>
      <c r="EZ51" s="616"/>
      <c r="FA51" s="616"/>
      <c r="FB51" s="616"/>
      <c r="FC51" s="616"/>
      <c r="FD51" s="616"/>
      <c r="FE51" s="616"/>
      <c r="FF51" s="616"/>
      <c r="FG51" s="616"/>
      <c r="FH51" s="616"/>
      <c r="FI51" s="616"/>
      <c r="FJ51" s="616"/>
      <c r="FK51" s="616"/>
      <c r="FL51" s="616"/>
      <c r="FM51" s="761">
        <f t="shared" si="8"/>
        <v>0</v>
      </c>
      <c r="FN51" s="616"/>
      <c r="FO51" s="616"/>
      <c r="FP51" s="616"/>
      <c r="FQ51" s="616"/>
      <c r="FR51" s="616"/>
      <c r="FS51" s="616"/>
      <c r="FT51" s="616"/>
      <c r="FU51" s="616"/>
      <c r="FV51" s="616"/>
      <c r="FW51" s="616"/>
      <c r="FX51" s="616"/>
      <c r="FY51" s="616"/>
      <c r="FZ51" s="616"/>
      <c r="GA51" s="616"/>
      <c r="GB51" s="616"/>
      <c r="GC51" s="616">
        <f t="shared" si="2"/>
        <v>0</v>
      </c>
      <c r="GD51" s="616"/>
      <c r="GE51" s="616"/>
      <c r="GF51" s="616"/>
      <c r="GG51" s="616"/>
      <c r="GH51" s="616"/>
      <c r="GI51" s="616"/>
      <c r="GJ51" s="616"/>
      <c r="GK51" s="616"/>
      <c r="GL51" s="616"/>
      <c r="GM51" s="616"/>
      <c r="GN51" s="616"/>
      <c r="GO51" s="616"/>
      <c r="GP51" s="616"/>
      <c r="GQ51" s="616"/>
      <c r="GR51" s="616"/>
      <c r="GS51" s="616">
        <f t="shared" si="3"/>
        <v>0</v>
      </c>
      <c r="GT51" s="616"/>
      <c r="GU51" s="616"/>
      <c r="GV51" s="616"/>
      <c r="GW51" s="616"/>
      <c r="GX51" s="616"/>
      <c r="GY51" s="616"/>
      <c r="GZ51" s="616"/>
      <c r="HA51" s="616"/>
      <c r="HB51" s="616"/>
      <c r="HC51" s="616"/>
      <c r="HD51" s="616">
        <f t="shared" si="19"/>
        <v>0</v>
      </c>
      <c r="HE51" s="616">
        <f t="shared" si="20"/>
        <v>0</v>
      </c>
      <c r="HF51" s="616">
        <f t="shared" si="22"/>
        <v>0</v>
      </c>
      <c r="HG51" s="616">
        <f t="shared" si="4"/>
        <v>0</v>
      </c>
      <c r="HH51" s="739"/>
      <c r="HI51" s="804">
        <f t="shared" si="13"/>
        <v>0</v>
      </c>
      <c r="HJ51" s="819">
        <f t="shared" si="15"/>
        <v>0</v>
      </c>
      <c r="HK51" s="803">
        <f t="shared" si="21"/>
        <v>0</v>
      </c>
    </row>
    <row r="52" spans="1:257">
      <c r="B52" s="536" t="s">
        <v>300</v>
      </c>
      <c r="C52" s="537" t="s">
        <v>301</v>
      </c>
      <c r="D52" s="538"/>
      <c r="E52" s="549"/>
      <c r="F52" s="540"/>
      <c r="G52" s="540"/>
      <c r="H52" s="540"/>
      <c r="I52" s="573"/>
      <c r="J52" s="573"/>
      <c r="K52" s="573"/>
      <c r="L52" s="573"/>
      <c r="M52" s="573"/>
      <c r="N52" s="573"/>
      <c r="O52" s="573"/>
      <c r="P52" s="573"/>
      <c r="Q52" s="573"/>
      <c r="R52" s="573"/>
      <c r="S52" s="573"/>
      <c r="T52" s="573"/>
      <c r="U52" s="573"/>
      <c r="V52" s="573"/>
      <c r="W52" s="584"/>
      <c r="X52" s="573"/>
      <c r="Y52" s="586"/>
      <c r="Z52" s="586"/>
      <c r="AA52" s="586"/>
      <c r="AB52" s="586"/>
      <c r="AC52" s="586"/>
      <c r="AD52" s="586"/>
      <c r="AE52" s="586"/>
      <c r="AF52" s="586"/>
      <c r="AG52" s="586"/>
      <c r="AH52" s="586"/>
      <c r="AI52" s="586"/>
      <c r="AJ52" s="586"/>
      <c r="AK52" s="586"/>
      <c r="AL52" s="586"/>
      <c r="AM52" s="586"/>
      <c r="AN52" s="586"/>
      <c r="AO52" s="586"/>
      <c r="AP52" s="586"/>
      <c r="AQ52" s="586"/>
      <c r="AR52" s="586"/>
      <c r="AS52" s="586"/>
      <c r="AT52" s="586"/>
      <c r="AU52" s="586"/>
      <c r="AV52" s="586"/>
      <c r="AW52" s="586"/>
      <c r="AX52" s="586"/>
      <c r="AY52" s="586"/>
      <c r="AZ52" s="586"/>
      <c r="BA52" s="586"/>
      <c r="BB52" s="586"/>
      <c r="BC52" s="586"/>
      <c r="BD52" s="586"/>
      <c r="BE52" s="586"/>
      <c r="BF52" s="586"/>
      <c r="BG52" s="586"/>
      <c r="BH52" s="586"/>
      <c r="BI52" s="586"/>
      <c r="BJ52" s="586"/>
      <c r="BK52" s="586"/>
      <c r="BL52" s="586"/>
      <c r="BM52" s="586"/>
      <c r="BN52" s="586"/>
      <c r="BO52" s="586"/>
      <c r="BP52" s="617"/>
      <c r="BQ52" s="600">
        <f t="shared" si="16"/>
        <v>0</v>
      </c>
      <c r="BR52" s="618"/>
      <c r="BS52" s="619"/>
      <c r="BT52" s="619"/>
      <c r="BU52" s="619"/>
      <c r="BV52" s="619"/>
      <c r="BW52" s="619"/>
      <c r="BX52" s="619"/>
      <c r="BY52" s="619"/>
      <c r="BZ52" s="619"/>
      <c r="CA52" s="644"/>
      <c r="CB52" s="619"/>
      <c r="CC52" s="619"/>
      <c r="CD52" s="619"/>
      <c r="CE52" s="650"/>
      <c r="CF52" s="619"/>
      <c r="CG52" s="619"/>
      <c r="CH52" s="619"/>
      <c r="CI52" s="619"/>
      <c r="CJ52" s="619"/>
      <c r="CK52" s="619"/>
      <c r="CL52" s="619"/>
      <c r="CM52" s="619"/>
      <c r="CN52" s="619"/>
      <c r="CO52" s="619"/>
      <c r="CP52" s="619"/>
      <c r="CQ52" s="668">
        <f t="shared" si="6"/>
        <v>0</v>
      </c>
      <c r="CR52" s="619"/>
      <c r="CS52" s="690"/>
      <c r="CT52" s="690"/>
      <c r="CU52" s="690"/>
      <c r="CV52" s="690"/>
      <c r="CW52" s="619"/>
      <c r="CX52" s="619"/>
      <c r="CY52" s="619"/>
      <c r="CZ52" s="691"/>
      <c r="DA52" s="619"/>
      <c r="DB52" s="619"/>
      <c r="DC52" s="619"/>
      <c r="DD52" s="710"/>
      <c r="DE52" s="619"/>
      <c r="DF52" s="619"/>
      <c r="DG52" s="619"/>
      <c r="DH52" s="619"/>
      <c r="DI52" s="619"/>
      <c r="DJ52" s="619"/>
      <c r="DK52" s="619"/>
      <c r="DL52" s="619"/>
      <c r="DM52" s="619"/>
      <c r="DN52" s="619"/>
      <c r="DO52" s="619"/>
      <c r="DP52" s="565">
        <f t="shared" si="17"/>
        <v>0</v>
      </c>
      <c r="DQ52" s="741">
        <f t="shared" si="18"/>
        <v>0</v>
      </c>
      <c r="DR52" s="619"/>
      <c r="DS52" s="619"/>
      <c r="DT52" s="619"/>
      <c r="DU52" s="619"/>
      <c r="DV52" s="619"/>
      <c r="DW52" s="619"/>
      <c r="DX52" s="619"/>
      <c r="DY52" s="619"/>
      <c r="DZ52" s="619"/>
      <c r="EA52" s="619"/>
      <c r="EB52" s="619"/>
      <c r="EC52" s="619"/>
      <c r="ED52" s="619"/>
      <c r="EE52" s="619"/>
      <c r="EF52" s="619"/>
      <c r="EG52" s="619"/>
      <c r="EH52" s="619"/>
      <c r="EI52" s="619"/>
      <c r="EJ52" s="619"/>
      <c r="EK52" s="619"/>
      <c r="EL52" s="619"/>
      <c r="EM52" s="619"/>
      <c r="EN52" s="619"/>
      <c r="EO52" s="619"/>
      <c r="EP52" s="619"/>
      <c r="EQ52" s="619"/>
      <c r="ER52" s="619"/>
      <c r="ES52" s="619"/>
      <c r="ET52" s="619"/>
      <c r="EU52" s="619"/>
      <c r="EV52" s="619"/>
      <c r="EW52" s="619"/>
      <c r="EX52" s="619"/>
      <c r="EY52" s="619"/>
      <c r="EZ52" s="619"/>
      <c r="FA52" s="619"/>
      <c r="FB52" s="619"/>
      <c r="FC52" s="619"/>
      <c r="FD52" s="619"/>
      <c r="FE52" s="619"/>
      <c r="FF52" s="619"/>
      <c r="FG52" s="619"/>
      <c r="FH52" s="619"/>
      <c r="FI52" s="619"/>
      <c r="FJ52" s="619"/>
      <c r="FK52" s="619"/>
      <c r="FL52" s="619"/>
      <c r="FM52" s="762">
        <f t="shared" si="8"/>
        <v>0</v>
      </c>
      <c r="FN52" s="619"/>
      <c r="FO52" s="619"/>
      <c r="FP52" s="619"/>
      <c r="FQ52" s="619"/>
      <c r="FR52" s="619"/>
      <c r="FS52" s="619"/>
      <c r="FT52" s="619"/>
      <c r="FU52" s="619"/>
      <c r="FV52" s="619"/>
      <c r="FW52" s="619"/>
      <c r="FX52" s="619"/>
      <c r="FY52" s="619"/>
      <c r="FZ52" s="619"/>
      <c r="GA52" s="619"/>
      <c r="GB52" s="619"/>
      <c r="GC52" s="619">
        <f t="shared" si="2"/>
        <v>0</v>
      </c>
      <c r="GD52" s="619"/>
      <c r="GE52" s="619"/>
      <c r="GF52" s="619"/>
      <c r="GG52" s="619"/>
      <c r="GH52" s="619"/>
      <c r="GI52" s="619"/>
      <c r="GJ52" s="619"/>
      <c r="GK52" s="619"/>
      <c r="GL52" s="619"/>
      <c r="GM52" s="619"/>
      <c r="GN52" s="619"/>
      <c r="GO52" s="619"/>
      <c r="GP52" s="619"/>
      <c r="GQ52" s="619"/>
      <c r="GR52" s="619"/>
      <c r="GS52" s="619">
        <f t="shared" si="3"/>
        <v>0</v>
      </c>
      <c r="GT52" s="619"/>
      <c r="GU52" s="619"/>
      <c r="GV52" s="619"/>
      <c r="GW52" s="619"/>
      <c r="GX52" s="619"/>
      <c r="GY52" s="619"/>
      <c r="GZ52" s="619"/>
      <c r="HA52" s="619"/>
      <c r="HB52" s="619"/>
      <c r="HC52" s="619"/>
      <c r="HD52" s="619">
        <f t="shared" si="19"/>
        <v>0</v>
      </c>
      <c r="HE52" s="619">
        <f t="shared" si="20"/>
        <v>0</v>
      </c>
      <c r="HF52" s="619">
        <f t="shared" si="22"/>
        <v>0</v>
      </c>
      <c r="HG52" s="619">
        <f t="shared" ref="HG52:HG70" si="23">-HE52+HF52</f>
        <v>0</v>
      </c>
      <c r="HH52" s="741"/>
      <c r="HI52" s="804">
        <f t="shared" si="13"/>
        <v>0</v>
      </c>
      <c r="HJ52" s="820">
        <f t="shared" si="15"/>
        <v>0</v>
      </c>
      <c r="HK52" s="803">
        <f t="shared" si="21"/>
        <v>0</v>
      </c>
    </row>
    <row r="53" spans="1:257">
      <c r="B53" s="541" t="s">
        <v>302</v>
      </c>
      <c r="C53" s="494" t="s">
        <v>303</v>
      </c>
      <c r="D53" s="542"/>
      <c r="E53" s="543"/>
      <c r="F53" s="544"/>
      <c r="G53" s="544"/>
      <c r="H53" s="544"/>
      <c r="I53" s="574"/>
      <c r="J53" s="574"/>
      <c r="K53" s="574"/>
      <c r="L53" s="574"/>
      <c r="M53" s="574"/>
      <c r="N53" s="574"/>
      <c r="O53" s="574"/>
      <c r="P53" s="574"/>
      <c r="Q53" s="574"/>
      <c r="R53" s="574"/>
      <c r="S53" s="574"/>
      <c r="T53" s="574"/>
      <c r="U53" s="574"/>
      <c r="V53" s="574"/>
      <c r="W53" s="574"/>
      <c r="X53" s="574"/>
      <c r="Y53" s="587"/>
      <c r="Z53" s="587"/>
      <c r="AA53" s="587"/>
      <c r="AB53" s="587"/>
      <c r="AC53" s="587"/>
      <c r="AD53" s="587"/>
      <c r="AE53" s="587"/>
      <c r="AF53" s="587"/>
      <c r="AG53" s="587"/>
      <c r="AH53" s="587"/>
      <c r="AI53" s="587"/>
      <c r="AJ53" s="587"/>
      <c r="AK53" s="587"/>
      <c r="AL53" s="587"/>
      <c r="AM53" s="587"/>
      <c r="AN53" s="587"/>
      <c r="AO53" s="587"/>
      <c r="AP53" s="587"/>
      <c r="AQ53" s="587"/>
      <c r="AR53" s="587"/>
      <c r="AS53" s="587"/>
      <c r="AT53" s="587"/>
      <c r="AU53" s="587"/>
      <c r="AV53" s="587"/>
      <c r="AW53" s="587"/>
      <c r="AX53" s="587"/>
      <c r="AY53" s="587"/>
      <c r="AZ53" s="587"/>
      <c r="BA53" s="587"/>
      <c r="BB53" s="587"/>
      <c r="BC53" s="587"/>
      <c r="BD53" s="587"/>
      <c r="BE53" s="587"/>
      <c r="BF53" s="587"/>
      <c r="BG53" s="587"/>
      <c r="BH53" s="587"/>
      <c r="BI53" s="587"/>
      <c r="BJ53" s="587"/>
      <c r="BK53" s="587"/>
      <c r="BL53" s="587"/>
      <c r="BM53" s="587"/>
      <c r="BN53" s="587"/>
      <c r="BO53" s="587"/>
      <c r="BP53" s="620"/>
      <c r="BQ53" s="628">
        <f t="shared" si="16"/>
        <v>0</v>
      </c>
      <c r="BR53" s="621"/>
      <c r="BS53" s="622"/>
      <c r="BT53" s="622"/>
      <c r="BU53" s="622"/>
      <c r="BV53" s="622"/>
      <c r="BW53" s="622"/>
      <c r="BX53" s="622"/>
      <c r="BY53" s="622"/>
      <c r="BZ53" s="622"/>
      <c r="CA53" s="622"/>
      <c r="CB53" s="622"/>
      <c r="CC53" s="622"/>
      <c r="CD53" s="622"/>
      <c r="CE53" s="651"/>
      <c r="CF53" s="622"/>
      <c r="CG53" s="622"/>
      <c r="CH53" s="622"/>
      <c r="CI53" s="622"/>
      <c r="CJ53" s="622"/>
      <c r="CK53" s="622"/>
      <c r="CL53" s="622"/>
      <c r="CM53" s="622"/>
      <c r="CN53" s="622"/>
      <c r="CO53" s="622"/>
      <c r="CP53" s="622"/>
      <c r="CQ53" s="669">
        <f t="shared" si="6"/>
        <v>0</v>
      </c>
      <c r="CR53" s="622"/>
      <c r="CS53" s="692"/>
      <c r="CT53" s="692"/>
      <c r="CU53" s="692"/>
      <c r="CV53" s="692"/>
      <c r="CW53" s="622"/>
      <c r="CX53" s="622"/>
      <c r="CY53" s="622"/>
      <c r="CZ53" s="693"/>
      <c r="DA53" s="622"/>
      <c r="DB53" s="622"/>
      <c r="DC53" s="622"/>
      <c r="DD53" s="706"/>
      <c r="DE53" s="622"/>
      <c r="DF53" s="622"/>
      <c r="DG53" s="622"/>
      <c r="DH53" s="622"/>
      <c r="DI53" s="622"/>
      <c r="DJ53" s="622"/>
      <c r="DK53" s="622"/>
      <c r="DL53" s="622"/>
      <c r="DM53" s="622"/>
      <c r="DN53" s="622"/>
      <c r="DO53" s="622"/>
      <c r="DP53" s="561">
        <f t="shared" si="17"/>
        <v>0</v>
      </c>
      <c r="DQ53" s="743">
        <f t="shared" si="18"/>
        <v>0</v>
      </c>
      <c r="DR53" s="622"/>
      <c r="DS53" s="622"/>
      <c r="DT53" s="622"/>
      <c r="DU53" s="622"/>
      <c r="DV53" s="622"/>
      <c r="DW53" s="622"/>
      <c r="DX53" s="622"/>
      <c r="DY53" s="622"/>
      <c r="DZ53" s="622"/>
      <c r="EA53" s="622"/>
      <c r="EB53" s="622"/>
      <c r="EC53" s="622"/>
      <c r="ED53" s="622"/>
      <c r="EE53" s="622"/>
      <c r="EF53" s="622"/>
      <c r="EG53" s="622"/>
      <c r="EH53" s="622"/>
      <c r="EI53" s="622"/>
      <c r="EJ53" s="622"/>
      <c r="EK53" s="622"/>
      <c r="EL53" s="622"/>
      <c r="EM53" s="622"/>
      <c r="EN53" s="622"/>
      <c r="EO53" s="622"/>
      <c r="EP53" s="622"/>
      <c r="EQ53" s="622"/>
      <c r="ER53" s="622"/>
      <c r="ES53" s="622"/>
      <c r="ET53" s="622"/>
      <c r="EU53" s="622"/>
      <c r="EV53" s="622"/>
      <c r="EW53" s="622"/>
      <c r="EX53" s="622"/>
      <c r="EY53" s="622"/>
      <c r="EZ53" s="622"/>
      <c r="FA53" s="622"/>
      <c r="FB53" s="622"/>
      <c r="FC53" s="622"/>
      <c r="FD53" s="622"/>
      <c r="FE53" s="622"/>
      <c r="FF53" s="622"/>
      <c r="FG53" s="622"/>
      <c r="FH53" s="622"/>
      <c r="FI53" s="622"/>
      <c r="FJ53" s="622"/>
      <c r="FK53" s="622"/>
      <c r="FL53" s="622"/>
      <c r="FM53" s="763">
        <f t="shared" si="8"/>
        <v>0</v>
      </c>
      <c r="FN53" s="622"/>
      <c r="FO53" s="622"/>
      <c r="FP53" s="622"/>
      <c r="FQ53" s="622"/>
      <c r="FR53" s="622"/>
      <c r="FS53" s="622"/>
      <c r="FT53" s="622"/>
      <c r="FU53" s="622"/>
      <c r="FV53" s="622"/>
      <c r="FW53" s="622"/>
      <c r="FX53" s="622"/>
      <c r="FY53" s="622"/>
      <c r="FZ53" s="622"/>
      <c r="GA53" s="622"/>
      <c r="GB53" s="622"/>
      <c r="GC53" s="622">
        <f t="shared" si="2"/>
        <v>0</v>
      </c>
      <c r="GD53" s="622"/>
      <c r="GE53" s="622"/>
      <c r="GF53" s="622"/>
      <c r="GG53" s="622"/>
      <c r="GH53" s="622"/>
      <c r="GI53" s="622"/>
      <c r="GJ53" s="622"/>
      <c r="GK53" s="622"/>
      <c r="GL53" s="622"/>
      <c r="GM53" s="622"/>
      <c r="GN53" s="622"/>
      <c r="GO53" s="622"/>
      <c r="GP53" s="622"/>
      <c r="GQ53" s="622"/>
      <c r="GR53" s="622"/>
      <c r="GS53" s="622">
        <f t="shared" si="3"/>
        <v>0</v>
      </c>
      <c r="GT53" s="622"/>
      <c r="GU53" s="622"/>
      <c r="GV53" s="622"/>
      <c r="GW53" s="622"/>
      <c r="GX53" s="622"/>
      <c r="GY53" s="622"/>
      <c r="GZ53" s="622"/>
      <c r="HA53" s="622"/>
      <c r="HB53" s="622"/>
      <c r="HC53" s="622"/>
      <c r="HD53" s="622">
        <f t="shared" si="19"/>
        <v>0</v>
      </c>
      <c r="HE53" s="622">
        <f t="shared" si="20"/>
        <v>0</v>
      </c>
      <c r="HF53" s="622">
        <f t="shared" si="22"/>
        <v>0</v>
      </c>
      <c r="HG53" s="622">
        <f t="shared" si="23"/>
        <v>0</v>
      </c>
      <c r="HH53" s="743"/>
      <c r="HI53" s="804">
        <f t="shared" si="13"/>
        <v>0</v>
      </c>
      <c r="HJ53" s="821">
        <f t="shared" si="15"/>
        <v>0</v>
      </c>
      <c r="HK53" s="803">
        <f t="shared" si="21"/>
        <v>0</v>
      </c>
    </row>
    <row r="54" spans="1:257">
      <c r="B54" s="531" t="s">
        <v>304</v>
      </c>
      <c r="C54" s="500" t="s">
        <v>305</v>
      </c>
      <c r="D54" s="532"/>
      <c r="E54" s="550"/>
      <c r="F54" s="551"/>
      <c r="G54" s="551"/>
      <c r="H54" s="551"/>
      <c r="I54" s="576"/>
      <c r="J54" s="576"/>
      <c r="K54" s="576"/>
      <c r="L54" s="576"/>
      <c r="M54" s="576"/>
      <c r="N54" s="576"/>
      <c r="O54" s="576"/>
      <c r="P54" s="576"/>
      <c r="Q54" s="576"/>
      <c r="R54" s="576"/>
      <c r="S54" s="576"/>
      <c r="T54" s="576"/>
      <c r="U54" s="576"/>
      <c r="V54" s="576"/>
      <c r="W54" s="576"/>
      <c r="X54" s="576"/>
      <c r="Y54" s="589"/>
      <c r="Z54" s="589"/>
      <c r="AA54" s="589"/>
      <c r="AB54" s="589"/>
      <c r="AC54" s="589"/>
      <c r="AD54" s="589"/>
      <c r="AE54" s="589"/>
      <c r="AF54" s="589"/>
      <c r="AG54" s="589"/>
      <c r="AH54" s="589"/>
      <c r="AI54" s="589"/>
      <c r="AJ54" s="589"/>
      <c r="AK54" s="589"/>
      <c r="AL54" s="589"/>
      <c r="AM54" s="589"/>
      <c r="AN54" s="589"/>
      <c r="AO54" s="589"/>
      <c r="AP54" s="589"/>
      <c r="AQ54" s="589"/>
      <c r="AR54" s="589"/>
      <c r="AS54" s="589"/>
      <c r="AT54" s="589"/>
      <c r="AU54" s="589"/>
      <c r="AV54" s="589"/>
      <c r="AW54" s="589"/>
      <c r="AX54" s="589"/>
      <c r="AY54" s="589"/>
      <c r="AZ54" s="589"/>
      <c r="BA54" s="589"/>
      <c r="BB54" s="589"/>
      <c r="BC54" s="589"/>
      <c r="BD54" s="589"/>
      <c r="BE54" s="589"/>
      <c r="BF54" s="589"/>
      <c r="BG54" s="589"/>
      <c r="BH54" s="589"/>
      <c r="BI54" s="589"/>
      <c r="BJ54" s="589"/>
      <c r="BK54" s="589"/>
      <c r="BL54" s="589"/>
      <c r="BM54" s="589"/>
      <c r="BN54" s="589"/>
      <c r="BO54" s="589"/>
      <c r="BP54" s="626"/>
      <c r="BQ54" s="598">
        <f t="shared" si="16"/>
        <v>0</v>
      </c>
      <c r="BR54" s="615"/>
      <c r="BS54" s="616"/>
      <c r="BT54" s="616"/>
      <c r="BU54" s="616"/>
      <c r="BV54" s="616"/>
      <c r="BW54" s="616"/>
      <c r="BX54" s="616"/>
      <c r="BY54" s="616"/>
      <c r="BZ54" s="616"/>
      <c r="CA54" s="616"/>
      <c r="CB54" s="616"/>
      <c r="CC54" s="616"/>
      <c r="CD54" s="616"/>
      <c r="CE54" s="649"/>
      <c r="CF54" s="616"/>
      <c r="CG54" s="616"/>
      <c r="CH54" s="616"/>
      <c r="CI54" s="616"/>
      <c r="CJ54" s="616"/>
      <c r="CK54" s="616"/>
      <c r="CL54" s="616"/>
      <c r="CM54" s="616"/>
      <c r="CN54" s="616"/>
      <c r="CO54" s="616"/>
      <c r="CP54" s="616"/>
      <c r="CQ54" s="667">
        <f t="shared" si="6"/>
        <v>0</v>
      </c>
      <c r="CR54" s="616"/>
      <c r="CS54" s="688"/>
      <c r="CT54" s="688"/>
      <c r="CU54" s="688"/>
      <c r="CV54" s="688"/>
      <c r="CW54" s="616"/>
      <c r="CX54" s="616"/>
      <c r="CY54" s="616"/>
      <c r="CZ54" s="689"/>
      <c r="DA54" s="616"/>
      <c r="DB54" s="616"/>
      <c r="DC54" s="616"/>
      <c r="DD54" s="707"/>
      <c r="DE54" s="616"/>
      <c r="DF54" s="616"/>
      <c r="DG54" s="616"/>
      <c r="DH54" s="616"/>
      <c r="DI54" s="616"/>
      <c r="DJ54" s="616"/>
      <c r="DK54" s="616"/>
      <c r="DL54" s="616"/>
      <c r="DM54" s="616"/>
      <c r="DN54" s="616"/>
      <c r="DO54" s="616"/>
      <c r="DP54" s="563">
        <f t="shared" si="17"/>
        <v>0</v>
      </c>
      <c r="DQ54" s="739">
        <f t="shared" si="18"/>
        <v>0</v>
      </c>
      <c r="DR54" s="616"/>
      <c r="DS54" s="616"/>
      <c r="DT54" s="616"/>
      <c r="DU54" s="616"/>
      <c r="DV54" s="616"/>
      <c r="DW54" s="616"/>
      <c r="DX54" s="616"/>
      <c r="DY54" s="616"/>
      <c r="DZ54" s="616"/>
      <c r="EA54" s="616"/>
      <c r="EB54" s="616"/>
      <c r="EC54" s="616"/>
      <c r="ED54" s="616"/>
      <c r="EE54" s="616"/>
      <c r="EF54" s="616"/>
      <c r="EG54" s="616"/>
      <c r="EH54" s="616"/>
      <c r="EI54" s="616"/>
      <c r="EJ54" s="616"/>
      <c r="EK54" s="616"/>
      <c r="EL54" s="616"/>
      <c r="EM54" s="616"/>
      <c r="EN54" s="616"/>
      <c r="EO54" s="616"/>
      <c r="EP54" s="616"/>
      <c r="EQ54" s="616"/>
      <c r="ER54" s="616"/>
      <c r="ES54" s="616"/>
      <c r="ET54" s="616"/>
      <c r="EU54" s="616"/>
      <c r="EV54" s="616"/>
      <c r="EW54" s="616"/>
      <c r="EX54" s="616"/>
      <c r="EY54" s="616"/>
      <c r="EZ54" s="616"/>
      <c r="FA54" s="616"/>
      <c r="FB54" s="616"/>
      <c r="FC54" s="616"/>
      <c r="FD54" s="616"/>
      <c r="FE54" s="616"/>
      <c r="FF54" s="616"/>
      <c r="FG54" s="616"/>
      <c r="FH54" s="616"/>
      <c r="FI54" s="616"/>
      <c r="FJ54" s="616"/>
      <c r="FK54" s="616"/>
      <c r="FL54" s="616"/>
      <c r="FM54" s="761">
        <f t="shared" si="8"/>
        <v>0</v>
      </c>
      <c r="FN54" s="616"/>
      <c r="FO54" s="616"/>
      <c r="FP54" s="616"/>
      <c r="FQ54" s="616"/>
      <c r="FR54" s="616"/>
      <c r="FS54" s="616"/>
      <c r="FT54" s="616"/>
      <c r="FU54" s="616"/>
      <c r="FV54" s="616"/>
      <c r="FW54" s="616"/>
      <c r="FX54" s="616"/>
      <c r="FY54" s="616"/>
      <c r="FZ54" s="616"/>
      <c r="GA54" s="616"/>
      <c r="GB54" s="616"/>
      <c r="GC54" s="616">
        <f t="shared" si="2"/>
        <v>0</v>
      </c>
      <c r="GD54" s="616"/>
      <c r="GE54" s="616"/>
      <c r="GF54" s="616"/>
      <c r="GG54" s="616"/>
      <c r="GH54" s="616"/>
      <c r="GI54" s="616"/>
      <c r="GJ54" s="616"/>
      <c r="GK54" s="616"/>
      <c r="GL54" s="616"/>
      <c r="GM54" s="616"/>
      <c r="GN54" s="616"/>
      <c r="GO54" s="616"/>
      <c r="GP54" s="616"/>
      <c r="GQ54" s="616"/>
      <c r="GR54" s="616"/>
      <c r="GS54" s="616">
        <f t="shared" si="3"/>
        <v>0</v>
      </c>
      <c r="GT54" s="616"/>
      <c r="GU54" s="616"/>
      <c r="GV54" s="616"/>
      <c r="GW54" s="616"/>
      <c r="GX54" s="616"/>
      <c r="GY54" s="616"/>
      <c r="GZ54" s="616"/>
      <c r="HA54" s="616"/>
      <c r="HB54" s="616"/>
      <c r="HC54" s="616"/>
      <c r="HD54" s="616">
        <f t="shared" si="19"/>
        <v>0</v>
      </c>
      <c r="HE54" s="616">
        <f t="shared" si="20"/>
        <v>0</v>
      </c>
      <c r="HF54" s="616">
        <f t="shared" si="22"/>
        <v>0</v>
      </c>
      <c r="HG54" s="616">
        <f t="shared" si="23"/>
        <v>0</v>
      </c>
      <c r="HH54" s="739"/>
      <c r="HI54" s="804">
        <f t="shared" si="13"/>
        <v>0</v>
      </c>
      <c r="HJ54" s="819">
        <f t="shared" si="15"/>
        <v>0</v>
      </c>
      <c r="HK54" s="803">
        <f t="shared" si="21"/>
        <v>0</v>
      </c>
    </row>
    <row r="55" spans="1:257">
      <c r="B55" s="536" t="s">
        <v>306</v>
      </c>
      <c r="C55" s="507" t="s">
        <v>307</v>
      </c>
      <c r="D55" s="552"/>
      <c r="E55" s="553"/>
      <c r="F55" s="553"/>
      <c r="G55" s="553"/>
      <c r="H55" s="553"/>
      <c r="I55" s="578"/>
      <c r="J55" s="578"/>
      <c r="K55" s="578"/>
      <c r="L55" s="578"/>
      <c r="M55" s="578"/>
      <c r="N55" s="578"/>
      <c r="O55" s="578"/>
      <c r="P55" s="578"/>
      <c r="Q55" s="578"/>
      <c r="R55" s="578"/>
      <c r="S55" s="578"/>
      <c r="T55" s="578"/>
      <c r="U55" s="578"/>
      <c r="V55" s="578"/>
      <c r="W55" s="578"/>
      <c r="X55" s="578"/>
      <c r="Y55" s="578"/>
      <c r="Z55" s="578"/>
      <c r="AA55" s="578"/>
      <c r="AB55" s="578"/>
      <c r="AC55" s="578"/>
      <c r="AD55" s="578"/>
      <c r="AE55" s="578"/>
      <c r="AF55" s="578"/>
      <c r="AG55" s="578"/>
      <c r="AH55" s="578"/>
      <c r="AI55" s="578"/>
      <c r="AJ55" s="578"/>
      <c r="AK55" s="578"/>
      <c r="AL55" s="578"/>
      <c r="AM55" s="578"/>
      <c r="AN55" s="578"/>
      <c r="AO55" s="578"/>
      <c r="AP55" s="578"/>
      <c r="AQ55" s="578"/>
      <c r="AR55" s="578"/>
      <c r="AS55" s="578"/>
      <c r="AT55" s="578"/>
      <c r="AU55" s="578"/>
      <c r="AV55" s="578"/>
      <c r="AW55" s="578"/>
      <c r="AX55" s="578"/>
      <c r="AY55" s="578"/>
      <c r="AZ55" s="578"/>
      <c r="BA55" s="578"/>
      <c r="BB55" s="578"/>
      <c r="BC55" s="578"/>
      <c r="BD55" s="578"/>
      <c r="BE55" s="578"/>
      <c r="BF55" s="578"/>
      <c r="BG55" s="578"/>
      <c r="BH55" s="578"/>
      <c r="BI55" s="578"/>
      <c r="BJ55" s="578"/>
      <c r="BK55" s="578"/>
      <c r="BL55" s="578"/>
      <c r="BM55" s="578"/>
      <c r="BN55" s="578"/>
      <c r="BO55" s="578"/>
      <c r="BP55" s="629"/>
      <c r="BQ55" s="630">
        <f t="shared" si="16"/>
        <v>0</v>
      </c>
      <c r="BR55" s="631"/>
      <c r="BS55" s="632"/>
      <c r="BT55" s="632"/>
      <c r="BU55" s="632"/>
      <c r="BV55" s="632"/>
      <c r="BW55" s="632"/>
      <c r="BX55" s="632"/>
      <c r="BY55" s="632"/>
      <c r="BZ55" s="632"/>
      <c r="CA55" s="632"/>
      <c r="CB55" s="632"/>
      <c r="CC55" s="632"/>
      <c r="CD55" s="632"/>
      <c r="CE55" s="653"/>
      <c r="CF55" s="632"/>
      <c r="CG55" s="632"/>
      <c r="CH55" s="632"/>
      <c r="CI55" s="632"/>
      <c r="CJ55" s="632"/>
      <c r="CK55" s="632"/>
      <c r="CL55" s="632"/>
      <c r="CM55" s="632"/>
      <c r="CN55" s="632"/>
      <c r="CO55" s="632"/>
      <c r="CP55" s="632"/>
      <c r="CQ55" s="671">
        <f t="shared" si="6"/>
        <v>0</v>
      </c>
      <c r="CR55" s="632"/>
      <c r="CS55" s="696"/>
      <c r="CT55" s="696"/>
      <c r="CU55" s="696"/>
      <c r="CV55" s="696"/>
      <c r="CW55" s="632"/>
      <c r="CX55" s="632"/>
      <c r="CY55" s="632"/>
      <c r="CZ55" s="697"/>
      <c r="DA55" s="632"/>
      <c r="DB55" s="632"/>
      <c r="DC55" s="632"/>
      <c r="DD55" s="708"/>
      <c r="DE55" s="632"/>
      <c r="DF55" s="632"/>
      <c r="DG55" s="632"/>
      <c r="DH55" s="632"/>
      <c r="DI55" s="632"/>
      <c r="DJ55" s="632"/>
      <c r="DK55" s="632"/>
      <c r="DL55" s="632"/>
      <c r="DM55" s="632"/>
      <c r="DN55" s="632"/>
      <c r="DO55" s="632"/>
      <c r="DP55" s="725">
        <f t="shared" si="17"/>
        <v>0</v>
      </c>
      <c r="DQ55" s="745">
        <f t="shared" si="18"/>
        <v>0</v>
      </c>
      <c r="DR55" s="632"/>
      <c r="DS55" s="632"/>
      <c r="DT55" s="632"/>
      <c r="DU55" s="632"/>
      <c r="DV55" s="632"/>
      <c r="DW55" s="632"/>
      <c r="DX55" s="632"/>
      <c r="DY55" s="632"/>
      <c r="DZ55" s="632"/>
      <c r="EA55" s="632"/>
      <c r="EB55" s="632"/>
      <c r="EC55" s="632"/>
      <c r="ED55" s="632"/>
      <c r="EE55" s="632"/>
      <c r="EF55" s="632"/>
      <c r="EG55" s="632"/>
      <c r="EH55" s="632"/>
      <c r="EI55" s="632"/>
      <c r="EJ55" s="632"/>
      <c r="EK55" s="632"/>
      <c r="EL55" s="632"/>
      <c r="EM55" s="632"/>
      <c r="EN55" s="632"/>
      <c r="EO55" s="632"/>
      <c r="EP55" s="632"/>
      <c r="EQ55" s="632"/>
      <c r="ER55" s="632"/>
      <c r="ES55" s="632"/>
      <c r="ET55" s="632"/>
      <c r="EU55" s="632"/>
      <c r="EV55" s="632"/>
      <c r="EW55" s="632"/>
      <c r="EX55" s="632"/>
      <c r="EY55" s="632"/>
      <c r="EZ55" s="632"/>
      <c r="FA55" s="632"/>
      <c r="FB55" s="632"/>
      <c r="FC55" s="632"/>
      <c r="FD55" s="632"/>
      <c r="FE55" s="632"/>
      <c r="FF55" s="632"/>
      <c r="FG55" s="632"/>
      <c r="FH55" s="632"/>
      <c r="FI55" s="632"/>
      <c r="FJ55" s="632"/>
      <c r="FK55" s="632"/>
      <c r="FL55" s="632"/>
      <c r="FM55" s="765">
        <f t="shared" si="8"/>
        <v>0</v>
      </c>
      <c r="FN55" s="632"/>
      <c r="FO55" s="632"/>
      <c r="FP55" s="632"/>
      <c r="FQ55" s="632"/>
      <c r="FR55" s="632"/>
      <c r="FS55" s="632"/>
      <c r="FT55" s="632"/>
      <c r="FU55" s="632"/>
      <c r="FV55" s="632"/>
      <c r="FW55" s="632"/>
      <c r="FX55" s="632"/>
      <c r="FY55" s="632"/>
      <c r="FZ55" s="632"/>
      <c r="GA55" s="632"/>
      <c r="GB55" s="632"/>
      <c r="GC55" s="632">
        <f t="shared" si="2"/>
        <v>0</v>
      </c>
      <c r="GD55" s="632"/>
      <c r="GE55" s="632"/>
      <c r="GF55" s="632"/>
      <c r="GG55" s="632"/>
      <c r="GH55" s="632"/>
      <c r="GI55" s="632"/>
      <c r="GJ55" s="632"/>
      <c r="GK55" s="632"/>
      <c r="GL55" s="632"/>
      <c r="GM55" s="632"/>
      <c r="GN55" s="632"/>
      <c r="GO55" s="632"/>
      <c r="GP55" s="632"/>
      <c r="GQ55" s="632"/>
      <c r="GR55" s="632"/>
      <c r="GS55" s="632">
        <f t="shared" si="3"/>
        <v>0</v>
      </c>
      <c r="GT55" s="632"/>
      <c r="GU55" s="632"/>
      <c r="GV55" s="632"/>
      <c r="GW55" s="632"/>
      <c r="GX55" s="632"/>
      <c r="GY55" s="632"/>
      <c r="GZ55" s="632"/>
      <c r="HA55" s="632"/>
      <c r="HB55" s="632"/>
      <c r="HC55" s="632"/>
      <c r="HD55" s="632">
        <f t="shared" si="19"/>
        <v>0</v>
      </c>
      <c r="HE55" s="632">
        <f t="shared" si="20"/>
        <v>0</v>
      </c>
      <c r="HF55" s="632">
        <f t="shared" si="22"/>
        <v>0</v>
      </c>
      <c r="HG55" s="632">
        <f t="shared" si="23"/>
        <v>0</v>
      </c>
      <c r="HH55" s="745"/>
      <c r="HI55" s="804">
        <f t="shared" si="13"/>
        <v>0</v>
      </c>
      <c r="HJ55" s="823">
        <f t="shared" si="15"/>
        <v>0</v>
      </c>
      <c r="HK55" s="803">
        <f t="shared" si="21"/>
        <v>0</v>
      </c>
    </row>
    <row r="56" spans="1:257" s="473" customFormat="1">
      <c r="A56" s="554"/>
      <c r="B56" s="555" t="s">
        <v>308</v>
      </c>
      <c r="C56" s="556" t="s">
        <v>309</v>
      </c>
      <c r="D56" s="557"/>
      <c r="E56" s="543"/>
      <c r="F56" s="543"/>
      <c r="G56" s="543"/>
      <c r="H56" s="543"/>
      <c r="I56" s="579"/>
      <c r="J56" s="579"/>
      <c r="K56" s="579"/>
      <c r="L56" s="579"/>
      <c r="M56" s="579"/>
      <c r="N56" s="579"/>
      <c r="O56" s="579"/>
      <c r="P56" s="579"/>
      <c r="Q56" s="579"/>
      <c r="R56" s="579"/>
      <c r="S56" s="579"/>
      <c r="T56" s="579"/>
      <c r="U56" s="579"/>
      <c r="V56" s="579"/>
      <c r="W56" s="579"/>
      <c r="X56" s="579"/>
      <c r="Y56" s="579"/>
      <c r="Z56" s="579"/>
      <c r="AA56" s="579"/>
      <c r="AB56" s="579"/>
      <c r="AC56" s="579"/>
      <c r="AD56" s="579"/>
      <c r="AE56" s="579"/>
      <c r="AF56" s="579"/>
      <c r="AG56" s="579"/>
      <c r="AH56" s="579"/>
      <c r="AI56" s="579"/>
      <c r="AJ56" s="579"/>
      <c r="AK56" s="579"/>
      <c r="AL56" s="579"/>
      <c r="AM56" s="579"/>
      <c r="AN56" s="579"/>
      <c r="AO56" s="579"/>
      <c r="AP56" s="579"/>
      <c r="AQ56" s="579"/>
      <c r="AR56" s="579"/>
      <c r="AS56" s="579"/>
      <c r="AT56" s="579"/>
      <c r="AU56" s="579"/>
      <c r="AV56" s="579"/>
      <c r="AW56" s="579"/>
      <c r="AX56" s="579"/>
      <c r="AY56" s="579"/>
      <c r="AZ56" s="579"/>
      <c r="BA56" s="579"/>
      <c r="BB56" s="579"/>
      <c r="BC56" s="579"/>
      <c r="BD56" s="579"/>
      <c r="BE56" s="579"/>
      <c r="BF56" s="579"/>
      <c r="BG56" s="579"/>
      <c r="BH56" s="579"/>
      <c r="BI56" s="579"/>
      <c r="BJ56" s="579"/>
      <c r="BK56" s="579"/>
      <c r="BL56" s="579"/>
      <c r="BM56" s="579"/>
      <c r="BN56" s="579"/>
      <c r="BO56" s="579"/>
      <c r="BP56" s="633"/>
      <c r="BQ56" s="596">
        <f t="shared" si="16"/>
        <v>0</v>
      </c>
      <c r="BR56" s="634"/>
      <c r="BS56" s="635"/>
      <c r="BT56" s="635"/>
      <c r="BU56" s="635"/>
      <c r="BV56" s="635"/>
      <c r="BW56" s="635"/>
      <c r="BX56" s="635"/>
      <c r="BY56" s="635"/>
      <c r="BZ56" s="635"/>
      <c r="CA56" s="635"/>
      <c r="CB56" s="635"/>
      <c r="CC56" s="635"/>
      <c r="CD56" s="635"/>
      <c r="CE56" s="654"/>
      <c r="CF56" s="635"/>
      <c r="CG56" s="635"/>
      <c r="CH56" s="635"/>
      <c r="CI56" s="635"/>
      <c r="CJ56" s="635"/>
      <c r="CK56" s="635"/>
      <c r="CL56" s="635"/>
      <c r="CM56" s="635"/>
      <c r="CN56" s="635"/>
      <c r="CO56" s="635"/>
      <c r="CP56" s="635"/>
      <c r="CQ56" s="669">
        <f t="shared" si="6"/>
        <v>0</v>
      </c>
      <c r="CR56" s="635"/>
      <c r="CS56" s="698"/>
      <c r="CT56" s="698"/>
      <c r="CU56" s="698"/>
      <c r="CV56" s="698"/>
      <c r="CW56" s="635"/>
      <c r="CX56" s="635"/>
      <c r="CY56" s="635"/>
      <c r="CZ56" s="699"/>
      <c r="DA56" s="635"/>
      <c r="DB56" s="635"/>
      <c r="DC56" s="635"/>
      <c r="DD56" s="714"/>
      <c r="DE56" s="635"/>
      <c r="DF56" s="635"/>
      <c r="DG56" s="635"/>
      <c r="DH56" s="635"/>
      <c r="DI56" s="635"/>
      <c r="DJ56" s="635"/>
      <c r="DK56" s="635"/>
      <c r="DL56" s="635"/>
      <c r="DM56" s="635"/>
      <c r="DN56" s="635"/>
      <c r="DO56" s="635"/>
      <c r="DP56" s="561">
        <f t="shared" si="17"/>
        <v>0</v>
      </c>
      <c r="DQ56" s="746">
        <f t="shared" si="18"/>
        <v>0</v>
      </c>
      <c r="DR56" s="635"/>
      <c r="DS56" s="635"/>
      <c r="DT56" s="635"/>
      <c r="DU56" s="635"/>
      <c r="DV56" s="635"/>
      <c r="DW56" s="635"/>
      <c r="DX56" s="635"/>
      <c r="DY56" s="635"/>
      <c r="DZ56" s="635"/>
      <c r="EA56" s="635"/>
      <c r="EB56" s="635"/>
      <c r="EC56" s="635"/>
      <c r="ED56" s="635"/>
      <c r="EE56" s="635"/>
      <c r="EF56" s="635"/>
      <c r="EG56" s="635"/>
      <c r="EH56" s="635"/>
      <c r="EI56" s="635"/>
      <c r="EJ56" s="635"/>
      <c r="EK56" s="635"/>
      <c r="EL56" s="635"/>
      <c r="EM56" s="635"/>
      <c r="EN56" s="635"/>
      <c r="EO56" s="635"/>
      <c r="EP56" s="635"/>
      <c r="EQ56" s="635"/>
      <c r="ER56" s="635"/>
      <c r="ES56" s="635"/>
      <c r="ET56" s="635"/>
      <c r="EU56" s="635"/>
      <c r="EV56" s="635"/>
      <c r="EW56" s="635"/>
      <c r="EX56" s="635"/>
      <c r="EY56" s="635"/>
      <c r="EZ56" s="635"/>
      <c r="FA56" s="635"/>
      <c r="FB56" s="635"/>
      <c r="FC56" s="635"/>
      <c r="FD56" s="635"/>
      <c r="FE56" s="635"/>
      <c r="FF56" s="635"/>
      <c r="FG56" s="635"/>
      <c r="FH56" s="635"/>
      <c r="FI56" s="635"/>
      <c r="FJ56" s="635"/>
      <c r="FK56" s="635"/>
      <c r="FL56" s="635"/>
      <c r="FM56" s="766">
        <f t="shared" si="8"/>
        <v>0</v>
      </c>
      <c r="FN56" s="635"/>
      <c r="FO56" s="635"/>
      <c r="FP56" s="635"/>
      <c r="FQ56" s="635"/>
      <c r="FR56" s="635"/>
      <c r="FS56" s="635"/>
      <c r="FT56" s="635"/>
      <c r="FU56" s="635"/>
      <c r="FV56" s="635"/>
      <c r="FW56" s="635"/>
      <c r="FX56" s="635"/>
      <c r="FY56" s="635"/>
      <c r="FZ56" s="635"/>
      <c r="GA56" s="635"/>
      <c r="GB56" s="635"/>
      <c r="GC56" s="616">
        <f t="shared" ref="GC56:GC61" si="24">+FN56+FO56+FP56+FQ56+FR56+FS56+FT56+FU56+FV56+FW56+FX56+FY56+FZ56+GA56+GB56</f>
        <v>0</v>
      </c>
      <c r="GD56" s="616"/>
      <c r="GE56" s="616"/>
      <c r="GF56" s="616"/>
      <c r="GG56" s="616"/>
      <c r="GH56" s="616"/>
      <c r="GI56" s="616"/>
      <c r="GJ56" s="616"/>
      <c r="GK56" s="616"/>
      <c r="GL56" s="616"/>
      <c r="GM56" s="616"/>
      <c r="GN56" s="616"/>
      <c r="GO56" s="616"/>
      <c r="GP56" s="616"/>
      <c r="GQ56" s="616"/>
      <c r="GR56" s="616"/>
      <c r="GS56" s="616">
        <f t="shared" ref="GS56:GS61" si="25">+GD56+GE56+GF56+GG56+GH56+GI56+GJ56+GK56+GL56+GM56+GN56+GO56+GP56+GQ56+GR56</f>
        <v>0</v>
      </c>
      <c r="GT56" s="616"/>
      <c r="GU56" s="616"/>
      <c r="GV56" s="616"/>
      <c r="GW56" s="616"/>
      <c r="GX56" s="616"/>
      <c r="GY56" s="616"/>
      <c r="GZ56" s="616"/>
      <c r="HA56" s="616"/>
      <c r="HB56" s="616"/>
      <c r="HC56" s="616"/>
      <c r="HD56" s="616">
        <f t="shared" ref="HD56:HD61" si="26">+GT56+GU56+GV56+GW56+GX56+GY56+GZ56+HA56+HB56+HC56</f>
        <v>0</v>
      </c>
      <c r="HE56" s="616">
        <f t="shared" si="20"/>
        <v>0</v>
      </c>
      <c r="HF56" s="616">
        <f t="shared" si="22"/>
        <v>0</v>
      </c>
      <c r="HG56" s="787">
        <f t="shared" si="23"/>
        <v>0</v>
      </c>
      <c r="HH56" s="788"/>
      <c r="HI56" s="804">
        <f t="shared" si="13"/>
        <v>0</v>
      </c>
      <c r="HJ56" s="824">
        <f t="shared" si="15"/>
        <v>0</v>
      </c>
      <c r="HK56" s="803">
        <f t="shared" si="21"/>
        <v>0</v>
      </c>
      <c r="HL56" s="476"/>
      <c r="HM56" s="476"/>
      <c r="HN56" s="476"/>
      <c r="HO56" s="476"/>
      <c r="HP56" s="476"/>
      <c r="HQ56" s="476"/>
      <c r="HR56" s="476"/>
      <c r="HS56" s="476"/>
      <c r="HT56" s="476"/>
      <c r="HU56" s="476"/>
      <c r="HV56" s="476"/>
      <c r="HW56" s="476"/>
      <c r="HX56" s="476"/>
      <c r="HY56" s="476"/>
      <c r="HZ56" s="476"/>
      <c r="IA56" s="476"/>
      <c r="IB56" s="476"/>
      <c r="IC56" s="476"/>
      <c r="ID56" s="476"/>
      <c r="IE56" s="476"/>
      <c r="IF56" s="476"/>
      <c r="IG56" s="476"/>
      <c r="IH56" s="476"/>
      <c r="II56" s="476"/>
      <c r="IJ56" s="476"/>
      <c r="IK56" s="476"/>
      <c r="IL56" s="476"/>
      <c r="IM56" s="476"/>
      <c r="IN56" s="476"/>
      <c r="IO56" s="476"/>
      <c r="IP56" s="476"/>
      <c r="IQ56" s="476"/>
      <c r="IR56" s="476"/>
      <c r="IS56" s="476"/>
      <c r="IT56" s="476"/>
      <c r="IU56" s="476"/>
      <c r="IV56" s="476"/>
      <c r="IW56" s="476"/>
    </row>
    <row r="57" spans="1:257" s="473" customFormat="1">
      <c r="A57" s="554"/>
      <c r="B57" s="506" t="s">
        <v>310</v>
      </c>
      <c r="C57" s="558" t="s">
        <v>311</v>
      </c>
      <c r="D57" s="559"/>
      <c r="E57" s="553"/>
      <c r="F57" s="553"/>
      <c r="G57" s="553"/>
      <c r="H57" s="553"/>
      <c r="I57" s="578"/>
      <c r="J57" s="578"/>
      <c r="K57" s="578"/>
      <c r="L57" s="578"/>
      <c r="M57" s="578"/>
      <c r="N57" s="578"/>
      <c r="O57" s="578"/>
      <c r="P57" s="578"/>
      <c r="Q57" s="578"/>
      <c r="R57" s="578"/>
      <c r="S57" s="578"/>
      <c r="T57" s="578"/>
      <c r="U57" s="578"/>
      <c r="V57" s="578"/>
      <c r="W57" s="578"/>
      <c r="X57" s="578"/>
      <c r="Y57" s="578"/>
      <c r="Z57" s="578"/>
      <c r="AA57" s="578"/>
      <c r="AB57" s="578"/>
      <c r="AC57" s="578"/>
      <c r="AD57" s="578"/>
      <c r="AE57" s="578"/>
      <c r="AF57" s="578"/>
      <c r="AG57" s="578"/>
      <c r="AH57" s="578"/>
      <c r="AI57" s="578"/>
      <c r="AJ57" s="578"/>
      <c r="AK57" s="578"/>
      <c r="AL57" s="578"/>
      <c r="AM57" s="578"/>
      <c r="AN57" s="578"/>
      <c r="AO57" s="578"/>
      <c r="AP57" s="578"/>
      <c r="AQ57" s="578"/>
      <c r="AR57" s="578"/>
      <c r="AS57" s="578"/>
      <c r="AT57" s="578"/>
      <c r="AU57" s="578"/>
      <c r="AV57" s="578"/>
      <c r="AW57" s="578"/>
      <c r="AX57" s="578"/>
      <c r="AY57" s="578"/>
      <c r="AZ57" s="578"/>
      <c r="BA57" s="578"/>
      <c r="BB57" s="578"/>
      <c r="BC57" s="578"/>
      <c r="BD57" s="578"/>
      <c r="BE57" s="578"/>
      <c r="BF57" s="578"/>
      <c r="BG57" s="578"/>
      <c r="BH57" s="578"/>
      <c r="BI57" s="578"/>
      <c r="BJ57" s="578"/>
      <c r="BK57" s="578"/>
      <c r="BL57" s="578"/>
      <c r="BM57" s="578"/>
      <c r="BN57" s="578"/>
      <c r="BO57" s="578"/>
      <c r="BP57" s="629"/>
      <c r="BQ57" s="600">
        <f t="shared" si="16"/>
        <v>0</v>
      </c>
      <c r="BR57" s="636"/>
      <c r="BS57" s="637"/>
      <c r="BT57" s="637"/>
      <c r="BU57" s="637"/>
      <c r="BV57" s="637"/>
      <c r="BW57" s="637"/>
      <c r="BX57" s="637"/>
      <c r="BY57" s="637"/>
      <c r="BZ57" s="637"/>
      <c r="CA57" s="637"/>
      <c r="CB57" s="637"/>
      <c r="CC57" s="637"/>
      <c r="CD57" s="637"/>
      <c r="CE57" s="655"/>
      <c r="CF57" s="637"/>
      <c r="CG57" s="637"/>
      <c r="CH57" s="637"/>
      <c r="CI57" s="637"/>
      <c r="CJ57" s="637"/>
      <c r="CK57" s="637"/>
      <c r="CL57" s="637"/>
      <c r="CM57" s="637"/>
      <c r="CN57" s="637"/>
      <c r="CO57" s="637"/>
      <c r="CP57" s="637"/>
      <c r="CQ57" s="671">
        <f t="shared" si="6"/>
        <v>0</v>
      </c>
      <c r="CR57" s="637"/>
      <c r="CS57" s="700"/>
      <c r="CT57" s="700"/>
      <c r="CU57" s="700"/>
      <c r="CV57" s="700"/>
      <c r="CW57" s="637"/>
      <c r="CX57" s="637"/>
      <c r="CY57" s="637"/>
      <c r="CZ57" s="701"/>
      <c r="DA57" s="637"/>
      <c r="DB57" s="637"/>
      <c r="DC57" s="637"/>
      <c r="DD57" s="715"/>
      <c r="DE57" s="637"/>
      <c r="DF57" s="637"/>
      <c r="DG57" s="637"/>
      <c r="DH57" s="637"/>
      <c r="DI57" s="637"/>
      <c r="DJ57" s="637"/>
      <c r="DK57" s="637"/>
      <c r="DL57" s="637"/>
      <c r="DM57" s="637"/>
      <c r="DN57" s="637"/>
      <c r="DO57" s="637"/>
      <c r="DP57" s="725">
        <f t="shared" si="17"/>
        <v>0</v>
      </c>
      <c r="DQ57" s="745">
        <f t="shared" si="18"/>
        <v>0</v>
      </c>
      <c r="DR57" s="637"/>
      <c r="DS57" s="637"/>
      <c r="DT57" s="637"/>
      <c r="DU57" s="637"/>
      <c r="DV57" s="637"/>
      <c r="DW57" s="637"/>
      <c r="DX57" s="637"/>
      <c r="DY57" s="637"/>
      <c r="DZ57" s="637"/>
      <c r="EA57" s="637"/>
      <c r="EB57" s="637"/>
      <c r="EC57" s="637"/>
      <c r="ED57" s="637"/>
      <c r="EE57" s="637"/>
      <c r="EF57" s="637"/>
      <c r="EG57" s="637"/>
      <c r="EH57" s="637"/>
      <c r="EI57" s="637"/>
      <c r="EJ57" s="637"/>
      <c r="EK57" s="637"/>
      <c r="EL57" s="637"/>
      <c r="EM57" s="637"/>
      <c r="EN57" s="637"/>
      <c r="EO57" s="637"/>
      <c r="EP57" s="637"/>
      <c r="EQ57" s="637"/>
      <c r="ER57" s="637"/>
      <c r="ES57" s="637"/>
      <c r="ET57" s="637"/>
      <c r="EU57" s="637"/>
      <c r="EV57" s="637"/>
      <c r="EW57" s="637"/>
      <c r="EX57" s="637"/>
      <c r="EY57" s="637"/>
      <c r="EZ57" s="637"/>
      <c r="FA57" s="637"/>
      <c r="FB57" s="637"/>
      <c r="FC57" s="637"/>
      <c r="FD57" s="637"/>
      <c r="FE57" s="637"/>
      <c r="FF57" s="637"/>
      <c r="FG57" s="637"/>
      <c r="FH57" s="637"/>
      <c r="FI57" s="637"/>
      <c r="FJ57" s="637"/>
      <c r="FK57" s="637"/>
      <c r="FL57" s="637"/>
      <c r="FM57" s="765">
        <f t="shared" si="8"/>
        <v>0</v>
      </c>
      <c r="FN57" s="637"/>
      <c r="FO57" s="637"/>
      <c r="FP57" s="637"/>
      <c r="FQ57" s="637"/>
      <c r="FR57" s="637"/>
      <c r="FS57" s="637"/>
      <c r="FT57" s="637"/>
      <c r="FU57" s="637"/>
      <c r="FV57" s="637"/>
      <c r="FW57" s="637"/>
      <c r="FX57" s="637"/>
      <c r="FY57" s="637"/>
      <c r="FZ57" s="637"/>
      <c r="GA57" s="637"/>
      <c r="GB57" s="637"/>
      <c r="GC57" s="632">
        <f t="shared" si="24"/>
        <v>0</v>
      </c>
      <c r="GD57" s="632"/>
      <c r="GE57" s="632"/>
      <c r="GF57" s="632"/>
      <c r="GG57" s="632"/>
      <c r="GH57" s="632"/>
      <c r="GI57" s="632"/>
      <c r="GJ57" s="632"/>
      <c r="GK57" s="632"/>
      <c r="GL57" s="632"/>
      <c r="GM57" s="632"/>
      <c r="GN57" s="632"/>
      <c r="GO57" s="632"/>
      <c r="GP57" s="632"/>
      <c r="GQ57" s="632"/>
      <c r="GR57" s="632"/>
      <c r="GS57" s="632">
        <f t="shared" si="25"/>
        <v>0</v>
      </c>
      <c r="GT57" s="632"/>
      <c r="GU57" s="632"/>
      <c r="GV57" s="632"/>
      <c r="GW57" s="632"/>
      <c r="GX57" s="632"/>
      <c r="GY57" s="632"/>
      <c r="GZ57" s="632"/>
      <c r="HA57" s="632"/>
      <c r="HB57" s="632"/>
      <c r="HC57" s="632"/>
      <c r="HD57" s="632">
        <f t="shared" si="26"/>
        <v>0</v>
      </c>
      <c r="HE57" s="632">
        <f t="shared" si="20"/>
        <v>0</v>
      </c>
      <c r="HF57" s="632">
        <f t="shared" si="22"/>
        <v>0</v>
      </c>
      <c r="HG57" s="632">
        <f t="shared" si="23"/>
        <v>0</v>
      </c>
      <c r="HH57" s="789"/>
      <c r="HI57" s="804">
        <f t="shared" si="13"/>
        <v>0</v>
      </c>
      <c r="HJ57" s="823">
        <f t="shared" si="15"/>
        <v>0</v>
      </c>
      <c r="HK57" s="803">
        <f t="shared" si="21"/>
        <v>0</v>
      </c>
      <c r="HL57" s="476"/>
      <c r="HM57" s="476"/>
      <c r="HN57" s="476"/>
      <c r="HO57" s="476"/>
      <c r="HP57" s="476"/>
      <c r="HQ57" s="476"/>
      <c r="HR57" s="476"/>
      <c r="HS57" s="476"/>
      <c r="HT57" s="476"/>
      <c r="HU57" s="476"/>
      <c r="HV57" s="476"/>
      <c r="HW57" s="476"/>
      <c r="HX57" s="476"/>
      <c r="HY57" s="476"/>
      <c r="HZ57" s="476"/>
      <c r="IA57" s="476"/>
      <c r="IB57" s="476"/>
      <c r="IC57" s="476"/>
      <c r="ID57" s="476"/>
      <c r="IE57" s="476"/>
      <c r="IF57" s="476"/>
      <c r="IG57" s="476"/>
      <c r="IH57" s="476"/>
      <c r="II57" s="476"/>
      <c r="IJ57" s="476"/>
      <c r="IK57" s="476"/>
      <c r="IL57" s="476"/>
      <c r="IM57" s="476"/>
      <c r="IN57" s="476"/>
      <c r="IO57" s="476"/>
      <c r="IP57" s="476"/>
      <c r="IQ57" s="476"/>
      <c r="IR57" s="476"/>
      <c r="IS57" s="476"/>
      <c r="IT57" s="476"/>
      <c r="IU57" s="476"/>
      <c r="IV57" s="476"/>
      <c r="IW57" s="476"/>
    </row>
    <row r="58" spans="1:257">
      <c r="B58" s="493" t="s">
        <v>312</v>
      </c>
      <c r="C58" s="560" t="s">
        <v>313</v>
      </c>
      <c r="D58" s="561"/>
      <c r="E58" s="544"/>
      <c r="F58" s="544"/>
      <c r="G58" s="544"/>
      <c r="H58" s="544"/>
      <c r="I58" s="574"/>
      <c r="J58" s="574"/>
      <c r="K58" s="574"/>
      <c r="L58" s="574"/>
      <c r="M58" s="574"/>
      <c r="N58" s="574"/>
      <c r="O58" s="574"/>
      <c r="P58" s="574"/>
      <c r="Q58" s="574"/>
      <c r="R58" s="574"/>
      <c r="S58" s="574"/>
      <c r="T58" s="574"/>
      <c r="U58" s="574"/>
      <c r="V58" s="574"/>
      <c r="W58" s="574"/>
      <c r="X58" s="574"/>
      <c r="Y58" s="574"/>
      <c r="Z58" s="574"/>
      <c r="AA58" s="574"/>
      <c r="AB58" s="574"/>
      <c r="AC58" s="574"/>
      <c r="AD58" s="574"/>
      <c r="AE58" s="574"/>
      <c r="AF58" s="574"/>
      <c r="AG58" s="574"/>
      <c r="AH58" s="574"/>
      <c r="AI58" s="574"/>
      <c r="AJ58" s="574"/>
      <c r="AK58" s="574"/>
      <c r="AL58" s="574"/>
      <c r="AM58" s="574"/>
      <c r="AN58" s="574"/>
      <c r="AO58" s="574"/>
      <c r="AP58" s="574"/>
      <c r="AQ58" s="574"/>
      <c r="AR58" s="574"/>
      <c r="AS58" s="574"/>
      <c r="AT58" s="574"/>
      <c r="AU58" s="574"/>
      <c r="AV58" s="574"/>
      <c r="AW58" s="574"/>
      <c r="AX58" s="574"/>
      <c r="AY58" s="574"/>
      <c r="AZ58" s="574"/>
      <c r="BA58" s="574"/>
      <c r="BB58" s="574"/>
      <c r="BC58" s="574"/>
      <c r="BD58" s="574"/>
      <c r="BE58" s="574"/>
      <c r="BF58" s="574"/>
      <c r="BG58" s="574"/>
      <c r="BH58" s="574"/>
      <c r="BI58" s="574"/>
      <c r="BJ58" s="574"/>
      <c r="BK58" s="574"/>
      <c r="BL58" s="574"/>
      <c r="BM58" s="574"/>
      <c r="BN58" s="574"/>
      <c r="BO58" s="574"/>
      <c r="BP58" s="638"/>
      <c r="BQ58" s="596">
        <f t="shared" si="16"/>
        <v>0</v>
      </c>
      <c r="BR58" s="621"/>
      <c r="BS58" s="622"/>
      <c r="BT58" s="622"/>
      <c r="BU58" s="622"/>
      <c r="BV58" s="622"/>
      <c r="BW58" s="622"/>
      <c r="BX58" s="622"/>
      <c r="BY58" s="622"/>
      <c r="BZ58" s="622"/>
      <c r="CA58" s="622"/>
      <c r="CB58" s="622"/>
      <c r="CC58" s="622"/>
      <c r="CD58" s="622"/>
      <c r="CE58" s="651"/>
      <c r="CF58" s="622"/>
      <c r="CG58" s="622"/>
      <c r="CH58" s="622"/>
      <c r="CI58" s="622"/>
      <c r="CJ58" s="622"/>
      <c r="CK58" s="622"/>
      <c r="CL58" s="622"/>
      <c r="CM58" s="622"/>
      <c r="CN58" s="622"/>
      <c r="CO58" s="622"/>
      <c r="CP58" s="622"/>
      <c r="CQ58" s="669">
        <f t="shared" si="6"/>
        <v>0</v>
      </c>
      <c r="CR58" s="622"/>
      <c r="CS58" s="692"/>
      <c r="CT58" s="692"/>
      <c r="CU58" s="692"/>
      <c r="CV58" s="692"/>
      <c r="CW58" s="622"/>
      <c r="CX58" s="622"/>
      <c r="CY58" s="622"/>
      <c r="CZ58" s="693"/>
      <c r="DA58" s="622"/>
      <c r="DB58" s="622"/>
      <c r="DC58" s="622"/>
      <c r="DD58" s="706"/>
      <c r="DE58" s="622"/>
      <c r="DF58" s="622"/>
      <c r="DG58" s="622"/>
      <c r="DH58" s="622"/>
      <c r="DI58" s="622"/>
      <c r="DJ58" s="622"/>
      <c r="DK58" s="622"/>
      <c r="DL58" s="622"/>
      <c r="DM58" s="622"/>
      <c r="DN58" s="622"/>
      <c r="DO58" s="622"/>
      <c r="DP58" s="561">
        <f t="shared" si="17"/>
        <v>0</v>
      </c>
      <c r="DQ58" s="743">
        <f t="shared" si="18"/>
        <v>0</v>
      </c>
      <c r="DR58" s="622"/>
      <c r="DS58" s="622"/>
      <c r="DT58" s="622"/>
      <c r="DU58" s="622"/>
      <c r="DV58" s="622"/>
      <c r="DW58" s="622"/>
      <c r="DX58" s="622"/>
      <c r="DY58" s="622"/>
      <c r="DZ58" s="622"/>
      <c r="EA58" s="622"/>
      <c r="EB58" s="622"/>
      <c r="EC58" s="622"/>
      <c r="ED58" s="622"/>
      <c r="EE58" s="622"/>
      <c r="EF58" s="622"/>
      <c r="EG58" s="622"/>
      <c r="EH58" s="622"/>
      <c r="EI58" s="622"/>
      <c r="EJ58" s="622"/>
      <c r="EK58" s="622"/>
      <c r="EL58" s="622"/>
      <c r="EM58" s="622"/>
      <c r="EN58" s="622"/>
      <c r="EO58" s="622"/>
      <c r="EP58" s="622"/>
      <c r="EQ58" s="622"/>
      <c r="ER58" s="622"/>
      <c r="ES58" s="622"/>
      <c r="ET58" s="622"/>
      <c r="EU58" s="622"/>
      <c r="EV58" s="622"/>
      <c r="EW58" s="622"/>
      <c r="EX58" s="622"/>
      <c r="EY58" s="622"/>
      <c r="EZ58" s="622"/>
      <c r="FA58" s="622"/>
      <c r="FB58" s="622"/>
      <c r="FC58" s="622"/>
      <c r="FD58" s="622"/>
      <c r="FE58" s="622"/>
      <c r="FF58" s="622"/>
      <c r="FG58" s="622"/>
      <c r="FH58" s="622"/>
      <c r="FI58" s="622"/>
      <c r="FJ58" s="622"/>
      <c r="FK58" s="622"/>
      <c r="FL58" s="622"/>
      <c r="FM58" s="763">
        <f t="shared" si="8"/>
        <v>0</v>
      </c>
      <c r="FN58" s="622"/>
      <c r="FO58" s="622"/>
      <c r="FP58" s="622"/>
      <c r="FQ58" s="622"/>
      <c r="FR58" s="622"/>
      <c r="FS58" s="622"/>
      <c r="FT58" s="622"/>
      <c r="FU58" s="622"/>
      <c r="FV58" s="622"/>
      <c r="FW58" s="622"/>
      <c r="FX58" s="622"/>
      <c r="FY58" s="622"/>
      <c r="FZ58" s="622"/>
      <c r="GA58" s="622"/>
      <c r="GB58" s="622"/>
      <c r="GC58" s="622">
        <f t="shared" si="24"/>
        <v>0</v>
      </c>
      <c r="GD58" s="622"/>
      <c r="GE58" s="622"/>
      <c r="GF58" s="622"/>
      <c r="GG58" s="622"/>
      <c r="GH58" s="622"/>
      <c r="GI58" s="622"/>
      <c r="GJ58" s="622"/>
      <c r="GK58" s="622"/>
      <c r="GL58" s="622"/>
      <c r="GM58" s="622"/>
      <c r="GN58" s="622"/>
      <c r="GO58" s="622"/>
      <c r="GP58" s="622"/>
      <c r="GQ58" s="622"/>
      <c r="GR58" s="622"/>
      <c r="GS58" s="622">
        <f t="shared" si="25"/>
        <v>0</v>
      </c>
      <c r="GT58" s="622"/>
      <c r="GU58" s="622"/>
      <c r="GV58" s="622"/>
      <c r="GW58" s="622"/>
      <c r="GX58" s="622"/>
      <c r="GY58" s="622"/>
      <c r="GZ58" s="622"/>
      <c r="HA58" s="622"/>
      <c r="HB58" s="622"/>
      <c r="HC58" s="622"/>
      <c r="HD58" s="622">
        <f t="shared" si="26"/>
        <v>0</v>
      </c>
      <c r="HE58" s="622">
        <f t="shared" si="20"/>
        <v>0</v>
      </c>
      <c r="HF58" s="622">
        <f t="shared" si="22"/>
        <v>0</v>
      </c>
      <c r="HG58" s="622">
        <f t="shared" si="23"/>
        <v>0</v>
      </c>
      <c r="HH58" s="743"/>
      <c r="HI58" s="804">
        <f t="shared" si="13"/>
        <v>0</v>
      </c>
      <c r="HJ58" s="821">
        <f t="shared" si="15"/>
        <v>0</v>
      </c>
      <c r="HK58" s="803">
        <f t="shared" si="21"/>
        <v>0</v>
      </c>
    </row>
    <row r="59" spans="1:257">
      <c r="B59" s="499" t="s">
        <v>314</v>
      </c>
      <c r="C59" s="562" t="s">
        <v>315</v>
      </c>
      <c r="D59" s="563"/>
      <c r="E59" s="551"/>
      <c r="F59" s="551"/>
      <c r="G59" s="551"/>
      <c r="H59" s="551"/>
      <c r="I59" s="576"/>
      <c r="J59" s="576"/>
      <c r="K59" s="576"/>
      <c r="L59" s="576"/>
      <c r="M59" s="576"/>
      <c r="N59" s="576"/>
      <c r="O59" s="576"/>
      <c r="P59" s="576"/>
      <c r="Q59" s="576"/>
      <c r="R59" s="576"/>
      <c r="S59" s="576"/>
      <c r="T59" s="576"/>
      <c r="U59" s="576"/>
      <c r="V59" s="576"/>
      <c r="W59" s="576"/>
      <c r="X59" s="576"/>
      <c r="Y59" s="576"/>
      <c r="Z59" s="576"/>
      <c r="AA59" s="576"/>
      <c r="AB59" s="576"/>
      <c r="AC59" s="576"/>
      <c r="AD59" s="576"/>
      <c r="AE59" s="576"/>
      <c r="AF59" s="576"/>
      <c r="AG59" s="576"/>
      <c r="AH59" s="576"/>
      <c r="AI59" s="576"/>
      <c r="AJ59" s="576"/>
      <c r="AK59" s="576"/>
      <c r="AL59" s="576"/>
      <c r="AM59" s="576"/>
      <c r="AN59" s="576"/>
      <c r="AO59" s="576"/>
      <c r="AP59" s="576"/>
      <c r="AQ59" s="576"/>
      <c r="AR59" s="576"/>
      <c r="AS59" s="576"/>
      <c r="AT59" s="576"/>
      <c r="AU59" s="576"/>
      <c r="AV59" s="576"/>
      <c r="AW59" s="576"/>
      <c r="AX59" s="576"/>
      <c r="AY59" s="576"/>
      <c r="AZ59" s="576"/>
      <c r="BA59" s="576"/>
      <c r="BB59" s="576"/>
      <c r="BC59" s="576"/>
      <c r="BD59" s="576"/>
      <c r="BE59" s="576"/>
      <c r="BF59" s="576"/>
      <c r="BG59" s="576"/>
      <c r="BH59" s="576"/>
      <c r="BI59" s="576"/>
      <c r="BJ59" s="576"/>
      <c r="BK59" s="576"/>
      <c r="BL59" s="576"/>
      <c r="BM59" s="576"/>
      <c r="BN59" s="576"/>
      <c r="BO59" s="576"/>
      <c r="BP59" s="639"/>
      <c r="BQ59" s="598">
        <f t="shared" si="16"/>
        <v>0</v>
      </c>
      <c r="BR59" s="615"/>
      <c r="BS59" s="616"/>
      <c r="BT59" s="616"/>
      <c r="BU59" s="616"/>
      <c r="BV59" s="616"/>
      <c r="BW59" s="616"/>
      <c r="BX59" s="616"/>
      <c r="BY59" s="616"/>
      <c r="BZ59" s="616"/>
      <c r="CA59" s="616"/>
      <c r="CB59" s="616"/>
      <c r="CC59" s="616"/>
      <c r="CD59" s="616"/>
      <c r="CE59" s="649"/>
      <c r="CF59" s="616"/>
      <c r="CG59" s="616"/>
      <c r="CH59" s="616"/>
      <c r="CI59" s="616"/>
      <c r="CJ59" s="616"/>
      <c r="CK59" s="616"/>
      <c r="CL59" s="616"/>
      <c r="CM59" s="616"/>
      <c r="CN59" s="616"/>
      <c r="CO59" s="616"/>
      <c r="CP59" s="616"/>
      <c r="CQ59" s="667">
        <f t="shared" si="6"/>
        <v>0</v>
      </c>
      <c r="CR59" s="616"/>
      <c r="CS59" s="688"/>
      <c r="CT59" s="688"/>
      <c r="CU59" s="688"/>
      <c r="CV59" s="688"/>
      <c r="CW59" s="616"/>
      <c r="CX59" s="616"/>
      <c r="CY59" s="616"/>
      <c r="CZ59" s="689"/>
      <c r="DA59" s="616"/>
      <c r="DB59" s="616"/>
      <c r="DC59" s="616"/>
      <c r="DD59" s="707"/>
      <c r="DE59" s="616"/>
      <c r="DF59" s="616"/>
      <c r="DG59" s="616"/>
      <c r="DH59" s="616"/>
      <c r="DI59" s="616"/>
      <c r="DJ59" s="616"/>
      <c r="DK59" s="616"/>
      <c r="DL59" s="616"/>
      <c r="DM59" s="616"/>
      <c r="DN59" s="616"/>
      <c r="DO59" s="616"/>
      <c r="DP59" s="563">
        <f t="shared" si="17"/>
        <v>0</v>
      </c>
      <c r="DQ59" s="739">
        <f t="shared" si="18"/>
        <v>0</v>
      </c>
      <c r="DR59" s="616"/>
      <c r="DS59" s="616"/>
      <c r="DT59" s="616"/>
      <c r="DU59" s="616"/>
      <c r="DV59" s="616"/>
      <c r="DW59" s="616"/>
      <c r="DX59" s="616"/>
      <c r="DY59" s="616"/>
      <c r="DZ59" s="616"/>
      <c r="EA59" s="616"/>
      <c r="EB59" s="616"/>
      <c r="EC59" s="616"/>
      <c r="ED59" s="616"/>
      <c r="EE59" s="616"/>
      <c r="EF59" s="616"/>
      <c r="EG59" s="616"/>
      <c r="EH59" s="616"/>
      <c r="EI59" s="616"/>
      <c r="EJ59" s="616"/>
      <c r="EK59" s="616"/>
      <c r="EL59" s="616"/>
      <c r="EM59" s="616"/>
      <c r="EN59" s="616"/>
      <c r="EO59" s="616"/>
      <c r="EP59" s="616"/>
      <c r="EQ59" s="616"/>
      <c r="ER59" s="616"/>
      <c r="ES59" s="616"/>
      <c r="ET59" s="616"/>
      <c r="EU59" s="616"/>
      <c r="EV59" s="616"/>
      <c r="EW59" s="616"/>
      <c r="EX59" s="616"/>
      <c r="EY59" s="616"/>
      <c r="EZ59" s="616"/>
      <c r="FA59" s="616"/>
      <c r="FB59" s="616"/>
      <c r="FC59" s="616"/>
      <c r="FD59" s="616"/>
      <c r="FE59" s="616"/>
      <c r="FF59" s="616"/>
      <c r="FG59" s="616"/>
      <c r="FH59" s="616"/>
      <c r="FI59" s="616"/>
      <c r="FJ59" s="616"/>
      <c r="FK59" s="616"/>
      <c r="FL59" s="616"/>
      <c r="FM59" s="761">
        <f t="shared" si="8"/>
        <v>0</v>
      </c>
      <c r="FN59" s="616"/>
      <c r="FO59" s="616"/>
      <c r="FP59" s="616"/>
      <c r="FQ59" s="616"/>
      <c r="FR59" s="616"/>
      <c r="FS59" s="616"/>
      <c r="FT59" s="616"/>
      <c r="FU59" s="616"/>
      <c r="FV59" s="616"/>
      <c r="FW59" s="616"/>
      <c r="FX59" s="616"/>
      <c r="FY59" s="616"/>
      <c r="FZ59" s="616"/>
      <c r="GA59" s="616"/>
      <c r="GB59" s="616"/>
      <c r="GC59" s="616">
        <f t="shared" si="24"/>
        <v>0</v>
      </c>
      <c r="GD59" s="616"/>
      <c r="GE59" s="616"/>
      <c r="GF59" s="616"/>
      <c r="GG59" s="616"/>
      <c r="GH59" s="616"/>
      <c r="GI59" s="616"/>
      <c r="GJ59" s="616"/>
      <c r="GK59" s="616"/>
      <c r="GL59" s="616"/>
      <c r="GM59" s="616"/>
      <c r="GN59" s="616"/>
      <c r="GO59" s="616"/>
      <c r="GP59" s="616"/>
      <c r="GQ59" s="616"/>
      <c r="GR59" s="616"/>
      <c r="GS59" s="616">
        <f t="shared" si="25"/>
        <v>0</v>
      </c>
      <c r="GT59" s="616"/>
      <c r="GU59" s="616"/>
      <c r="GV59" s="616"/>
      <c r="GW59" s="616"/>
      <c r="GX59" s="616"/>
      <c r="GY59" s="616"/>
      <c r="GZ59" s="616"/>
      <c r="HA59" s="616"/>
      <c r="HB59" s="616"/>
      <c r="HC59" s="616"/>
      <c r="HD59" s="616">
        <f t="shared" si="26"/>
        <v>0</v>
      </c>
      <c r="HE59" s="616">
        <f t="shared" si="20"/>
        <v>0</v>
      </c>
      <c r="HF59" s="616">
        <f t="shared" si="22"/>
        <v>0</v>
      </c>
      <c r="HG59" s="616">
        <f t="shared" si="23"/>
        <v>0</v>
      </c>
      <c r="HH59" s="739"/>
      <c r="HI59" s="804">
        <f t="shared" si="13"/>
        <v>0</v>
      </c>
      <c r="HJ59" s="819">
        <f t="shared" si="15"/>
        <v>0</v>
      </c>
      <c r="HK59" s="803">
        <f t="shared" si="21"/>
        <v>0</v>
      </c>
    </row>
    <row r="60" spans="1:257">
      <c r="B60" s="499" t="s">
        <v>316</v>
      </c>
      <c r="C60" s="562" t="s">
        <v>317</v>
      </c>
      <c r="D60" s="563"/>
      <c r="E60" s="551"/>
      <c r="F60" s="551"/>
      <c r="G60" s="551"/>
      <c r="H60" s="551"/>
      <c r="I60" s="576"/>
      <c r="J60" s="576"/>
      <c r="K60" s="576"/>
      <c r="L60" s="576"/>
      <c r="M60" s="576"/>
      <c r="N60" s="576"/>
      <c r="O60" s="576"/>
      <c r="P60" s="576"/>
      <c r="Q60" s="576"/>
      <c r="R60" s="576"/>
      <c r="S60" s="576"/>
      <c r="T60" s="576"/>
      <c r="U60" s="576"/>
      <c r="V60" s="576"/>
      <c r="W60" s="576"/>
      <c r="X60" s="576"/>
      <c r="Y60" s="576"/>
      <c r="Z60" s="576"/>
      <c r="AA60" s="576"/>
      <c r="AB60" s="576"/>
      <c r="AC60" s="576"/>
      <c r="AD60" s="576"/>
      <c r="AE60" s="576"/>
      <c r="AF60" s="576"/>
      <c r="AG60" s="576"/>
      <c r="AH60" s="576"/>
      <c r="AI60" s="576"/>
      <c r="AJ60" s="576"/>
      <c r="AK60" s="576"/>
      <c r="AL60" s="576"/>
      <c r="AM60" s="576"/>
      <c r="AN60" s="576"/>
      <c r="AO60" s="576"/>
      <c r="AP60" s="576"/>
      <c r="AQ60" s="576"/>
      <c r="AR60" s="576"/>
      <c r="AS60" s="576"/>
      <c r="AT60" s="576"/>
      <c r="AU60" s="576"/>
      <c r="AV60" s="576"/>
      <c r="AW60" s="576"/>
      <c r="AX60" s="576"/>
      <c r="AY60" s="576"/>
      <c r="AZ60" s="576"/>
      <c r="BA60" s="576"/>
      <c r="BB60" s="576"/>
      <c r="BC60" s="576"/>
      <c r="BD60" s="576"/>
      <c r="BE60" s="576"/>
      <c r="BF60" s="576"/>
      <c r="BG60" s="576"/>
      <c r="BH60" s="576"/>
      <c r="BI60" s="576"/>
      <c r="BJ60" s="576"/>
      <c r="BK60" s="576"/>
      <c r="BL60" s="576"/>
      <c r="BM60" s="576"/>
      <c r="BN60" s="576"/>
      <c r="BO60" s="576"/>
      <c r="BP60" s="639"/>
      <c r="BQ60" s="598">
        <f t="shared" si="16"/>
        <v>0</v>
      </c>
      <c r="BR60" s="615"/>
      <c r="BS60" s="616"/>
      <c r="BT60" s="616"/>
      <c r="BU60" s="616"/>
      <c r="BV60" s="616"/>
      <c r="BW60" s="616"/>
      <c r="BX60" s="616"/>
      <c r="BY60" s="616"/>
      <c r="BZ60" s="616"/>
      <c r="CA60" s="616"/>
      <c r="CB60" s="616"/>
      <c r="CC60" s="616"/>
      <c r="CD60" s="616"/>
      <c r="CE60" s="649"/>
      <c r="CF60" s="616"/>
      <c r="CG60" s="616"/>
      <c r="CH60" s="616"/>
      <c r="CI60" s="616"/>
      <c r="CJ60" s="616"/>
      <c r="CK60" s="616"/>
      <c r="CL60" s="616"/>
      <c r="CM60" s="616"/>
      <c r="CN60" s="616"/>
      <c r="CO60" s="616"/>
      <c r="CP60" s="616"/>
      <c r="CQ60" s="667">
        <f t="shared" si="6"/>
        <v>0</v>
      </c>
      <c r="CR60" s="616"/>
      <c r="CS60" s="688"/>
      <c r="CT60" s="688"/>
      <c r="CU60" s="688"/>
      <c r="CV60" s="688"/>
      <c r="CW60" s="616"/>
      <c r="CX60" s="616"/>
      <c r="CY60" s="616"/>
      <c r="CZ60" s="689"/>
      <c r="DA60" s="616"/>
      <c r="DB60" s="616"/>
      <c r="DC60" s="616"/>
      <c r="DD60" s="707"/>
      <c r="DE60" s="616"/>
      <c r="DF60" s="616"/>
      <c r="DG60" s="616"/>
      <c r="DH60" s="616"/>
      <c r="DI60" s="616"/>
      <c r="DJ60" s="616"/>
      <c r="DK60" s="616"/>
      <c r="DL60" s="616"/>
      <c r="DM60" s="616"/>
      <c r="DN60" s="616"/>
      <c r="DO60" s="616"/>
      <c r="DP60" s="563">
        <f t="shared" si="17"/>
        <v>0</v>
      </c>
      <c r="DQ60" s="739">
        <f t="shared" si="18"/>
        <v>0</v>
      </c>
      <c r="DR60" s="616"/>
      <c r="DS60" s="616"/>
      <c r="DT60" s="616"/>
      <c r="DU60" s="616"/>
      <c r="DV60" s="616"/>
      <c r="DW60" s="616"/>
      <c r="DX60" s="616"/>
      <c r="DY60" s="616"/>
      <c r="DZ60" s="616"/>
      <c r="EA60" s="616"/>
      <c r="EB60" s="616"/>
      <c r="EC60" s="616"/>
      <c r="ED60" s="616"/>
      <c r="EE60" s="616"/>
      <c r="EF60" s="616"/>
      <c r="EG60" s="616"/>
      <c r="EH60" s="616"/>
      <c r="EI60" s="616"/>
      <c r="EJ60" s="616"/>
      <c r="EK60" s="616"/>
      <c r="EL60" s="616"/>
      <c r="EM60" s="616"/>
      <c r="EN60" s="616"/>
      <c r="EO60" s="616"/>
      <c r="EP60" s="616"/>
      <c r="EQ60" s="616"/>
      <c r="ER60" s="616"/>
      <c r="ES60" s="616"/>
      <c r="ET60" s="616"/>
      <c r="EU60" s="616"/>
      <c r="EV60" s="616"/>
      <c r="EW60" s="616"/>
      <c r="EX60" s="616"/>
      <c r="EY60" s="616"/>
      <c r="EZ60" s="616"/>
      <c r="FA60" s="616"/>
      <c r="FB60" s="616"/>
      <c r="FC60" s="616"/>
      <c r="FD60" s="616"/>
      <c r="FE60" s="616"/>
      <c r="FF60" s="616"/>
      <c r="FG60" s="616"/>
      <c r="FH60" s="616"/>
      <c r="FI60" s="616"/>
      <c r="FJ60" s="616"/>
      <c r="FK60" s="616"/>
      <c r="FL60" s="616"/>
      <c r="FM60" s="761">
        <f t="shared" si="8"/>
        <v>0</v>
      </c>
      <c r="FN60" s="616"/>
      <c r="FO60" s="616"/>
      <c r="FP60" s="616"/>
      <c r="FQ60" s="616"/>
      <c r="FR60" s="616"/>
      <c r="FS60" s="616"/>
      <c r="FT60" s="616"/>
      <c r="FU60" s="616"/>
      <c r="FV60" s="616"/>
      <c r="FW60" s="616"/>
      <c r="FX60" s="616"/>
      <c r="FY60" s="616"/>
      <c r="FZ60" s="616"/>
      <c r="GA60" s="616"/>
      <c r="GB60" s="616"/>
      <c r="GC60" s="616">
        <f t="shared" si="24"/>
        <v>0</v>
      </c>
      <c r="GD60" s="616"/>
      <c r="GE60" s="616"/>
      <c r="GF60" s="616"/>
      <c r="GG60" s="616"/>
      <c r="GH60" s="616"/>
      <c r="GI60" s="616"/>
      <c r="GJ60" s="616"/>
      <c r="GK60" s="616"/>
      <c r="GL60" s="616"/>
      <c r="GM60" s="616"/>
      <c r="GN60" s="616"/>
      <c r="GO60" s="616"/>
      <c r="GP60" s="616"/>
      <c r="GQ60" s="616"/>
      <c r="GR60" s="616"/>
      <c r="GS60" s="616">
        <f t="shared" si="25"/>
        <v>0</v>
      </c>
      <c r="GT60" s="616"/>
      <c r="GU60" s="616"/>
      <c r="GV60" s="616"/>
      <c r="GW60" s="616"/>
      <c r="GX60" s="616"/>
      <c r="GY60" s="616"/>
      <c r="GZ60" s="616"/>
      <c r="HA60" s="616"/>
      <c r="HB60" s="616"/>
      <c r="HC60" s="616"/>
      <c r="HD60" s="616">
        <f t="shared" si="26"/>
        <v>0</v>
      </c>
      <c r="HE60" s="616">
        <f t="shared" si="20"/>
        <v>0</v>
      </c>
      <c r="HF60" s="616">
        <f t="shared" si="22"/>
        <v>0</v>
      </c>
      <c r="HG60" s="616">
        <f t="shared" si="23"/>
        <v>0</v>
      </c>
      <c r="HH60" s="739"/>
      <c r="HI60" s="804">
        <f t="shared" si="13"/>
        <v>0</v>
      </c>
      <c r="HJ60" s="819">
        <f t="shared" si="15"/>
        <v>0</v>
      </c>
      <c r="HK60" s="803">
        <f t="shared" si="21"/>
        <v>0</v>
      </c>
    </row>
    <row r="61" spans="1:257">
      <c r="B61" s="517" t="s">
        <v>318</v>
      </c>
      <c r="C61" s="564" t="s">
        <v>319</v>
      </c>
      <c r="D61" s="565"/>
      <c r="E61" s="540"/>
      <c r="F61" s="540"/>
      <c r="G61" s="540"/>
      <c r="H61" s="540"/>
      <c r="I61" s="573"/>
      <c r="J61" s="573"/>
      <c r="K61" s="573"/>
      <c r="L61" s="573"/>
      <c r="M61" s="573"/>
      <c r="N61" s="573"/>
      <c r="O61" s="573"/>
      <c r="P61" s="573"/>
      <c r="Q61" s="573"/>
      <c r="R61" s="573"/>
      <c r="S61" s="573"/>
      <c r="T61" s="573"/>
      <c r="U61" s="573"/>
      <c r="V61" s="573"/>
      <c r="W61" s="573"/>
      <c r="X61" s="573"/>
      <c r="Y61" s="573"/>
      <c r="Z61" s="573"/>
      <c r="AA61" s="573"/>
      <c r="AB61" s="573"/>
      <c r="AC61" s="573"/>
      <c r="AD61" s="573"/>
      <c r="AE61" s="573"/>
      <c r="AF61" s="573"/>
      <c r="AG61" s="573"/>
      <c r="AH61" s="573"/>
      <c r="AI61" s="573"/>
      <c r="AJ61" s="573"/>
      <c r="AK61" s="573"/>
      <c r="AL61" s="573"/>
      <c r="AM61" s="573"/>
      <c r="AN61" s="573"/>
      <c r="AO61" s="573"/>
      <c r="AP61" s="573"/>
      <c r="AQ61" s="573"/>
      <c r="AR61" s="573"/>
      <c r="AS61" s="573"/>
      <c r="AT61" s="573"/>
      <c r="AU61" s="573"/>
      <c r="AV61" s="573"/>
      <c r="AW61" s="573"/>
      <c r="AX61" s="573"/>
      <c r="AY61" s="573"/>
      <c r="AZ61" s="573"/>
      <c r="BA61" s="573"/>
      <c r="BB61" s="573"/>
      <c r="BC61" s="573"/>
      <c r="BD61" s="573"/>
      <c r="BE61" s="573"/>
      <c r="BF61" s="573"/>
      <c r="BG61" s="573"/>
      <c r="BH61" s="573"/>
      <c r="BI61" s="573"/>
      <c r="BJ61" s="573"/>
      <c r="BK61" s="573"/>
      <c r="BL61" s="573"/>
      <c r="BM61" s="573"/>
      <c r="BN61" s="573"/>
      <c r="BO61" s="573"/>
      <c r="BP61" s="640"/>
      <c r="BQ61" s="600">
        <f t="shared" si="16"/>
        <v>0</v>
      </c>
      <c r="BR61" s="618"/>
      <c r="BS61" s="619"/>
      <c r="BT61" s="619"/>
      <c r="BU61" s="619"/>
      <c r="BV61" s="619"/>
      <c r="BW61" s="619"/>
      <c r="BX61" s="619"/>
      <c r="BY61" s="619"/>
      <c r="BZ61" s="619"/>
      <c r="CA61" s="619"/>
      <c r="CB61" s="619"/>
      <c r="CC61" s="619"/>
      <c r="CD61" s="619"/>
      <c r="CE61" s="650"/>
      <c r="CF61" s="619"/>
      <c r="CG61" s="619"/>
      <c r="CH61" s="619"/>
      <c r="CI61" s="619"/>
      <c r="CJ61" s="619"/>
      <c r="CK61" s="619"/>
      <c r="CL61" s="619"/>
      <c r="CM61" s="619"/>
      <c r="CN61" s="619"/>
      <c r="CO61" s="619"/>
      <c r="CP61" s="619"/>
      <c r="CQ61" s="668">
        <f t="shared" si="6"/>
        <v>0</v>
      </c>
      <c r="CR61" s="619"/>
      <c r="CS61" s="690"/>
      <c r="CT61" s="690"/>
      <c r="CU61" s="690"/>
      <c r="CV61" s="690"/>
      <c r="CW61" s="619"/>
      <c r="CX61" s="619"/>
      <c r="CY61" s="619"/>
      <c r="CZ61" s="691"/>
      <c r="DA61" s="619"/>
      <c r="DB61" s="619"/>
      <c r="DC61" s="619"/>
      <c r="DD61" s="710"/>
      <c r="DE61" s="619"/>
      <c r="DF61" s="619"/>
      <c r="DG61" s="619"/>
      <c r="DH61" s="619"/>
      <c r="DI61" s="619"/>
      <c r="DJ61" s="619"/>
      <c r="DK61" s="619"/>
      <c r="DL61" s="619"/>
      <c r="DM61" s="619"/>
      <c r="DN61" s="619"/>
      <c r="DO61" s="619"/>
      <c r="DP61" s="565">
        <f t="shared" si="17"/>
        <v>0</v>
      </c>
      <c r="DQ61" s="741">
        <f t="shared" si="18"/>
        <v>0</v>
      </c>
      <c r="DR61" s="619"/>
      <c r="DS61" s="619"/>
      <c r="DT61" s="619"/>
      <c r="DU61" s="619"/>
      <c r="DV61" s="619"/>
      <c r="DW61" s="619"/>
      <c r="DX61" s="619"/>
      <c r="DY61" s="619"/>
      <c r="DZ61" s="619"/>
      <c r="EA61" s="619"/>
      <c r="EB61" s="619"/>
      <c r="EC61" s="619"/>
      <c r="ED61" s="619"/>
      <c r="EE61" s="619"/>
      <c r="EF61" s="619"/>
      <c r="EG61" s="619"/>
      <c r="EH61" s="619"/>
      <c r="EI61" s="619"/>
      <c r="EJ61" s="619"/>
      <c r="EK61" s="619"/>
      <c r="EL61" s="619"/>
      <c r="EM61" s="619"/>
      <c r="EN61" s="619"/>
      <c r="EO61" s="619"/>
      <c r="EP61" s="619"/>
      <c r="EQ61" s="619"/>
      <c r="ER61" s="619"/>
      <c r="ES61" s="619"/>
      <c r="ET61" s="619"/>
      <c r="EU61" s="619"/>
      <c r="EV61" s="619"/>
      <c r="EW61" s="619"/>
      <c r="EX61" s="619"/>
      <c r="EY61" s="619"/>
      <c r="EZ61" s="619"/>
      <c r="FA61" s="619"/>
      <c r="FB61" s="619"/>
      <c r="FC61" s="619"/>
      <c r="FD61" s="619"/>
      <c r="FE61" s="619"/>
      <c r="FF61" s="619"/>
      <c r="FG61" s="619"/>
      <c r="FH61" s="619"/>
      <c r="FI61" s="619"/>
      <c r="FJ61" s="619"/>
      <c r="FK61" s="619"/>
      <c r="FL61" s="619"/>
      <c r="FM61" s="762">
        <f t="shared" si="8"/>
        <v>0</v>
      </c>
      <c r="FN61" s="619"/>
      <c r="FO61" s="619"/>
      <c r="FP61" s="619"/>
      <c r="FQ61" s="619"/>
      <c r="FR61" s="619"/>
      <c r="FS61" s="619"/>
      <c r="FT61" s="619"/>
      <c r="FU61" s="619"/>
      <c r="FV61" s="619"/>
      <c r="FW61" s="619"/>
      <c r="FX61" s="619"/>
      <c r="FY61" s="619"/>
      <c r="FZ61" s="619"/>
      <c r="GA61" s="619"/>
      <c r="GB61" s="619"/>
      <c r="GC61" s="619">
        <f t="shared" si="24"/>
        <v>0</v>
      </c>
      <c r="GD61" s="619"/>
      <c r="GE61" s="619"/>
      <c r="GF61" s="619"/>
      <c r="GG61" s="619"/>
      <c r="GH61" s="619"/>
      <c r="GI61" s="619"/>
      <c r="GJ61" s="619"/>
      <c r="GK61" s="619"/>
      <c r="GL61" s="619"/>
      <c r="GM61" s="619"/>
      <c r="GN61" s="619"/>
      <c r="GO61" s="619"/>
      <c r="GP61" s="619"/>
      <c r="GQ61" s="619"/>
      <c r="GR61" s="619"/>
      <c r="GS61" s="619">
        <f t="shared" si="25"/>
        <v>0</v>
      </c>
      <c r="GT61" s="619"/>
      <c r="GU61" s="619"/>
      <c r="GV61" s="619"/>
      <c r="GW61" s="619"/>
      <c r="GX61" s="619"/>
      <c r="GY61" s="619"/>
      <c r="GZ61" s="619"/>
      <c r="HA61" s="619"/>
      <c r="HB61" s="619"/>
      <c r="HC61" s="619"/>
      <c r="HD61" s="619">
        <f t="shared" si="26"/>
        <v>0</v>
      </c>
      <c r="HE61" s="619">
        <f t="shared" si="20"/>
        <v>0</v>
      </c>
      <c r="HF61" s="619">
        <f t="shared" si="22"/>
        <v>0</v>
      </c>
      <c r="HG61" s="619">
        <f t="shared" si="23"/>
        <v>0</v>
      </c>
      <c r="HH61" s="741"/>
      <c r="HI61" s="804">
        <f t="shared" si="13"/>
        <v>0</v>
      </c>
      <c r="HJ61" s="820">
        <f t="shared" si="15"/>
        <v>0</v>
      </c>
      <c r="HK61" s="803">
        <f t="shared" si="21"/>
        <v>0</v>
      </c>
    </row>
    <row r="62" spans="1:257">
      <c r="B62" s="555" t="s">
        <v>320</v>
      </c>
      <c r="C62" s="527" t="s">
        <v>321</v>
      </c>
      <c r="D62" s="528"/>
      <c r="E62" s="566"/>
      <c r="F62" s="567"/>
      <c r="G62" s="567"/>
      <c r="H62" s="567"/>
      <c r="I62" s="580"/>
      <c r="J62" s="580"/>
      <c r="K62" s="580"/>
      <c r="L62" s="580"/>
      <c r="M62" s="580"/>
      <c r="N62" s="580"/>
      <c r="O62" s="580"/>
      <c r="P62" s="580"/>
      <c r="Q62" s="580"/>
      <c r="R62" s="580"/>
      <c r="S62" s="580"/>
      <c r="T62" s="580"/>
      <c r="U62" s="580"/>
      <c r="V62" s="580"/>
      <c r="W62" s="580"/>
      <c r="X62" s="580"/>
      <c r="Y62" s="590"/>
      <c r="Z62" s="590"/>
      <c r="AA62" s="590"/>
      <c r="AB62" s="590"/>
      <c r="AC62" s="590"/>
      <c r="AD62" s="590"/>
      <c r="AE62" s="590"/>
      <c r="AF62" s="590"/>
      <c r="AG62" s="590"/>
      <c r="AH62" s="590"/>
      <c r="AI62" s="590"/>
      <c r="AJ62" s="590"/>
      <c r="AK62" s="590"/>
      <c r="AL62" s="590"/>
      <c r="AM62" s="590"/>
      <c r="AN62" s="590"/>
      <c r="AO62" s="590"/>
      <c r="AP62" s="590"/>
      <c r="AQ62" s="590"/>
      <c r="AR62" s="590"/>
      <c r="AS62" s="590"/>
      <c r="AT62" s="590"/>
      <c r="AU62" s="590"/>
      <c r="AV62" s="590"/>
      <c r="AW62" s="590"/>
      <c r="AX62" s="590"/>
      <c r="AY62" s="590"/>
      <c r="AZ62" s="590"/>
      <c r="BA62" s="590"/>
      <c r="BB62" s="590"/>
      <c r="BC62" s="590"/>
      <c r="BD62" s="590"/>
      <c r="BE62" s="590"/>
      <c r="BF62" s="590"/>
      <c r="BG62" s="590"/>
      <c r="BH62" s="590"/>
      <c r="BI62" s="590"/>
      <c r="BJ62" s="590"/>
      <c r="BK62" s="590"/>
      <c r="BL62" s="590"/>
      <c r="BM62" s="590"/>
      <c r="BN62" s="590"/>
      <c r="BO62" s="590"/>
      <c r="BP62" s="641"/>
      <c r="BQ62" s="596">
        <f t="shared" si="16"/>
        <v>0</v>
      </c>
      <c r="BR62" s="613"/>
      <c r="BS62" s="614"/>
      <c r="BT62" s="614"/>
      <c r="BU62" s="614"/>
      <c r="BV62" s="614"/>
      <c r="BW62" s="614"/>
      <c r="BX62" s="614"/>
      <c r="BY62" s="614"/>
      <c r="BZ62" s="614"/>
      <c r="CA62" s="647"/>
      <c r="CB62" s="614"/>
      <c r="CC62" s="614"/>
      <c r="CD62" s="614"/>
      <c r="CE62" s="648"/>
      <c r="CF62" s="614"/>
      <c r="CG62" s="614"/>
      <c r="CH62" s="614"/>
      <c r="CI62" s="614"/>
      <c r="CJ62" s="614"/>
      <c r="CK62" s="614"/>
      <c r="CL62" s="614"/>
      <c r="CM62" s="614"/>
      <c r="CN62" s="614"/>
      <c r="CO62" s="614"/>
      <c r="CP62" s="614"/>
      <c r="CQ62" s="666">
        <f t="shared" si="6"/>
        <v>0</v>
      </c>
      <c r="CR62" s="614"/>
      <c r="CS62" s="686"/>
      <c r="CT62" s="686"/>
      <c r="CU62" s="686"/>
      <c r="CV62" s="686"/>
      <c r="CW62" s="614"/>
      <c r="CX62" s="614"/>
      <c r="CY62" s="614"/>
      <c r="CZ62" s="687"/>
      <c r="DA62" s="614"/>
      <c r="DB62" s="614"/>
      <c r="DC62" s="614"/>
      <c r="DD62" s="712"/>
      <c r="DE62" s="614"/>
      <c r="DF62" s="614"/>
      <c r="DG62" s="614"/>
      <c r="DH62" s="614"/>
      <c r="DI62" s="614"/>
      <c r="DJ62" s="614"/>
      <c r="DK62" s="614"/>
      <c r="DL62" s="614"/>
      <c r="DM62" s="614"/>
      <c r="DN62" s="614"/>
      <c r="DO62" s="614"/>
      <c r="DP62" s="724">
        <f t="shared" si="17"/>
        <v>0</v>
      </c>
      <c r="DQ62" s="744">
        <f t="shared" si="18"/>
        <v>0</v>
      </c>
      <c r="DR62" s="614"/>
      <c r="DS62" s="614"/>
      <c r="DT62" s="614"/>
      <c r="DU62" s="614"/>
      <c r="DV62" s="614"/>
      <c r="DW62" s="614"/>
      <c r="DX62" s="614"/>
      <c r="DY62" s="614"/>
      <c r="DZ62" s="614"/>
      <c r="EA62" s="614"/>
      <c r="EB62" s="614"/>
      <c r="EC62" s="614"/>
      <c r="ED62" s="614"/>
      <c r="EE62" s="614"/>
      <c r="EF62" s="614"/>
      <c r="EG62" s="614"/>
      <c r="EH62" s="614"/>
      <c r="EI62" s="614"/>
      <c r="EJ62" s="614"/>
      <c r="EK62" s="614"/>
      <c r="EL62" s="614"/>
      <c r="EM62" s="614"/>
      <c r="EN62" s="614"/>
      <c r="EO62" s="614"/>
      <c r="EP62" s="614"/>
      <c r="EQ62" s="614"/>
      <c r="ER62" s="614"/>
      <c r="ES62" s="614"/>
      <c r="ET62" s="614"/>
      <c r="EU62" s="614"/>
      <c r="EV62" s="614"/>
      <c r="EW62" s="614"/>
      <c r="EX62" s="614"/>
      <c r="EY62" s="614"/>
      <c r="EZ62" s="614"/>
      <c r="FA62" s="614"/>
      <c r="FB62" s="614"/>
      <c r="FC62" s="614"/>
      <c r="FD62" s="614"/>
      <c r="FE62" s="614"/>
      <c r="FF62" s="614"/>
      <c r="FG62" s="614"/>
      <c r="FH62" s="614"/>
      <c r="FI62" s="614"/>
      <c r="FJ62" s="614"/>
      <c r="FK62" s="614"/>
      <c r="FL62" s="614"/>
      <c r="FM62" s="764">
        <f t="shared" si="8"/>
        <v>0</v>
      </c>
      <c r="FN62" s="614"/>
      <c r="FO62" s="614"/>
      <c r="FP62" s="614"/>
      <c r="FQ62" s="614"/>
      <c r="FR62" s="614"/>
      <c r="FS62" s="614"/>
      <c r="FT62" s="614"/>
      <c r="FU62" s="614"/>
      <c r="FV62" s="614"/>
      <c r="FW62" s="614"/>
      <c r="FX62" s="614"/>
      <c r="FY62" s="614"/>
      <c r="FZ62" s="614"/>
      <c r="GA62" s="614"/>
      <c r="GB62" s="614"/>
      <c r="GC62" s="614">
        <f t="shared" si="2"/>
        <v>0</v>
      </c>
      <c r="GD62" s="614"/>
      <c r="GE62" s="614"/>
      <c r="GF62" s="614"/>
      <c r="GG62" s="614"/>
      <c r="GH62" s="614"/>
      <c r="GI62" s="614"/>
      <c r="GJ62" s="614"/>
      <c r="GK62" s="614"/>
      <c r="GL62" s="614"/>
      <c r="GM62" s="614"/>
      <c r="GN62" s="614"/>
      <c r="GO62" s="614"/>
      <c r="GP62" s="614"/>
      <c r="GQ62" s="614"/>
      <c r="GR62" s="614"/>
      <c r="GS62" s="614">
        <f t="shared" si="3"/>
        <v>0</v>
      </c>
      <c r="GT62" s="614"/>
      <c r="GU62" s="614"/>
      <c r="GV62" s="614"/>
      <c r="GW62" s="614"/>
      <c r="GX62" s="614"/>
      <c r="GY62" s="614"/>
      <c r="GZ62" s="614"/>
      <c r="HA62" s="614"/>
      <c r="HB62" s="614"/>
      <c r="HC62" s="614"/>
      <c r="HD62" s="614">
        <f t="shared" si="19"/>
        <v>0</v>
      </c>
      <c r="HE62" s="614">
        <f t="shared" si="20"/>
        <v>0</v>
      </c>
      <c r="HF62" s="614">
        <f t="shared" si="22"/>
        <v>0</v>
      </c>
      <c r="HG62" s="614">
        <f t="shared" si="23"/>
        <v>0</v>
      </c>
      <c r="HH62" s="738"/>
      <c r="HI62" s="804">
        <f t="shared" si="13"/>
        <v>0</v>
      </c>
      <c r="HJ62" s="822">
        <f t="shared" si="15"/>
        <v>0</v>
      </c>
      <c r="HK62" s="803">
        <f t="shared" si="21"/>
        <v>0</v>
      </c>
    </row>
    <row r="63" spans="1:257">
      <c r="B63" s="499" t="s">
        <v>322</v>
      </c>
      <c r="C63" s="500" t="s">
        <v>323</v>
      </c>
      <c r="D63" s="532"/>
      <c r="E63" s="550"/>
      <c r="F63" s="551"/>
      <c r="G63" s="551"/>
      <c r="H63" s="551"/>
      <c r="I63" s="576"/>
      <c r="J63" s="576"/>
      <c r="K63" s="576"/>
      <c r="L63" s="576"/>
      <c r="M63" s="576"/>
      <c r="N63" s="576"/>
      <c r="O63" s="576"/>
      <c r="P63" s="576"/>
      <c r="Q63" s="576"/>
      <c r="R63" s="576"/>
      <c r="S63" s="576"/>
      <c r="T63" s="576"/>
      <c r="U63" s="576"/>
      <c r="V63" s="576"/>
      <c r="W63" s="576"/>
      <c r="X63" s="576"/>
      <c r="Y63" s="589"/>
      <c r="Z63" s="589"/>
      <c r="AA63" s="589"/>
      <c r="AB63" s="589"/>
      <c r="AC63" s="589"/>
      <c r="AD63" s="589"/>
      <c r="AE63" s="589"/>
      <c r="AF63" s="589"/>
      <c r="AG63" s="589"/>
      <c r="AH63" s="589"/>
      <c r="AI63" s="589"/>
      <c r="AJ63" s="589"/>
      <c r="AK63" s="589"/>
      <c r="AL63" s="589"/>
      <c r="AM63" s="589"/>
      <c r="AN63" s="589"/>
      <c r="AO63" s="589"/>
      <c r="AP63" s="589"/>
      <c r="AQ63" s="589"/>
      <c r="AR63" s="589"/>
      <c r="AS63" s="589"/>
      <c r="AT63" s="589"/>
      <c r="AU63" s="589"/>
      <c r="AV63" s="589"/>
      <c r="AW63" s="589"/>
      <c r="AX63" s="589"/>
      <c r="AY63" s="589"/>
      <c r="AZ63" s="589"/>
      <c r="BA63" s="589"/>
      <c r="BB63" s="589"/>
      <c r="BC63" s="589"/>
      <c r="BD63" s="589"/>
      <c r="BE63" s="589"/>
      <c r="BF63" s="589"/>
      <c r="BG63" s="589"/>
      <c r="BH63" s="589"/>
      <c r="BI63" s="589"/>
      <c r="BJ63" s="589"/>
      <c r="BK63" s="589"/>
      <c r="BL63" s="589"/>
      <c r="BM63" s="589"/>
      <c r="BN63" s="589"/>
      <c r="BO63" s="589"/>
      <c r="BP63" s="626"/>
      <c r="BQ63" s="598">
        <f t="shared" si="16"/>
        <v>0</v>
      </c>
      <c r="BR63" s="615"/>
      <c r="BS63" s="616"/>
      <c r="BT63" s="616"/>
      <c r="BU63" s="616"/>
      <c r="BV63" s="616"/>
      <c r="BW63" s="616"/>
      <c r="BX63" s="616"/>
      <c r="BY63" s="616"/>
      <c r="BZ63" s="616"/>
      <c r="CA63" s="616"/>
      <c r="CB63" s="616"/>
      <c r="CC63" s="616"/>
      <c r="CD63" s="616"/>
      <c r="CE63" s="649"/>
      <c r="CF63" s="616"/>
      <c r="CG63" s="616"/>
      <c r="CH63" s="616"/>
      <c r="CI63" s="616"/>
      <c r="CJ63" s="616"/>
      <c r="CK63" s="616"/>
      <c r="CL63" s="616"/>
      <c r="CM63" s="616"/>
      <c r="CN63" s="616"/>
      <c r="CO63" s="616"/>
      <c r="CP63" s="616"/>
      <c r="CQ63" s="667">
        <f t="shared" si="6"/>
        <v>0</v>
      </c>
      <c r="CR63" s="616"/>
      <c r="CS63" s="688"/>
      <c r="CT63" s="688"/>
      <c r="CU63" s="688"/>
      <c r="CV63" s="688"/>
      <c r="CW63" s="616"/>
      <c r="CX63" s="616"/>
      <c r="CY63" s="616"/>
      <c r="CZ63" s="689"/>
      <c r="DA63" s="616"/>
      <c r="DB63" s="616"/>
      <c r="DC63" s="616"/>
      <c r="DD63" s="707"/>
      <c r="DE63" s="616"/>
      <c r="DF63" s="616"/>
      <c r="DG63" s="616"/>
      <c r="DH63" s="616"/>
      <c r="DI63" s="616"/>
      <c r="DJ63" s="616"/>
      <c r="DK63" s="616"/>
      <c r="DL63" s="616"/>
      <c r="DM63" s="616"/>
      <c r="DN63" s="616"/>
      <c r="DO63" s="616"/>
      <c r="DP63" s="563">
        <f t="shared" si="17"/>
        <v>0</v>
      </c>
      <c r="DQ63" s="739">
        <f t="shared" si="18"/>
        <v>0</v>
      </c>
      <c r="DR63" s="616"/>
      <c r="DS63" s="616"/>
      <c r="DT63" s="616"/>
      <c r="DU63" s="616"/>
      <c r="DV63" s="616"/>
      <c r="DW63" s="616"/>
      <c r="DX63" s="616"/>
      <c r="DY63" s="616"/>
      <c r="DZ63" s="616"/>
      <c r="EA63" s="616"/>
      <c r="EB63" s="616"/>
      <c r="EC63" s="616"/>
      <c r="ED63" s="616"/>
      <c r="EE63" s="616"/>
      <c r="EF63" s="616"/>
      <c r="EG63" s="616"/>
      <c r="EH63" s="616"/>
      <c r="EI63" s="616"/>
      <c r="EJ63" s="616"/>
      <c r="EK63" s="616"/>
      <c r="EL63" s="616"/>
      <c r="EM63" s="616"/>
      <c r="EN63" s="616"/>
      <c r="EO63" s="616"/>
      <c r="EP63" s="616"/>
      <c r="EQ63" s="616"/>
      <c r="ER63" s="616"/>
      <c r="ES63" s="616"/>
      <c r="ET63" s="616"/>
      <c r="EU63" s="616"/>
      <c r="EV63" s="616"/>
      <c r="EW63" s="616"/>
      <c r="EX63" s="616"/>
      <c r="EY63" s="616"/>
      <c r="EZ63" s="616"/>
      <c r="FA63" s="616"/>
      <c r="FB63" s="616"/>
      <c r="FC63" s="616"/>
      <c r="FD63" s="616"/>
      <c r="FE63" s="616"/>
      <c r="FF63" s="616"/>
      <c r="FG63" s="616"/>
      <c r="FH63" s="616"/>
      <c r="FI63" s="616"/>
      <c r="FJ63" s="616"/>
      <c r="FK63" s="616"/>
      <c r="FL63" s="616"/>
      <c r="FM63" s="761">
        <f t="shared" si="8"/>
        <v>0</v>
      </c>
      <c r="FN63" s="616"/>
      <c r="FO63" s="616"/>
      <c r="FP63" s="616"/>
      <c r="FQ63" s="616"/>
      <c r="FR63" s="616"/>
      <c r="FS63" s="616"/>
      <c r="FT63" s="616"/>
      <c r="FU63" s="616"/>
      <c r="FV63" s="616"/>
      <c r="FW63" s="616"/>
      <c r="FX63" s="616"/>
      <c r="FY63" s="616"/>
      <c r="FZ63" s="616"/>
      <c r="GA63" s="616"/>
      <c r="GB63" s="616"/>
      <c r="GC63" s="616">
        <f t="shared" si="2"/>
        <v>0</v>
      </c>
      <c r="GD63" s="616"/>
      <c r="GE63" s="616"/>
      <c r="GF63" s="616"/>
      <c r="GG63" s="616"/>
      <c r="GH63" s="616"/>
      <c r="GI63" s="616"/>
      <c r="GJ63" s="616"/>
      <c r="GK63" s="616"/>
      <c r="GL63" s="616"/>
      <c r="GM63" s="616"/>
      <c r="GN63" s="616"/>
      <c r="GO63" s="616"/>
      <c r="GP63" s="616"/>
      <c r="GQ63" s="616"/>
      <c r="GR63" s="616"/>
      <c r="GS63" s="616">
        <f t="shared" si="3"/>
        <v>0</v>
      </c>
      <c r="GT63" s="616"/>
      <c r="GU63" s="616"/>
      <c r="GV63" s="616"/>
      <c r="GW63" s="616"/>
      <c r="GX63" s="616"/>
      <c r="GY63" s="616"/>
      <c r="GZ63" s="616"/>
      <c r="HA63" s="616"/>
      <c r="HB63" s="616"/>
      <c r="HC63" s="616"/>
      <c r="HD63" s="616">
        <f t="shared" si="19"/>
        <v>0</v>
      </c>
      <c r="HE63" s="616">
        <f t="shared" si="20"/>
        <v>0</v>
      </c>
      <c r="HF63" s="616">
        <f t="shared" si="22"/>
        <v>0</v>
      </c>
      <c r="HG63" s="616">
        <f t="shared" si="23"/>
        <v>0</v>
      </c>
      <c r="HH63" s="739"/>
      <c r="HI63" s="804">
        <f t="shared" si="13"/>
        <v>0</v>
      </c>
      <c r="HJ63" s="819">
        <f t="shared" si="15"/>
        <v>0</v>
      </c>
      <c r="HK63" s="803">
        <f t="shared" si="21"/>
        <v>0</v>
      </c>
    </row>
    <row r="64" spans="1:257">
      <c r="B64" s="499" t="s">
        <v>324</v>
      </c>
      <c r="C64" s="500" t="s">
        <v>325</v>
      </c>
      <c r="D64" s="532"/>
      <c r="E64" s="550"/>
      <c r="F64" s="551"/>
      <c r="G64" s="551"/>
      <c r="H64" s="551"/>
      <c r="I64" s="576"/>
      <c r="J64" s="576"/>
      <c r="K64" s="576"/>
      <c r="L64" s="576"/>
      <c r="M64" s="576"/>
      <c r="N64" s="576"/>
      <c r="O64" s="576"/>
      <c r="P64" s="576"/>
      <c r="Q64" s="576"/>
      <c r="R64" s="576"/>
      <c r="S64" s="576"/>
      <c r="T64" s="576"/>
      <c r="U64" s="576"/>
      <c r="V64" s="576"/>
      <c r="W64" s="576"/>
      <c r="X64" s="576"/>
      <c r="Y64" s="589"/>
      <c r="Z64" s="589"/>
      <c r="AA64" s="589"/>
      <c r="AB64" s="589"/>
      <c r="AC64" s="589"/>
      <c r="AD64" s="589"/>
      <c r="AE64" s="589"/>
      <c r="AF64" s="589"/>
      <c r="AG64" s="589"/>
      <c r="AH64" s="589"/>
      <c r="AI64" s="589"/>
      <c r="AJ64" s="589"/>
      <c r="AK64" s="589"/>
      <c r="AL64" s="589"/>
      <c r="AM64" s="589"/>
      <c r="AN64" s="589"/>
      <c r="AO64" s="589"/>
      <c r="AP64" s="589"/>
      <c r="AQ64" s="589"/>
      <c r="AR64" s="589"/>
      <c r="AS64" s="589"/>
      <c r="AT64" s="589"/>
      <c r="AU64" s="589"/>
      <c r="AV64" s="589"/>
      <c r="AW64" s="589"/>
      <c r="AX64" s="589"/>
      <c r="AY64" s="589"/>
      <c r="AZ64" s="589"/>
      <c r="BA64" s="589"/>
      <c r="BB64" s="589"/>
      <c r="BC64" s="589"/>
      <c r="BD64" s="589"/>
      <c r="BE64" s="589"/>
      <c r="BF64" s="589"/>
      <c r="BG64" s="589"/>
      <c r="BH64" s="589"/>
      <c r="BI64" s="589"/>
      <c r="BJ64" s="589"/>
      <c r="BK64" s="589"/>
      <c r="BL64" s="589"/>
      <c r="BM64" s="589"/>
      <c r="BN64" s="589"/>
      <c r="BO64" s="589"/>
      <c r="BP64" s="626"/>
      <c r="BQ64" s="598">
        <f t="shared" si="16"/>
        <v>0</v>
      </c>
      <c r="BR64" s="615"/>
      <c r="BS64" s="616"/>
      <c r="BT64" s="616"/>
      <c r="BU64" s="616"/>
      <c r="BV64" s="616"/>
      <c r="BW64" s="616"/>
      <c r="BX64" s="616"/>
      <c r="BY64" s="616"/>
      <c r="BZ64" s="616"/>
      <c r="CA64" s="643"/>
      <c r="CB64" s="616"/>
      <c r="CC64" s="616"/>
      <c r="CD64" s="616"/>
      <c r="CE64" s="649"/>
      <c r="CF64" s="616"/>
      <c r="CG64" s="616"/>
      <c r="CH64" s="616"/>
      <c r="CI64" s="616"/>
      <c r="CJ64" s="616"/>
      <c r="CK64" s="616"/>
      <c r="CL64" s="616"/>
      <c r="CM64" s="616"/>
      <c r="CN64" s="616"/>
      <c r="CO64" s="616"/>
      <c r="CP64" s="616"/>
      <c r="CQ64" s="667">
        <f t="shared" si="6"/>
        <v>0</v>
      </c>
      <c r="CR64" s="616"/>
      <c r="CS64" s="688"/>
      <c r="CT64" s="688"/>
      <c r="CU64" s="688"/>
      <c r="CV64" s="688"/>
      <c r="CW64" s="616"/>
      <c r="CX64" s="616"/>
      <c r="CY64" s="616"/>
      <c r="CZ64" s="689"/>
      <c r="DA64" s="616"/>
      <c r="DB64" s="616"/>
      <c r="DC64" s="616"/>
      <c r="DD64" s="707"/>
      <c r="DE64" s="616"/>
      <c r="DF64" s="616"/>
      <c r="DG64" s="616"/>
      <c r="DH64" s="616"/>
      <c r="DI64" s="616"/>
      <c r="DJ64" s="616"/>
      <c r="DK64" s="616"/>
      <c r="DL64" s="616"/>
      <c r="DM64" s="616"/>
      <c r="DN64" s="616"/>
      <c r="DO64" s="616"/>
      <c r="DP64" s="563">
        <f t="shared" si="17"/>
        <v>0</v>
      </c>
      <c r="DQ64" s="739">
        <f t="shared" si="18"/>
        <v>0</v>
      </c>
      <c r="DR64" s="616"/>
      <c r="DS64" s="616"/>
      <c r="DT64" s="616"/>
      <c r="DU64" s="616"/>
      <c r="DV64" s="616"/>
      <c r="DW64" s="616"/>
      <c r="DX64" s="616"/>
      <c r="DY64" s="616"/>
      <c r="DZ64" s="616"/>
      <c r="EA64" s="616"/>
      <c r="EB64" s="616"/>
      <c r="EC64" s="616"/>
      <c r="ED64" s="616"/>
      <c r="EE64" s="616"/>
      <c r="EF64" s="616"/>
      <c r="EG64" s="616"/>
      <c r="EH64" s="616"/>
      <c r="EI64" s="616"/>
      <c r="EJ64" s="616"/>
      <c r="EK64" s="616"/>
      <c r="EL64" s="616"/>
      <c r="EM64" s="616"/>
      <c r="EN64" s="616"/>
      <c r="EO64" s="616"/>
      <c r="EP64" s="616"/>
      <c r="EQ64" s="616"/>
      <c r="ER64" s="616"/>
      <c r="ES64" s="616"/>
      <c r="ET64" s="616"/>
      <c r="EU64" s="616"/>
      <c r="EV64" s="616"/>
      <c r="EW64" s="616"/>
      <c r="EX64" s="616"/>
      <c r="EY64" s="616"/>
      <c r="EZ64" s="616"/>
      <c r="FA64" s="616"/>
      <c r="FB64" s="616"/>
      <c r="FC64" s="616"/>
      <c r="FD64" s="616"/>
      <c r="FE64" s="616"/>
      <c r="FF64" s="616"/>
      <c r="FG64" s="616"/>
      <c r="FH64" s="616"/>
      <c r="FI64" s="616"/>
      <c r="FJ64" s="616"/>
      <c r="FK64" s="616"/>
      <c r="FL64" s="616"/>
      <c r="FM64" s="761">
        <f t="shared" si="8"/>
        <v>0</v>
      </c>
      <c r="FN64" s="616"/>
      <c r="FO64" s="616"/>
      <c r="FP64" s="616"/>
      <c r="FQ64" s="616"/>
      <c r="FR64" s="616"/>
      <c r="FS64" s="616"/>
      <c r="FT64" s="616"/>
      <c r="FU64" s="616"/>
      <c r="FV64" s="616"/>
      <c r="FW64" s="616"/>
      <c r="FX64" s="616"/>
      <c r="FY64" s="616"/>
      <c r="FZ64" s="616"/>
      <c r="GA64" s="616"/>
      <c r="GB64" s="616"/>
      <c r="GC64" s="616">
        <f t="shared" si="2"/>
        <v>0</v>
      </c>
      <c r="GD64" s="616"/>
      <c r="GE64" s="616"/>
      <c r="GF64" s="616"/>
      <c r="GG64" s="616"/>
      <c r="GH64" s="616"/>
      <c r="GI64" s="616"/>
      <c r="GJ64" s="616"/>
      <c r="GK64" s="616"/>
      <c r="GL64" s="616"/>
      <c r="GM64" s="616"/>
      <c r="GN64" s="616"/>
      <c r="GO64" s="616"/>
      <c r="GP64" s="616"/>
      <c r="GQ64" s="616"/>
      <c r="GR64" s="616"/>
      <c r="GS64" s="616">
        <f t="shared" si="3"/>
        <v>0</v>
      </c>
      <c r="GT64" s="616"/>
      <c r="GU64" s="616"/>
      <c r="GV64" s="616"/>
      <c r="GW64" s="616"/>
      <c r="GX64" s="616"/>
      <c r="GY64" s="616"/>
      <c r="GZ64" s="616"/>
      <c r="HA64" s="616"/>
      <c r="HB64" s="616"/>
      <c r="HC64" s="616"/>
      <c r="HD64" s="616">
        <f t="shared" si="19"/>
        <v>0</v>
      </c>
      <c r="HE64" s="616">
        <f t="shared" si="20"/>
        <v>0</v>
      </c>
      <c r="HF64" s="616">
        <f t="shared" si="22"/>
        <v>0</v>
      </c>
      <c r="HG64" s="616">
        <f t="shared" si="23"/>
        <v>0</v>
      </c>
      <c r="HH64" s="739"/>
      <c r="HI64" s="804">
        <f t="shared" si="13"/>
        <v>0</v>
      </c>
      <c r="HJ64" s="819">
        <f t="shared" si="15"/>
        <v>0</v>
      </c>
      <c r="HK64" s="803">
        <f t="shared" si="21"/>
        <v>0</v>
      </c>
    </row>
    <row r="65" spans="1:227">
      <c r="B65" s="499" t="s">
        <v>326</v>
      </c>
      <c r="C65" s="500" t="s">
        <v>327</v>
      </c>
      <c r="D65" s="532"/>
      <c r="E65" s="550"/>
      <c r="F65" s="551"/>
      <c r="G65" s="551"/>
      <c r="H65" s="551"/>
      <c r="I65" s="576"/>
      <c r="J65" s="576"/>
      <c r="K65" s="576"/>
      <c r="L65" s="576"/>
      <c r="M65" s="576"/>
      <c r="N65" s="576"/>
      <c r="O65" s="576"/>
      <c r="P65" s="576"/>
      <c r="Q65" s="576"/>
      <c r="R65" s="576"/>
      <c r="S65" s="576"/>
      <c r="T65" s="576"/>
      <c r="U65" s="576"/>
      <c r="V65" s="576"/>
      <c r="W65" s="576"/>
      <c r="X65" s="576"/>
      <c r="Y65" s="589"/>
      <c r="Z65" s="589"/>
      <c r="AA65" s="589"/>
      <c r="AB65" s="589"/>
      <c r="AC65" s="589"/>
      <c r="AD65" s="589"/>
      <c r="AE65" s="589"/>
      <c r="AF65" s="589"/>
      <c r="AG65" s="589"/>
      <c r="AH65" s="589"/>
      <c r="AI65" s="589"/>
      <c r="AJ65" s="589"/>
      <c r="AK65" s="589"/>
      <c r="AL65" s="589"/>
      <c r="AM65" s="589"/>
      <c r="AN65" s="589"/>
      <c r="AO65" s="589"/>
      <c r="AP65" s="589"/>
      <c r="AQ65" s="589"/>
      <c r="AR65" s="589"/>
      <c r="AS65" s="589"/>
      <c r="AT65" s="589"/>
      <c r="AU65" s="589"/>
      <c r="AV65" s="589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89"/>
      <c r="BH65" s="589"/>
      <c r="BI65" s="589"/>
      <c r="BJ65" s="589"/>
      <c r="BK65" s="589"/>
      <c r="BL65" s="589"/>
      <c r="BM65" s="589"/>
      <c r="BN65" s="589"/>
      <c r="BO65" s="589"/>
      <c r="BP65" s="626"/>
      <c r="BQ65" s="598">
        <f t="shared" si="16"/>
        <v>0</v>
      </c>
      <c r="BR65" s="615"/>
      <c r="BS65" s="616"/>
      <c r="BT65" s="616"/>
      <c r="BU65" s="616"/>
      <c r="BV65" s="616"/>
      <c r="BW65" s="616"/>
      <c r="BX65" s="616"/>
      <c r="BY65" s="616"/>
      <c r="BZ65" s="616"/>
      <c r="CA65" s="616"/>
      <c r="CB65" s="616"/>
      <c r="CC65" s="616"/>
      <c r="CD65" s="616"/>
      <c r="CE65" s="649"/>
      <c r="CF65" s="616"/>
      <c r="CG65" s="616"/>
      <c r="CH65" s="616"/>
      <c r="CI65" s="616"/>
      <c r="CJ65" s="616"/>
      <c r="CK65" s="616"/>
      <c r="CL65" s="616"/>
      <c r="CM65" s="616"/>
      <c r="CN65" s="616"/>
      <c r="CO65" s="616"/>
      <c r="CP65" s="616"/>
      <c r="CQ65" s="667">
        <f t="shared" si="6"/>
        <v>0</v>
      </c>
      <c r="CR65" s="616"/>
      <c r="CS65" s="688"/>
      <c r="CT65" s="688"/>
      <c r="CU65" s="688"/>
      <c r="CV65" s="688"/>
      <c r="CW65" s="616"/>
      <c r="CX65" s="616"/>
      <c r="CY65" s="616"/>
      <c r="CZ65" s="689"/>
      <c r="DA65" s="616"/>
      <c r="DB65" s="616"/>
      <c r="DC65" s="616"/>
      <c r="DD65" s="707"/>
      <c r="DE65" s="616"/>
      <c r="DF65" s="616"/>
      <c r="DG65" s="616"/>
      <c r="DH65" s="616"/>
      <c r="DI65" s="616"/>
      <c r="DJ65" s="616"/>
      <c r="DK65" s="616"/>
      <c r="DL65" s="616"/>
      <c r="DM65" s="616"/>
      <c r="DN65" s="616"/>
      <c r="DO65" s="616"/>
      <c r="DP65" s="563">
        <f t="shared" si="17"/>
        <v>0</v>
      </c>
      <c r="DQ65" s="739">
        <f t="shared" si="18"/>
        <v>0</v>
      </c>
      <c r="DR65" s="616"/>
      <c r="DS65" s="616"/>
      <c r="DT65" s="616"/>
      <c r="DU65" s="616"/>
      <c r="DV65" s="616"/>
      <c r="DW65" s="616"/>
      <c r="DX65" s="616"/>
      <c r="DY65" s="616"/>
      <c r="DZ65" s="616"/>
      <c r="EA65" s="616"/>
      <c r="EB65" s="616"/>
      <c r="EC65" s="616"/>
      <c r="ED65" s="616"/>
      <c r="EE65" s="616"/>
      <c r="EF65" s="616"/>
      <c r="EG65" s="616"/>
      <c r="EH65" s="616"/>
      <c r="EI65" s="616"/>
      <c r="EJ65" s="616"/>
      <c r="EK65" s="616"/>
      <c r="EL65" s="616"/>
      <c r="EM65" s="616"/>
      <c r="EN65" s="616"/>
      <c r="EO65" s="616"/>
      <c r="EP65" s="616"/>
      <c r="EQ65" s="616"/>
      <c r="ER65" s="616"/>
      <c r="ES65" s="616"/>
      <c r="ET65" s="616"/>
      <c r="EU65" s="616"/>
      <c r="EV65" s="616"/>
      <c r="EW65" s="616"/>
      <c r="EX65" s="616"/>
      <c r="EY65" s="616"/>
      <c r="EZ65" s="616"/>
      <c r="FA65" s="616"/>
      <c r="FB65" s="616"/>
      <c r="FC65" s="616"/>
      <c r="FD65" s="616"/>
      <c r="FE65" s="616"/>
      <c r="FF65" s="616"/>
      <c r="FG65" s="616"/>
      <c r="FH65" s="616"/>
      <c r="FI65" s="616"/>
      <c r="FJ65" s="616"/>
      <c r="FK65" s="616"/>
      <c r="FL65" s="616"/>
      <c r="FM65" s="761">
        <f t="shared" si="8"/>
        <v>0</v>
      </c>
      <c r="FN65" s="616"/>
      <c r="FO65" s="616"/>
      <c r="FP65" s="616"/>
      <c r="FQ65" s="616"/>
      <c r="FR65" s="616"/>
      <c r="FS65" s="616"/>
      <c r="FT65" s="616"/>
      <c r="FU65" s="616"/>
      <c r="FV65" s="616"/>
      <c r="FW65" s="616"/>
      <c r="FX65" s="616"/>
      <c r="FY65" s="616"/>
      <c r="FZ65" s="616"/>
      <c r="GA65" s="616"/>
      <c r="GB65" s="616"/>
      <c r="GC65" s="616">
        <f t="shared" si="2"/>
        <v>0</v>
      </c>
      <c r="GD65" s="616"/>
      <c r="GE65" s="616"/>
      <c r="GF65" s="616"/>
      <c r="GG65" s="616"/>
      <c r="GH65" s="616"/>
      <c r="GI65" s="616"/>
      <c r="GJ65" s="616"/>
      <c r="GK65" s="616"/>
      <c r="GL65" s="616"/>
      <c r="GM65" s="616"/>
      <c r="GN65" s="616"/>
      <c r="GO65" s="616"/>
      <c r="GP65" s="616"/>
      <c r="GQ65" s="616"/>
      <c r="GR65" s="616"/>
      <c r="GS65" s="616">
        <f t="shared" si="3"/>
        <v>0</v>
      </c>
      <c r="GT65" s="616"/>
      <c r="GU65" s="616"/>
      <c r="GV65" s="616"/>
      <c r="GW65" s="616"/>
      <c r="GX65" s="616"/>
      <c r="GY65" s="616"/>
      <c r="GZ65" s="616"/>
      <c r="HA65" s="616"/>
      <c r="HB65" s="616"/>
      <c r="HC65" s="616"/>
      <c r="HD65" s="616">
        <f t="shared" si="19"/>
        <v>0</v>
      </c>
      <c r="HE65" s="616">
        <f t="shared" si="20"/>
        <v>0</v>
      </c>
      <c r="HF65" s="616">
        <f t="shared" si="22"/>
        <v>0</v>
      </c>
      <c r="HG65" s="616">
        <f t="shared" si="23"/>
        <v>0</v>
      </c>
      <c r="HH65" s="739"/>
      <c r="HI65" s="804">
        <f t="shared" si="13"/>
        <v>0</v>
      </c>
      <c r="HJ65" s="819">
        <f t="shared" si="15"/>
        <v>0</v>
      </c>
      <c r="HK65" s="803">
        <f t="shared" si="21"/>
        <v>0</v>
      </c>
    </row>
    <row r="66" spans="1:227">
      <c r="B66" s="517" t="s">
        <v>328</v>
      </c>
      <c r="C66" s="537" t="s">
        <v>329</v>
      </c>
      <c r="D66" s="538"/>
      <c r="E66" s="549"/>
      <c r="F66" s="540"/>
      <c r="G66" s="540"/>
      <c r="H66" s="540"/>
      <c r="I66" s="573"/>
      <c r="J66" s="573"/>
      <c r="K66" s="573"/>
      <c r="L66" s="573"/>
      <c r="M66" s="573"/>
      <c r="N66" s="573"/>
      <c r="O66" s="573"/>
      <c r="P66" s="573"/>
      <c r="Q66" s="573"/>
      <c r="R66" s="573"/>
      <c r="S66" s="573"/>
      <c r="T66" s="573"/>
      <c r="U66" s="573"/>
      <c r="V66" s="573"/>
      <c r="W66" s="573"/>
      <c r="X66" s="573"/>
      <c r="Y66" s="586"/>
      <c r="Z66" s="586"/>
      <c r="AA66" s="586"/>
      <c r="AB66" s="586"/>
      <c r="AC66" s="586"/>
      <c r="AD66" s="586"/>
      <c r="AE66" s="586"/>
      <c r="AF66" s="586"/>
      <c r="AG66" s="586"/>
      <c r="AH66" s="586"/>
      <c r="AI66" s="586"/>
      <c r="AJ66" s="586"/>
      <c r="AK66" s="586"/>
      <c r="AL66" s="586"/>
      <c r="AM66" s="586"/>
      <c r="AN66" s="586"/>
      <c r="AO66" s="586"/>
      <c r="AP66" s="586"/>
      <c r="AQ66" s="586"/>
      <c r="AR66" s="586"/>
      <c r="AS66" s="586"/>
      <c r="AT66" s="586"/>
      <c r="AU66" s="586"/>
      <c r="AV66" s="586"/>
      <c r="AW66" s="586"/>
      <c r="AX66" s="586"/>
      <c r="AY66" s="586"/>
      <c r="AZ66" s="586"/>
      <c r="BA66" s="586"/>
      <c r="BB66" s="586"/>
      <c r="BC66" s="586"/>
      <c r="BD66" s="586"/>
      <c r="BE66" s="586"/>
      <c r="BF66" s="586"/>
      <c r="BG66" s="586"/>
      <c r="BH66" s="586"/>
      <c r="BI66" s="586"/>
      <c r="BJ66" s="586"/>
      <c r="BK66" s="586"/>
      <c r="BL66" s="586"/>
      <c r="BM66" s="586"/>
      <c r="BN66" s="586"/>
      <c r="BO66" s="586"/>
      <c r="BP66" s="617"/>
      <c r="BQ66" s="600">
        <f t="shared" si="16"/>
        <v>0</v>
      </c>
      <c r="BR66" s="618"/>
      <c r="BS66" s="619"/>
      <c r="BT66" s="619"/>
      <c r="BU66" s="619"/>
      <c r="BV66" s="619"/>
      <c r="BW66" s="619"/>
      <c r="BX66" s="619"/>
      <c r="BY66" s="619"/>
      <c r="BZ66" s="619"/>
      <c r="CA66" s="619"/>
      <c r="CB66" s="619"/>
      <c r="CC66" s="619"/>
      <c r="CD66" s="619"/>
      <c r="CE66" s="650"/>
      <c r="CF66" s="619"/>
      <c r="CG66" s="619"/>
      <c r="CH66" s="619"/>
      <c r="CI66" s="619"/>
      <c r="CJ66" s="619"/>
      <c r="CK66" s="619"/>
      <c r="CL66" s="619"/>
      <c r="CM66" s="619"/>
      <c r="CN66" s="619"/>
      <c r="CO66" s="619"/>
      <c r="CP66" s="619"/>
      <c r="CQ66" s="668">
        <f t="shared" si="6"/>
        <v>0</v>
      </c>
      <c r="CR66" s="619"/>
      <c r="CS66" s="690"/>
      <c r="CT66" s="690"/>
      <c r="CU66" s="690"/>
      <c r="CV66" s="690"/>
      <c r="CW66" s="619"/>
      <c r="CX66" s="619"/>
      <c r="CY66" s="619"/>
      <c r="CZ66" s="691"/>
      <c r="DA66" s="619"/>
      <c r="DB66" s="619"/>
      <c r="DC66" s="619"/>
      <c r="DD66" s="710"/>
      <c r="DE66" s="619"/>
      <c r="DF66" s="619"/>
      <c r="DG66" s="619"/>
      <c r="DH66" s="619"/>
      <c r="DI66" s="619"/>
      <c r="DJ66" s="619"/>
      <c r="DK66" s="619"/>
      <c r="DL66" s="619"/>
      <c r="DM66" s="619"/>
      <c r="DN66" s="619"/>
      <c r="DO66" s="619"/>
      <c r="DP66" s="565">
        <f t="shared" si="17"/>
        <v>0</v>
      </c>
      <c r="DQ66" s="741">
        <f t="shared" si="18"/>
        <v>0</v>
      </c>
      <c r="DR66" s="619"/>
      <c r="DS66" s="619"/>
      <c r="DT66" s="619"/>
      <c r="DU66" s="619"/>
      <c r="DV66" s="619"/>
      <c r="DW66" s="619"/>
      <c r="DX66" s="619"/>
      <c r="DY66" s="619"/>
      <c r="DZ66" s="619"/>
      <c r="EA66" s="619"/>
      <c r="EB66" s="619"/>
      <c r="EC66" s="619"/>
      <c r="ED66" s="619"/>
      <c r="EE66" s="619"/>
      <c r="EF66" s="619"/>
      <c r="EG66" s="619"/>
      <c r="EH66" s="619"/>
      <c r="EI66" s="619"/>
      <c r="EJ66" s="619"/>
      <c r="EK66" s="619"/>
      <c r="EL66" s="619"/>
      <c r="EM66" s="619"/>
      <c r="EN66" s="619"/>
      <c r="EO66" s="619"/>
      <c r="EP66" s="619"/>
      <c r="EQ66" s="619"/>
      <c r="ER66" s="619"/>
      <c r="ES66" s="619"/>
      <c r="ET66" s="619"/>
      <c r="EU66" s="619"/>
      <c r="EV66" s="619"/>
      <c r="EW66" s="619"/>
      <c r="EX66" s="619"/>
      <c r="EY66" s="619"/>
      <c r="EZ66" s="619"/>
      <c r="FA66" s="619"/>
      <c r="FB66" s="619"/>
      <c r="FC66" s="619"/>
      <c r="FD66" s="619"/>
      <c r="FE66" s="619"/>
      <c r="FF66" s="619"/>
      <c r="FG66" s="619"/>
      <c r="FH66" s="619"/>
      <c r="FI66" s="619"/>
      <c r="FJ66" s="619"/>
      <c r="FK66" s="619"/>
      <c r="FL66" s="619"/>
      <c r="FM66" s="762">
        <f t="shared" si="8"/>
        <v>0</v>
      </c>
      <c r="FN66" s="619"/>
      <c r="FO66" s="619"/>
      <c r="FP66" s="619"/>
      <c r="FQ66" s="619"/>
      <c r="FR66" s="619"/>
      <c r="FS66" s="619"/>
      <c r="FT66" s="619"/>
      <c r="FU66" s="619"/>
      <c r="FV66" s="619"/>
      <c r="FW66" s="619"/>
      <c r="FX66" s="619"/>
      <c r="FY66" s="619"/>
      <c r="FZ66" s="619"/>
      <c r="GA66" s="619"/>
      <c r="GB66" s="619"/>
      <c r="GC66" s="619">
        <f t="shared" si="2"/>
        <v>0</v>
      </c>
      <c r="GD66" s="619"/>
      <c r="GE66" s="619"/>
      <c r="GF66" s="619"/>
      <c r="GG66" s="619"/>
      <c r="GH66" s="619"/>
      <c r="GI66" s="619"/>
      <c r="GJ66" s="619"/>
      <c r="GK66" s="619"/>
      <c r="GL66" s="619"/>
      <c r="GM66" s="619"/>
      <c r="GN66" s="619"/>
      <c r="GO66" s="619"/>
      <c r="GP66" s="619"/>
      <c r="GQ66" s="619"/>
      <c r="GR66" s="619"/>
      <c r="GS66" s="619">
        <f t="shared" si="3"/>
        <v>0</v>
      </c>
      <c r="GT66" s="619"/>
      <c r="GU66" s="619"/>
      <c r="GV66" s="619"/>
      <c r="GW66" s="619"/>
      <c r="GX66" s="619"/>
      <c r="GY66" s="619"/>
      <c r="GZ66" s="619"/>
      <c r="HA66" s="619"/>
      <c r="HB66" s="619"/>
      <c r="HC66" s="619"/>
      <c r="HD66" s="619">
        <f t="shared" si="19"/>
        <v>0</v>
      </c>
      <c r="HE66" s="619">
        <f t="shared" si="20"/>
        <v>0</v>
      </c>
      <c r="HF66" s="619">
        <f t="shared" si="22"/>
        <v>0</v>
      </c>
      <c r="HG66" s="619">
        <f t="shared" si="23"/>
        <v>0</v>
      </c>
      <c r="HH66" s="741"/>
      <c r="HI66" s="804">
        <f t="shared" si="13"/>
        <v>0</v>
      </c>
      <c r="HJ66" s="820">
        <f t="shared" si="15"/>
        <v>0</v>
      </c>
      <c r="HK66" s="803">
        <f t="shared" si="21"/>
        <v>0</v>
      </c>
    </row>
    <row r="67" spans="1:227">
      <c r="B67" s="493" t="s">
        <v>330</v>
      </c>
      <c r="C67" s="494" t="s">
        <v>331</v>
      </c>
      <c r="D67" s="542"/>
      <c r="E67" s="543"/>
      <c r="F67" s="544"/>
      <c r="G67" s="544"/>
      <c r="H67" s="544"/>
      <c r="I67" s="574"/>
      <c r="J67" s="574"/>
      <c r="K67" s="574"/>
      <c r="L67" s="574"/>
      <c r="M67" s="574"/>
      <c r="N67" s="574"/>
      <c r="O67" s="574"/>
      <c r="P67" s="574"/>
      <c r="Q67" s="574"/>
      <c r="R67" s="574"/>
      <c r="S67" s="574"/>
      <c r="T67" s="574"/>
      <c r="U67" s="574"/>
      <c r="V67" s="574"/>
      <c r="W67" s="574"/>
      <c r="X67" s="574"/>
      <c r="Y67" s="587"/>
      <c r="Z67" s="587"/>
      <c r="AA67" s="587"/>
      <c r="AB67" s="587"/>
      <c r="AC67" s="587"/>
      <c r="AD67" s="587"/>
      <c r="AE67" s="587"/>
      <c r="AF67" s="587"/>
      <c r="AG67" s="587"/>
      <c r="AH67" s="587"/>
      <c r="AI67" s="587"/>
      <c r="AJ67" s="587"/>
      <c r="AK67" s="587"/>
      <c r="AL67" s="587"/>
      <c r="AM67" s="587"/>
      <c r="AN67" s="587"/>
      <c r="AO67" s="587"/>
      <c r="AP67" s="587"/>
      <c r="AQ67" s="587"/>
      <c r="AR67" s="587"/>
      <c r="AS67" s="587"/>
      <c r="AT67" s="587"/>
      <c r="AU67" s="587"/>
      <c r="AV67" s="587"/>
      <c r="AW67" s="587"/>
      <c r="AX67" s="587"/>
      <c r="AY67" s="587"/>
      <c r="AZ67" s="587"/>
      <c r="BA67" s="587"/>
      <c r="BB67" s="587"/>
      <c r="BC67" s="587"/>
      <c r="BD67" s="587"/>
      <c r="BE67" s="587"/>
      <c r="BF67" s="587"/>
      <c r="BG67" s="587"/>
      <c r="BH67" s="587"/>
      <c r="BI67" s="587"/>
      <c r="BJ67" s="587"/>
      <c r="BK67" s="587"/>
      <c r="BL67" s="587"/>
      <c r="BM67" s="587"/>
      <c r="BN67" s="587"/>
      <c r="BO67" s="587"/>
      <c r="BP67" s="620"/>
      <c r="BQ67" s="596">
        <f t="shared" si="16"/>
        <v>0</v>
      </c>
      <c r="BR67" s="621"/>
      <c r="BS67" s="622"/>
      <c r="BT67" s="622"/>
      <c r="BU67" s="622"/>
      <c r="BV67" s="622"/>
      <c r="BW67" s="622"/>
      <c r="BX67" s="622"/>
      <c r="BY67" s="622"/>
      <c r="BZ67" s="622"/>
      <c r="CA67" s="622"/>
      <c r="CB67" s="622"/>
      <c r="CC67" s="622"/>
      <c r="CD67" s="622"/>
      <c r="CE67" s="651"/>
      <c r="CF67" s="622"/>
      <c r="CG67" s="622"/>
      <c r="CH67" s="622"/>
      <c r="CI67" s="622"/>
      <c r="CJ67" s="622"/>
      <c r="CK67" s="622"/>
      <c r="CL67" s="622"/>
      <c r="CM67" s="622"/>
      <c r="CN67" s="622"/>
      <c r="CO67" s="622"/>
      <c r="CP67" s="622"/>
      <c r="CQ67" s="669">
        <f t="shared" si="6"/>
        <v>0</v>
      </c>
      <c r="CR67" s="622"/>
      <c r="CS67" s="692"/>
      <c r="CT67" s="692"/>
      <c r="CU67" s="692"/>
      <c r="CV67" s="692"/>
      <c r="CW67" s="622"/>
      <c r="CX67" s="622"/>
      <c r="CY67" s="622"/>
      <c r="CZ67" s="693"/>
      <c r="DA67" s="622"/>
      <c r="DB67" s="622"/>
      <c r="DC67" s="622"/>
      <c r="DD67" s="706"/>
      <c r="DE67" s="622"/>
      <c r="DF67" s="622"/>
      <c r="DG67" s="622"/>
      <c r="DH67" s="622"/>
      <c r="DI67" s="622"/>
      <c r="DJ67" s="622"/>
      <c r="DK67" s="622"/>
      <c r="DL67" s="622"/>
      <c r="DM67" s="622"/>
      <c r="DN67" s="622"/>
      <c r="DO67" s="622"/>
      <c r="DP67" s="561">
        <f t="shared" si="17"/>
        <v>0</v>
      </c>
      <c r="DQ67" s="743">
        <f t="shared" si="18"/>
        <v>0</v>
      </c>
      <c r="DR67" s="622"/>
      <c r="DS67" s="622"/>
      <c r="DT67" s="622"/>
      <c r="DU67" s="622"/>
      <c r="DV67" s="622"/>
      <c r="DW67" s="622"/>
      <c r="DX67" s="622"/>
      <c r="DY67" s="622"/>
      <c r="DZ67" s="622"/>
      <c r="EA67" s="622"/>
      <c r="EB67" s="622"/>
      <c r="EC67" s="622"/>
      <c r="ED67" s="622"/>
      <c r="EE67" s="622"/>
      <c r="EF67" s="622"/>
      <c r="EG67" s="622"/>
      <c r="EH67" s="622"/>
      <c r="EI67" s="622"/>
      <c r="EJ67" s="622"/>
      <c r="EK67" s="622"/>
      <c r="EL67" s="622"/>
      <c r="EM67" s="622"/>
      <c r="EN67" s="622"/>
      <c r="EO67" s="622"/>
      <c r="EP67" s="622"/>
      <c r="EQ67" s="622"/>
      <c r="ER67" s="622"/>
      <c r="ES67" s="622"/>
      <c r="ET67" s="622"/>
      <c r="EU67" s="622"/>
      <c r="EV67" s="622"/>
      <c r="EW67" s="622"/>
      <c r="EX67" s="622"/>
      <c r="EY67" s="622"/>
      <c r="EZ67" s="622"/>
      <c r="FA67" s="622"/>
      <c r="FB67" s="622"/>
      <c r="FC67" s="622"/>
      <c r="FD67" s="622"/>
      <c r="FE67" s="622"/>
      <c r="FF67" s="622"/>
      <c r="FG67" s="622"/>
      <c r="FH67" s="622"/>
      <c r="FI67" s="622"/>
      <c r="FJ67" s="622"/>
      <c r="FK67" s="622"/>
      <c r="FL67" s="622"/>
      <c r="FM67" s="763">
        <f t="shared" si="8"/>
        <v>0</v>
      </c>
      <c r="FN67" s="622"/>
      <c r="FO67" s="622"/>
      <c r="FP67" s="622"/>
      <c r="FQ67" s="622"/>
      <c r="FR67" s="622"/>
      <c r="FS67" s="622"/>
      <c r="FT67" s="622"/>
      <c r="FU67" s="622"/>
      <c r="FV67" s="622"/>
      <c r="FW67" s="622"/>
      <c r="FX67" s="622"/>
      <c r="FY67" s="622"/>
      <c r="FZ67" s="622"/>
      <c r="GA67" s="622"/>
      <c r="GB67" s="622"/>
      <c r="GC67" s="622">
        <f t="shared" si="2"/>
        <v>0</v>
      </c>
      <c r="GD67" s="622"/>
      <c r="GE67" s="622"/>
      <c r="GF67" s="622"/>
      <c r="GG67" s="622"/>
      <c r="GH67" s="622"/>
      <c r="GI67" s="622"/>
      <c r="GJ67" s="622"/>
      <c r="GK67" s="622"/>
      <c r="GL67" s="622"/>
      <c r="GM67" s="622"/>
      <c r="GN67" s="622"/>
      <c r="GO67" s="622"/>
      <c r="GP67" s="622"/>
      <c r="GQ67" s="622"/>
      <c r="GR67" s="622"/>
      <c r="GS67" s="622">
        <f t="shared" si="3"/>
        <v>0</v>
      </c>
      <c r="GT67" s="622"/>
      <c r="GU67" s="622"/>
      <c r="GV67" s="622"/>
      <c r="GW67" s="622"/>
      <c r="GX67" s="622"/>
      <c r="GY67" s="622"/>
      <c r="GZ67" s="622"/>
      <c r="HA67" s="622"/>
      <c r="HB67" s="622"/>
      <c r="HC67" s="622"/>
      <c r="HD67" s="622">
        <f t="shared" si="19"/>
        <v>0</v>
      </c>
      <c r="HE67" s="622">
        <f t="shared" si="20"/>
        <v>0</v>
      </c>
      <c r="HF67" s="622">
        <f t="shared" si="22"/>
        <v>0</v>
      </c>
      <c r="HG67" s="622">
        <f t="shared" si="23"/>
        <v>0</v>
      </c>
      <c r="HH67" s="743"/>
      <c r="HI67" s="804">
        <f t="shared" si="13"/>
        <v>0</v>
      </c>
      <c r="HJ67" s="821">
        <f t="shared" si="15"/>
        <v>0</v>
      </c>
      <c r="HK67" s="803">
        <f t="shared" si="21"/>
        <v>0</v>
      </c>
    </row>
    <row r="68" spans="1:227">
      <c r="B68" s="499" t="s">
        <v>332</v>
      </c>
      <c r="C68" s="500" t="s">
        <v>333</v>
      </c>
      <c r="D68" s="532"/>
      <c r="E68" s="550"/>
      <c r="F68" s="551"/>
      <c r="G68" s="551"/>
      <c r="H68" s="551"/>
      <c r="I68" s="576"/>
      <c r="J68" s="576"/>
      <c r="K68" s="576"/>
      <c r="L68" s="576"/>
      <c r="M68" s="576"/>
      <c r="N68" s="576"/>
      <c r="O68" s="576"/>
      <c r="P68" s="576"/>
      <c r="Q68" s="576"/>
      <c r="R68" s="576"/>
      <c r="S68" s="576"/>
      <c r="T68" s="576"/>
      <c r="U68" s="576"/>
      <c r="V68" s="576"/>
      <c r="W68" s="576"/>
      <c r="X68" s="576"/>
      <c r="Y68" s="589"/>
      <c r="Z68" s="589"/>
      <c r="AA68" s="589"/>
      <c r="AB68" s="589"/>
      <c r="AC68" s="589"/>
      <c r="AD68" s="589"/>
      <c r="AE68" s="589"/>
      <c r="AF68" s="589"/>
      <c r="AG68" s="589"/>
      <c r="AH68" s="589"/>
      <c r="AI68" s="589"/>
      <c r="AJ68" s="589"/>
      <c r="AK68" s="589"/>
      <c r="AL68" s="589"/>
      <c r="AM68" s="589"/>
      <c r="AN68" s="589"/>
      <c r="AO68" s="589"/>
      <c r="AP68" s="589"/>
      <c r="AQ68" s="589"/>
      <c r="AR68" s="589"/>
      <c r="AS68" s="589"/>
      <c r="AT68" s="589"/>
      <c r="AU68" s="589"/>
      <c r="AV68" s="589"/>
      <c r="AW68" s="589"/>
      <c r="AX68" s="589"/>
      <c r="AY68" s="589"/>
      <c r="AZ68" s="589"/>
      <c r="BA68" s="589"/>
      <c r="BB68" s="589"/>
      <c r="BC68" s="589"/>
      <c r="BD68" s="589"/>
      <c r="BE68" s="589"/>
      <c r="BF68" s="589"/>
      <c r="BG68" s="589"/>
      <c r="BH68" s="589"/>
      <c r="BI68" s="589"/>
      <c r="BJ68" s="589"/>
      <c r="BK68" s="589"/>
      <c r="BL68" s="589"/>
      <c r="BM68" s="589"/>
      <c r="BN68" s="589"/>
      <c r="BO68" s="589"/>
      <c r="BP68" s="626"/>
      <c r="BQ68" s="598">
        <f t="shared" si="16"/>
        <v>0</v>
      </c>
      <c r="BR68" s="615"/>
      <c r="BS68" s="616"/>
      <c r="BT68" s="616"/>
      <c r="BU68" s="616"/>
      <c r="BV68" s="616"/>
      <c r="BW68" s="616"/>
      <c r="BX68" s="616"/>
      <c r="BY68" s="616"/>
      <c r="BZ68" s="616"/>
      <c r="CA68" s="616"/>
      <c r="CB68" s="616"/>
      <c r="CC68" s="616"/>
      <c r="CD68" s="616"/>
      <c r="CE68" s="649"/>
      <c r="CF68" s="616"/>
      <c r="CG68" s="616"/>
      <c r="CH68" s="616"/>
      <c r="CI68" s="616"/>
      <c r="CJ68" s="616"/>
      <c r="CK68" s="616"/>
      <c r="CL68" s="616"/>
      <c r="CM68" s="616"/>
      <c r="CN68" s="616"/>
      <c r="CO68" s="616"/>
      <c r="CP68" s="616"/>
      <c r="CQ68" s="667">
        <f t="shared" si="6"/>
        <v>0</v>
      </c>
      <c r="CR68" s="616"/>
      <c r="CS68" s="688"/>
      <c r="CT68" s="688"/>
      <c r="CU68" s="688"/>
      <c r="CV68" s="688"/>
      <c r="CW68" s="616"/>
      <c r="CX68" s="616"/>
      <c r="CY68" s="616"/>
      <c r="CZ68" s="689"/>
      <c r="DA68" s="616"/>
      <c r="DB68" s="616"/>
      <c r="DC68" s="616"/>
      <c r="DD68" s="707"/>
      <c r="DE68" s="616"/>
      <c r="DF68" s="616"/>
      <c r="DG68" s="616"/>
      <c r="DH68" s="616"/>
      <c r="DI68" s="616"/>
      <c r="DJ68" s="616"/>
      <c r="DK68" s="616"/>
      <c r="DL68" s="616"/>
      <c r="DM68" s="616"/>
      <c r="DN68" s="616"/>
      <c r="DO68" s="616"/>
      <c r="DP68" s="563">
        <f t="shared" si="17"/>
        <v>0</v>
      </c>
      <c r="DQ68" s="739">
        <f t="shared" si="18"/>
        <v>0</v>
      </c>
      <c r="DR68" s="616"/>
      <c r="DS68" s="616"/>
      <c r="DT68" s="616"/>
      <c r="DU68" s="616"/>
      <c r="DV68" s="616"/>
      <c r="DW68" s="616"/>
      <c r="DX68" s="616"/>
      <c r="DY68" s="616"/>
      <c r="DZ68" s="616"/>
      <c r="EA68" s="616"/>
      <c r="EB68" s="616"/>
      <c r="EC68" s="616"/>
      <c r="ED68" s="616"/>
      <c r="EE68" s="616"/>
      <c r="EF68" s="616"/>
      <c r="EG68" s="616"/>
      <c r="EH68" s="616"/>
      <c r="EI68" s="616"/>
      <c r="EJ68" s="616"/>
      <c r="EK68" s="616"/>
      <c r="EL68" s="616"/>
      <c r="EM68" s="616"/>
      <c r="EN68" s="616"/>
      <c r="EO68" s="616"/>
      <c r="EP68" s="616"/>
      <c r="EQ68" s="616"/>
      <c r="ER68" s="616"/>
      <c r="ES68" s="616"/>
      <c r="ET68" s="616"/>
      <c r="EU68" s="616"/>
      <c r="EV68" s="616"/>
      <c r="EW68" s="616"/>
      <c r="EX68" s="616"/>
      <c r="EY68" s="616"/>
      <c r="EZ68" s="616"/>
      <c r="FA68" s="616"/>
      <c r="FB68" s="616"/>
      <c r="FC68" s="616"/>
      <c r="FD68" s="616"/>
      <c r="FE68" s="616"/>
      <c r="FF68" s="616"/>
      <c r="FG68" s="616"/>
      <c r="FH68" s="616"/>
      <c r="FI68" s="616"/>
      <c r="FJ68" s="616"/>
      <c r="FK68" s="616"/>
      <c r="FL68" s="616"/>
      <c r="FM68" s="761">
        <f t="shared" si="8"/>
        <v>0</v>
      </c>
      <c r="FN68" s="616"/>
      <c r="FO68" s="616"/>
      <c r="FP68" s="616"/>
      <c r="FQ68" s="616"/>
      <c r="FR68" s="616"/>
      <c r="FS68" s="616"/>
      <c r="FT68" s="616"/>
      <c r="FU68" s="616"/>
      <c r="FV68" s="616"/>
      <c r="FW68" s="616"/>
      <c r="FX68" s="616"/>
      <c r="FY68" s="616"/>
      <c r="FZ68" s="616"/>
      <c r="GA68" s="616"/>
      <c r="GB68" s="616"/>
      <c r="GC68" s="616">
        <f t="shared" si="2"/>
        <v>0</v>
      </c>
      <c r="GD68" s="616"/>
      <c r="GE68" s="616"/>
      <c r="GF68" s="616"/>
      <c r="GG68" s="616"/>
      <c r="GH68" s="616"/>
      <c r="GI68" s="616"/>
      <c r="GJ68" s="616"/>
      <c r="GK68" s="616"/>
      <c r="GL68" s="616"/>
      <c r="GM68" s="616"/>
      <c r="GN68" s="616"/>
      <c r="GO68" s="616"/>
      <c r="GP68" s="616"/>
      <c r="GQ68" s="616"/>
      <c r="GR68" s="616"/>
      <c r="GS68" s="616">
        <f t="shared" si="3"/>
        <v>0</v>
      </c>
      <c r="GT68" s="616"/>
      <c r="GU68" s="616"/>
      <c r="GV68" s="616"/>
      <c r="GW68" s="616"/>
      <c r="GX68" s="616"/>
      <c r="GY68" s="616"/>
      <c r="GZ68" s="616"/>
      <c r="HA68" s="616"/>
      <c r="HB68" s="616"/>
      <c r="HC68" s="616"/>
      <c r="HD68" s="616">
        <f t="shared" si="19"/>
        <v>0</v>
      </c>
      <c r="HE68" s="616">
        <f t="shared" si="20"/>
        <v>0</v>
      </c>
      <c r="HF68" s="616">
        <f t="shared" si="22"/>
        <v>0</v>
      </c>
      <c r="HG68" s="616">
        <f t="shared" si="23"/>
        <v>0</v>
      </c>
      <c r="HH68" s="739"/>
      <c r="HI68" s="804">
        <f t="shared" si="13"/>
        <v>0</v>
      </c>
      <c r="HJ68" s="819">
        <f t="shared" si="15"/>
        <v>0</v>
      </c>
      <c r="HK68" s="803">
        <f t="shared" si="21"/>
        <v>0</v>
      </c>
    </row>
    <row r="69" spans="1:227">
      <c r="B69" s="499" t="s">
        <v>334</v>
      </c>
      <c r="C69" s="500" t="s">
        <v>335</v>
      </c>
      <c r="D69" s="532"/>
      <c r="E69" s="550"/>
      <c r="F69" s="551"/>
      <c r="G69" s="551"/>
      <c r="H69" s="551"/>
      <c r="I69" s="576"/>
      <c r="J69" s="576"/>
      <c r="K69" s="576"/>
      <c r="L69" s="576"/>
      <c r="M69" s="576"/>
      <c r="N69" s="576"/>
      <c r="O69" s="576"/>
      <c r="P69" s="576"/>
      <c r="Q69" s="576"/>
      <c r="R69" s="576"/>
      <c r="S69" s="576"/>
      <c r="T69" s="576"/>
      <c r="U69" s="576"/>
      <c r="V69" s="576"/>
      <c r="W69" s="576"/>
      <c r="X69" s="576"/>
      <c r="Y69" s="589"/>
      <c r="Z69" s="589"/>
      <c r="AA69" s="589"/>
      <c r="AB69" s="589"/>
      <c r="AC69" s="589"/>
      <c r="AD69" s="589"/>
      <c r="AE69" s="589"/>
      <c r="AF69" s="589"/>
      <c r="AG69" s="589"/>
      <c r="AH69" s="589"/>
      <c r="AI69" s="589"/>
      <c r="AJ69" s="589"/>
      <c r="AK69" s="589"/>
      <c r="AL69" s="589"/>
      <c r="AM69" s="589"/>
      <c r="AN69" s="589"/>
      <c r="AO69" s="589"/>
      <c r="AP69" s="589"/>
      <c r="AQ69" s="589"/>
      <c r="AR69" s="589"/>
      <c r="AS69" s="589"/>
      <c r="AT69" s="589"/>
      <c r="AU69" s="589"/>
      <c r="AV69" s="589"/>
      <c r="AW69" s="589"/>
      <c r="AX69" s="589"/>
      <c r="AY69" s="589"/>
      <c r="AZ69" s="589"/>
      <c r="BA69" s="589"/>
      <c r="BB69" s="589"/>
      <c r="BC69" s="589"/>
      <c r="BD69" s="589"/>
      <c r="BE69" s="589"/>
      <c r="BF69" s="589"/>
      <c r="BG69" s="589"/>
      <c r="BH69" s="589"/>
      <c r="BI69" s="589"/>
      <c r="BJ69" s="589"/>
      <c r="BK69" s="589"/>
      <c r="BL69" s="589"/>
      <c r="BM69" s="589"/>
      <c r="BN69" s="589"/>
      <c r="BO69" s="589"/>
      <c r="BP69" s="626"/>
      <c r="BQ69" s="598">
        <f t="shared" si="16"/>
        <v>0</v>
      </c>
      <c r="BR69" s="615"/>
      <c r="BS69" s="616"/>
      <c r="BT69" s="616"/>
      <c r="BU69" s="616"/>
      <c r="BV69" s="616"/>
      <c r="BW69" s="616"/>
      <c r="BX69" s="616"/>
      <c r="BY69" s="616"/>
      <c r="BZ69" s="616"/>
      <c r="CA69" s="616"/>
      <c r="CB69" s="616"/>
      <c r="CC69" s="616"/>
      <c r="CD69" s="616"/>
      <c r="CE69" s="649"/>
      <c r="CF69" s="616"/>
      <c r="CG69" s="616"/>
      <c r="CH69" s="616"/>
      <c r="CI69" s="616"/>
      <c r="CJ69" s="616"/>
      <c r="CK69" s="616"/>
      <c r="CL69" s="616"/>
      <c r="CM69" s="616"/>
      <c r="CN69" s="616"/>
      <c r="CO69" s="616"/>
      <c r="CP69" s="616"/>
      <c r="CQ69" s="667">
        <f t="shared" si="6"/>
        <v>0</v>
      </c>
      <c r="CR69" s="616"/>
      <c r="CS69" s="688"/>
      <c r="CT69" s="688"/>
      <c r="CU69" s="688"/>
      <c r="CV69" s="688"/>
      <c r="CW69" s="616"/>
      <c r="CX69" s="616"/>
      <c r="CY69" s="616"/>
      <c r="CZ69" s="689"/>
      <c r="DA69" s="616"/>
      <c r="DB69" s="616"/>
      <c r="DC69" s="616"/>
      <c r="DD69" s="707"/>
      <c r="DE69" s="616"/>
      <c r="DF69" s="616"/>
      <c r="DG69" s="616"/>
      <c r="DH69" s="616"/>
      <c r="DI69" s="616"/>
      <c r="DJ69" s="616"/>
      <c r="DK69" s="616"/>
      <c r="DL69" s="616"/>
      <c r="DM69" s="616"/>
      <c r="DN69" s="616"/>
      <c r="DO69" s="616"/>
      <c r="DP69" s="563">
        <f t="shared" si="17"/>
        <v>0</v>
      </c>
      <c r="DQ69" s="739">
        <f t="shared" si="18"/>
        <v>0</v>
      </c>
      <c r="DR69" s="616"/>
      <c r="DS69" s="616"/>
      <c r="DT69" s="616"/>
      <c r="DU69" s="616"/>
      <c r="DV69" s="616"/>
      <c r="DW69" s="616"/>
      <c r="DX69" s="616"/>
      <c r="DY69" s="616"/>
      <c r="DZ69" s="616"/>
      <c r="EA69" s="616"/>
      <c r="EB69" s="616"/>
      <c r="EC69" s="616"/>
      <c r="ED69" s="616"/>
      <c r="EE69" s="616"/>
      <c r="EF69" s="616"/>
      <c r="EG69" s="616"/>
      <c r="EH69" s="616"/>
      <c r="EI69" s="616"/>
      <c r="EJ69" s="616"/>
      <c r="EK69" s="616"/>
      <c r="EL69" s="616"/>
      <c r="EM69" s="616"/>
      <c r="EN69" s="616"/>
      <c r="EO69" s="616"/>
      <c r="EP69" s="616"/>
      <c r="EQ69" s="616"/>
      <c r="ER69" s="616"/>
      <c r="ES69" s="616"/>
      <c r="ET69" s="616"/>
      <c r="EU69" s="616"/>
      <c r="EV69" s="616"/>
      <c r="EW69" s="616"/>
      <c r="EX69" s="616"/>
      <c r="EY69" s="616"/>
      <c r="EZ69" s="616"/>
      <c r="FA69" s="616"/>
      <c r="FB69" s="616"/>
      <c r="FC69" s="616"/>
      <c r="FD69" s="616"/>
      <c r="FE69" s="616"/>
      <c r="FF69" s="616"/>
      <c r="FG69" s="616"/>
      <c r="FH69" s="616"/>
      <c r="FI69" s="616"/>
      <c r="FJ69" s="616"/>
      <c r="FK69" s="616"/>
      <c r="FL69" s="616"/>
      <c r="FM69" s="761">
        <f t="shared" si="8"/>
        <v>0</v>
      </c>
      <c r="FN69" s="616"/>
      <c r="FO69" s="616"/>
      <c r="FP69" s="616"/>
      <c r="FQ69" s="616"/>
      <c r="FR69" s="616"/>
      <c r="FS69" s="616"/>
      <c r="FT69" s="616"/>
      <c r="FU69" s="616"/>
      <c r="FV69" s="616"/>
      <c r="FW69" s="616"/>
      <c r="FX69" s="616"/>
      <c r="FY69" s="616"/>
      <c r="FZ69" s="616"/>
      <c r="GA69" s="616"/>
      <c r="GB69" s="616"/>
      <c r="GC69" s="616">
        <f t="shared" si="2"/>
        <v>0</v>
      </c>
      <c r="GD69" s="616"/>
      <c r="GE69" s="616"/>
      <c r="GF69" s="616"/>
      <c r="GG69" s="616"/>
      <c r="GH69" s="616"/>
      <c r="GI69" s="616"/>
      <c r="GJ69" s="616"/>
      <c r="GK69" s="616"/>
      <c r="GL69" s="616"/>
      <c r="GM69" s="616"/>
      <c r="GN69" s="616"/>
      <c r="GO69" s="616"/>
      <c r="GP69" s="616"/>
      <c r="GQ69" s="616"/>
      <c r="GR69" s="616"/>
      <c r="GS69" s="616">
        <f t="shared" si="3"/>
        <v>0</v>
      </c>
      <c r="GT69" s="616"/>
      <c r="GU69" s="616"/>
      <c r="GV69" s="616"/>
      <c r="GW69" s="616"/>
      <c r="GX69" s="616"/>
      <c r="GY69" s="616"/>
      <c r="GZ69" s="616"/>
      <c r="HA69" s="616"/>
      <c r="HB69" s="616"/>
      <c r="HC69" s="616"/>
      <c r="HD69" s="616">
        <f t="shared" si="19"/>
        <v>0</v>
      </c>
      <c r="HE69" s="616">
        <f t="shared" si="20"/>
        <v>0</v>
      </c>
      <c r="HF69" s="616">
        <f t="shared" si="22"/>
        <v>0</v>
      </c>
      <c r="HG69" s="616">
        <f t="shared" si="23"/>
        <v>0</v>
      </c>
      <c r="HH69" s="739"/>
      <c r="HI69" s="804">
        <f t="shared" si="13"/>
        <v>0</v>
      </c>
      <c r="HJ69" s="819">
        <f t="shared" si="15"/>
        <v>0</v>
      </c>
      <c r="HK69" s="803">
        <f t="shared" si="21"/>
        <v>0</v>
      </c>
    </row>
    <row r="70" spans="1:227">
      <c r="B70" s="517" t="s">
        <v>336</v>
      </c>
      <c r="C70" s="537" t="s">
        <v>337</v>
      </c>
      <c r="D70" s="538"/>
      <c r="E70" s="549"/>
      <c r="F70" s="540"/>
      <c r="G70" s="540"/>
      <c r="H70" s="540"/>
      <c r="I70" s="573"/>
      <c r="J70" s="573"/>
      <c r="K70" s="573"/>
      <c r="L70" s="573"/>
      <c r="M70" s="573"/>
      <c r="N70" s="573"/>
      <c r="O70" s="573"/>
      <c r="P70" s="573"/>
      <c r="Q70" s="573"/>
      <c r="R70" s="573"/>
      <c r="S70" s="573"/>
      <c r="T70" s="573"/>
      <c r="U70" s="573"/>
      <c r="V70" s="573"/>
      <c r="W70" s="573"/>
      <c r="X70" s="573"/>
      <c r="Y70" s="586"/>
      <c r="Z70" s="586"/>
      <c r="AA70" s="586"/>
      <c r="AB70" s="586"/>
      <c r="AC70" s="586"/>
      <c r="AD70" s="586"/>
      <c r="AE70" s="586"/>
      <c r="AF70" s="586"/>
      <c r="AG70" s="586"/>
      <c r="AH70" s="586"/>
      <c r="AI70" s="586"/>
      <c r="AJ70" s="586"/>
      <c r="AK70" s="586"/>
      <c r="AL70" s="586"/>
      <c r="AM70" s="586"/>
      <c r="AN70" s="586"/>
      <c r="AO70" s="586"/>
      <c r="AP70" s="586"/>
      <c r="AQ70" s="586"/>
      <c r="AR70" s="586"/>
      <c r="AS70" s="586"/>
      <c r="AT70" s="586"/>
      <c r="AU70" s="586"/>
      <c r="AV70" s="586"/>
      <c r="AW70" s="586"/>
      <c r="AX70" s="586"/>
      <c r="AY70" s="586"/>
      <c r="AZ70" s="586"/>
      <c r="BA70" s="586"/>
      <c r="BB70" s="586"/>
      <c r="BC70" s="586"/>
      <c r="BD70" s="586"/>
      <c r="BE70" s="586"/>
      <c r="BF70" s="586"/>
      <c r="BG70" s="586"/>
      <c r="BH70" s="586"/>
      <c r="BI70" s="586"/>
      <c r="BJ70" s="586"/>
      <c r="BK70" s="586"/>
      <c r="BL70" s="586"/>
      <c r="BM70" s="586"/>
      <c r="BN70" s="586"/>
      <c r="BO70" s="586"/>
      <c r="BP70" s="617"/>
      <c r="BQ70" s="600">
        <f t="shared" si="16"/>
        <v>0</v>
      </c>
      <c r="BR70" s="618"/>
      <c r="BS70" s="619"/>
      <c r="BT70" s="619"/>
      <c r="BU70" s="619"/>
      <c r="BV70" s="619"/>
      <c r="BW70" s="619"/>
      <c r="BX70" s="619"/>
      <c r="BY70" s="619"/>
      <c r="BZ70" s="619"/>
      <c r="CA70" s="619"/>
      <c r="CB70" s="619"/>
      <c r="CC70" s="619"/>
      <c r="CD70" s="619"/>
      <c r="CE70" s="650"/>
      <c r="CF70" s="619"/>
      <c r="CG70" s="619"/>
      <c r="CH70" s="619"/>
      <c r="CI70" s="619"/>
      <c r="CJ70" s="619"/>
      <c r="CK70" s="619"/>
      <c r="CL70" s="619"/>
      <c r="CM70" s="619"/>
      <c r="CN70" s="619"/>
      <c r="CO70" s="619"/>
      <c r="CP70" s="619"/>
      <c r="CQ70" s="668">
        <f t="shared" si="6"/>
        <v>0</v>
      </c>
      <c r="CR70" s="619"/>
      <c r="CS70" s="690"/>
      <c r="CT70" s="690"/>
      <c r="CU70" s="690"/>
      <c r="CV70" s="690"/>
      <c r="CW70" s="619"/>
      <c r="CX70" s="619"/>
      <c r="CY70" s="619"/>
      <c r="CZ70" s="691"/>
      <c r="DA70" s="619"/>
      <c r="DB70" s="619"/>
      <c r="DC70" s="619"/>
      <c r="DD70" s="710"/>
      <c r="DE70" s="619"/>
      <c r="DF70" s="619"/>
      <c r="DG70" s="619"/>
      <c r="DH70" s="619"/>
      <c r="DI70" s="619"/>
      <c r="DJ70" s="619"/>
      <c r="DK70" s="619"/>
      <c r="DL70" s="619"/>
      <c r="DM70" s="619"/>
      <c r="DN70" s="619"/>
      <c r="DO70" s="619"/>
      <c r="DP70" s="565">
        <f t="shared" si="17"/>
        <v>0</v>
      </c>
      <c r="DQ70" s="741">
        <f t="shared" si="18"/>
        <v>0</v>
      </c>
      <c r="DR70" s="619"/>
      <c r="DS70" s="619"/>
      <c r="DT70" s="619"/>
      <c r="DU70" s="619"/>
      <c r="DV70" s="619"/>
      <c r="DW70" s="619"/>
      <c r="DX70" s="619"/>
      <c r="DY70" s="619"/>
      <c r="DZ70" s="619"/>
      <c r="EA70" s="619"/>
      <c r="EB70" s="619"/>
      <c r="EC70" s="619"/>
      <c r="ED70" s="619"/>
      <c r="EE70" s="619"/>
      <c r="EF70" s="619"/>
      <c r="EG70" s="619"/>
      <c r="EH70" s="619"/>
      <c r="EI70" s="619"/>
      <c r="EJ70" s="619"/>
      <c r="EK70" s="619"/>
      <c r="EL70" s="619"/>
      <c r="EM70" s="619"/>
      <c r="EN70" s="619"/>
      <c r="EO70" s="619"/>
      <c r="EP70" s="619"/>
      <c r="EQ70" s="619"/>
      <c r="ER70" s="619"/>
      <c r="ES70" s="619"/>
      <c r="ET70" s="619"/>
      <c r="EU70" s="619"/>
      <c r="EV70" s="619"/>
      <c r="EW70" s="619"/>
      <c r="EX70" s="619"/>
      <c r="EY70" s="619"/>
      <c r="EZ70" s="619"/>
      <c r="FA70" s="619"/>
      <c r="FB70" s="619"/>
      <c r="FC70" s="619"/>
      <c r="FD70" s="619"/>
      <c r="FE70" s="619"/>
      <c r="FF70" s="619"/>
      <c r="FG70" s="619"/>
      <c r="FH70" s="619"/>
      <c r="FI70" s="619"/>
      <c r="FJ70" s="619"/>
      <c r="FK70" s="619"/>
      <c r="FL70" s="619"/>
      <c r="FM70" s="762">
        <f t="shared" si="8"/>
        <v>0</v>
      </c>
      <c r="FN70" s="619"/>
      <c r="FO70" s="619"/>
      <c r="FP70" s="619"/>
      <c r="FQ70" s="619"/>
      <c r="FR70" s="619"/>
      <c r="FS70" s="619"/>
      <c r="FT70" s="619"/>
      <c r="FU70" s="619"/>
      <c r="FV70" s="619"/>
      <c r="FW70" s="619"/>
      <c r="FX70" s="619"/>
      <c r="FY70" s="619"/>
      <c r="FZ70" s="619"/>
      <c r="GA70" s="619"/>
      <c r="GB70" s="619"/>
      <c r="GC70" s="619">
        <f t="shared" si="2"/>
        <v>0</v>
      </c>
      <c r="GD70" s="619"/>
      <c r="GE70" s="619"/>
      <c r="GF70" s="619"/>
      <c r="GG70" s="619"/>
      <c r="GH70" s="619"/>
      <c r="GI70" s="619"/>
      <c r="GJ70" s="619"/>
      <c r="GK70" s="619"/>
      <c r="GL70" s="619"/>
      <c r="GM70" s="619"/>
      <c r="GN70" s="619"/>
      <c r="GO70" s="619"/>
      <c r="GP70" s="619"/>
      <c r="GQ70" s="619"/>
      <c r="GR70" s="619"/>
      <c r="GS70" s="619">
        <f t="shared" si="3"/>
        <v>0</v>
      </c>
      <c r="GT70" s="619"/>
      <c r="GU70" s="619"/>
      <c r="GV70" s="619"/>
      <c r="GW70" s="619"/>
      <c r="GX70" s="619"/>
      <c r="GY70" s="619"/>
      <c r="GZ70" s="619"/>
      <c r="HA70" s="619"/>
      <c r="HB70" s="619"/>
      <c r="HC70" s="619"/>
      <c r="HD70" s="619">
        <f t="shared" si="19"/>
        <v>0</v>
      </c>
      <c r="HE70" s="619">
        <f t="shared" si="20"/>
        <v>0</v>
      </c>
      <c r="HF70" s="619">
        <f t="shared" si="22"/>
        <v>0</v>
      </c>
      <c r="HG70" s="619">
        <f t="shared" si="23"/>
        <v>0</v>
      </c>
      <c r="HH70" s="741"/>
      <c r="HI70" s="804">
        <f t="shared" si="13"/>
        <v>0</v>
      </c>
      <c r="HJ70" s="820">
        <f t="shared" si="15"/>
        <v>0</v>
      </c>
      <c r="HK70" s="803">
        <f t="shared" si="21"/>
        <v>0</v>
      </c>
    </row>
    <row r="71" spans="1:227" s="474" customFormat="1">
      <c r="A71" s="829"/>
      <c r="B71" s="555" t="s">
        <v>338</v>
      </c>
      <c r="C71" s="830" t="s">
        <v>339</v>
      </c>
      <c r="D71" s="542"/>
      <c r="E71" s="543"/>
      <c r="F71" s="544"/>
      <c r="G71" s="544"/>
      <c r="H71" s="544"/>
      <c r="I71" s="574"/>
      <c r="J71" s="574"/>
      <c r="K71" s="574"/>
      <c r="L71" s="574"/>
      <c r="M71" s="574"/>
      <c r="N71" s="574"/>
      <c r="O71" s="574"/>
      <c r="P71" s="574"/>
      <c r="Q71" s="574"/>
      <c r="R71" s="574"/>
      <c r="S71" s="574"/>
      <c r="T71" s="574"/>
      <c r="U71" s="574"/>
      <c r="V71" s="574"/>
      <c r="W71" s="574"/>
      <c r="X71" s="574"/>
      <c r="Y71" s="587"/>
      <c r="Z71" s="587"/>
      <c r="AA71" s="587"/>
      <c r="AB71" s="587"/>
      <c r="AC71" s="587"/>
      <c r="AD71" s="587"/>
      <c r="AE71" s="587"/>
      <c r="AF71" s="587"/>
      <c r="AG71" s="587"/>
      <c r="AH71" s="587"/>
      <c r="AI71" s="587"/>
      <c r="AJ71" s="587"/>
      <c r="AK71" s="587"/>
      <c r="AL71" s="587"/>
      <c r="AM71" s="587"/>
      <c r="AN71" s="587"/>
      <c r="AO71" s="587"/>
      <c r="AP71" s="587"/>
      <c r="AQ71" s="587"/>
      <c r="AR71" s="587"/>
      <c r="AS71" s="587"/>
      <c r="AT71" s="587"/>
      <c r="AU71" s="587"/>
      <c r="AV71" s="587"/>
      <c r="AW71" s="587"/>
      <c r="AX71" s="587"/>
      <c r="AY71" s="587"/>
      <c r="AZ71" s="587"/>
      <c r="BA71" s="587"/>
      <c r="BB71" s="587"/>
      <c r="BC71" s="587"/>
      <c r="BD71" s="587"/>
      <c r="BE71" s="587"/>
      <c r="BF71" s="587"/>
      <c r="BG71" s="587"/>
      <c r="BH71" s="587"/>
      <c r="BI71" s="587"/>
      <c r="BJ71" s="587"/>
      <c r="BK71" s="587"/>
      <c r="BL71" s="587"/>
      <c r="BM71" s="587"/>
      <c r="BN71" s="587"/>
      <c r="BO71" s="587"/>
      <c r="BP71" s="620"/>
      <c r="BQ71" s="596">
        <f t="shared" ref="BQ71:BQ79" si="27">SUM(E71:BP71)</f>
        <v>0</v>
      </c>
      <c r="BR71" s="621"/>
      <c r="BS71" s="622"/>
      <c r="BT71" s="622"/>
      <c r="BU71" s="622"/>
      <c r="BV71" s="622"/>
      <c r="BW71" s="622"/>
      <c r="BX71" s="622"/>
      <c r="BY71" s="622"/>
      <c r="BZ71" s="622"/>
      <c r="CA71" s="622"/>
      <c r="CB71" s="622"/>
      <c r="CC71" s="622"/>
      <c r="CD71" s="622"/>
      <c r="CE71" s="651"/>
      <c r="CF71" s="622"/>
      <c r="CG71" s="622"/>
      <c r="CH71" s="622"/>
      <c r="CI71" s="622"/>
      <c r="CJ71" s="622"/>
      <c r="CK71" s="622"/>
      <c r="CL71" s="622"/>
      <c r="CM71" s="622"/>
      <c r="CN71" s="622"/>
      <c r="CO71" s="622"/>
      <c r="CP71" s="622"/>
      <c r="CQ71" s="669">
        <f t="shared" ref="CQ71:CQ79" si="28">+SUM(BR71:CP71)</f>
        <v>0</v>
      </c>
      <c r="CR71" s="622"/>
      <c r="CS71" s="692"/>
      <c r="CT71" s="692"/>
      <c r="CU71" s="692"/>
      <c r="CV71" s="692"/>
      <c r="CW71" s="622"/>
      <c r="CX71" s="622"/>
      <c r="CY71" s="622"/>
      <c r="CZ71" s="693"/>
      <c r="DA71" s="622"/>
      <c r="DB71" s="622"/>
      <c r="DC71" s="622"/>
      <c r="DD71" s="706"/>
      <c r="DE71" s="622"/>
      <c r="DF71" s="622"/>
      <c r="DG71" s="622"/>
      <c r="DH71" s="622"/>
      <c r="DI71" s="622"/>
      <c r="DJ71" s="622"/>
      <c r="DK71" s="622"/>
      <c r="DL71" s="622"/>
      <c r="DM71" s="622"/>
      <c r="DN71" s="622"/>
      <c r="DO71" s="622"/>
      <c r="DP71" s="561">
        <f t="shared" ref="DP71:DP79" si="29">+SUM(CR71:DO71)</f>
        <v>0</v>
      </c>
      <c r="DQ71" s="743">
        <f t="shared" ref="DQ71:DQ79" si="30">+CQ71+DP71</f>
        <v>0</v>
      </c>
      <c r="DR71" s="622"/>
      <c r="DS71" s="622"/>
      <c r="DT71" s="622"/>
      <c r="DU71" s="622"/>
      <c r="DV71" s="622"/>
      <c r="DW71" s="622"/>
      <c r="DX71" s="622"/>
      <c r="DY71" s="622"/>
      <c r="DZ71" s="622"/>
      <c r="EA71" s="622"/>
      <c r="EB71" s="622"/>
      <c r="EC71" s="622"/>
      <c r="ED71" s="622"/>
      <c r="EE71" s="622"/>
      <c r="EF71" s="622"/>
      <c r="EG71" s="622"/>
      <c r="EH71" s="622"/>
      <c r="EI71" s="622"/>
      <c r="EJ71" s="622"/>
      <c r="EK71" s="622"/>
      <c r="EL71" s="622"/>
      <c r="EM71" s="622"/>
      <c r="EN71" s="622"/>
      <c r="EO71" s="622"/>
      <c r="EP71" s="622"/>
      <c r="EQ71" s="622"/>
      <c r="ER71" s="622"/>
      <c r="ES71" s="622"/>
      <c r="ET71" s="622"/>
      <c r="EU71" s="622"/>
      <c r="EV71" s="622"/>
      <c r="EW71" s="622"/>
      <c r="EX71" s="622"/>
      <c r="EY71" s="622"/>
      <c r="EZ71" s="622"/>
      <c r="FA71" s="622"/>
      <c r="FB71" s="622"/>
      <c r="FC71" s="622"/>
      <c r="FD71" s="622"/>
      <c r="FE71" s="622"/>
      <c r="FF71" s="622"/>
      <c r="FG71" s="622"/>
      <c r="FH71" s="622"/>
      <c r="FI71" s="622"/>
      <c r="FJ71" s="622"/>
      <c r="FK71" s="622"/>
      <c r="FL71" s="622"/>
      <c r="FM71" s="763">
        <f t="shared" ref="FM71:FM79" si="31">SUM(DR71:FL71)</f>
        <v>0</v>
      </c>
      <c r="FN71" s="622"/>
      <c r="FO71" s="622"/>
      <c r="FP71" s="622"/>
      <c r="FQ71" s="622"/>
      <c r="FR71" s="622"/>
      <c r="FS71" s="622"/>
      <c r="FT71" s="622"/>
      <c r="FU71" s="622"/>
      <c r="FV71" s="622"/>
      <c r="FW71" s="622"/>
      <c r="FX71" s="622"/>
      <c r="FY71" s="622"/>
      <c r="FZ71" s="622"/>
      <c r="GA71" s="622"/>
      <c r="GB71" s="622"/>
      <c r="GC71" s="622">
        <f t="shared" si="2"/>
        <v>0</v>
      </c>
      <c r="GD71" s="622"/>
      <c r="GE71" s="622"/>
      <c r="GF71" s="622"/>
      <c r="GG71" s="622"/>
      <c r="GH71" s="622"/>
      <c r="GI71" s="622"/>
      <c r="GJ71" s="622"/>
      <c r="GK71" s="622"/>
      <c r="GL71" s="622"/>
      <c r="GM71" s="622"/>
      <c r="GN71" s="622"/>
      <c r="GO71" s="622"/>
      <c r="GP71" s="622"/>
      <c r="GQ71" s="622"/>
      <c r="GR71" s="622"/>
      <c r="GS71" s="622">
        <f t="shared" si="3"/>
        <v>0</v>
      </c>
      <c r="GT71" s="622"/>
      <c r="GU71" s="622"/>
      <c r="GV71" s="622"/>
      <c r="GW71" s="622"/>
      <c r="GX71" s="622"/>
      <c r="GY71" s="622"/>
      <c r="GZ71" s="622"/>
      <c r="HA71" s="622"/>
      <c r="HB71" s="622"/>
      <c r="HC71" s="622"/>
      <c r="HD71" s="622">
        <f t="shared" ref="HD71:HD79" si="32">+GT71+GU71+GV71+GW71+GX71+GY71+GZ71+HA71+HB71+HC71</f>
        <v>0</v>
      </c>
      <c r="HE71" s="622">
        <f t="shared" si="20"/>
        <v>0</v>
      </c>
      <c r="HF71" s="622">
        <f t="shared" si="22"/>
        <v>0</v>
      </c>
      <c r="HG71" s="622">
        <f t="shared" ref="HG71:HG79" si="33">-HE71+HF71</f>
        <v>0</v>
      </c>
      <c r="HH71" s="743"/>
      <c r="HI71" s="804">
        <f t="shared" si="13"/>
        <v>0</v>
      </c>
      <c r="HJ71" s="821">
        <f t="shared" si="15"/>
        <v>0</v>
      </c>
      <c r="HK71" s="803">
        <f t="shared" si="21"/>
        <v>0</v>
      </c>
      <c r="HL71" s="476"/>
      <c r="HM71" s="476"/>
      <c r="HN71" s="476"/>
      <c r="HO71" s="476"/>
      <c r="HP71" s="476"/>
      <c r="HQ71" s="476"/>
      <c r="HR71" s="476"/>
      <c r="HS71" s="953"/>
    </row>
    <row r="72" spans="1:227" s="474" customFormat="1">
      <c r="A72" s="829"/>
      <c r="B72" s="499" t="s">
        <v>340</v>
      </c>
      <c r="C72" s="831" t="s">
        <v>341</v>
      </c>
      <c r="D72" s="532"/>
      <c r="E72" s="550"/>
      <c r="F72" s="551"/>
      <c r="G72" s="551"/>
      <c r="H72" s="551"/>
      <c r="I72" s="576"/>
      <c r="J72" s="576"/>
      <c r="K72" s="576"/>
      <c r="L72" s="576"/>
      <c r="M72" s="576"/>
      <c r="N72" s="576"/>
      <c r="O72" s="576"/>
      <c r="P72" s="576"/>
      <c r="Q72" s="576"/>
      <c r="R72" s="576"/>
      <c r="S72" s="576"/>
      <c r="T72" s="576"/>
      <c r="U72" s="576"/>
      <c r="V72" s="576"/>
      <c r="W72" s="576"/>
      <c r="X72" s="576"/>
      <c r="Y72" s="589"/>
      <c r="Z72" s="589"/>
      <c r="AA72" s="589"/>
      <c r="AB72" s="589"/>
      <c r="AC72" s="589"/>
      <c r="AD72" s="589"/>
      <c r="AE72" s="589"/>
      <c r="AF72" s="589"/>
      <c r="AG72" s="589"/>
      <c r="AH72" s="589"/>
      <c r="AI72" s="589"/>
      <c r="AJ72" s="589"/>
      <c r="AK72" s="589"/>
      <c r="AL72" s="589"/>
      <c r="AM72" s="589"/>
      <c r="AN72" s="589"/>
      <c r="AO72" s="589"/>
      <c r="AP72" s="589"/>
      <c r="AQ72" s="589"/>
      <c r="AR72" s="589"/>
      <c r="AS72" s="589"/>
      <c r="AT72" s="589"/>
      <c r="AU72" s="589"/>
      <c r="AV72" s="589"/>
      <c r="AW72" s="589"/>
      <c r="AX72" s="589"/>
      <c r="AY72" s="589"/>
      <c r="AZ72" s="589"/>
      <c r="BA72" s="589"/>
      <c r="BB72" s="589"/>
      <c r="BC72" s="589"/>
      <c r="BD72" s="589"/>
      <c r="BE72" s="589"/>
      <c r="BF72" s="589"/>
      <c r="BG72" s="589"/>
      <c r="BH72" s="589"/>
      <c r="BI72" s="589"/>
      <c r="BJ72" s="589"/>
      <c r="BK72" s="589"/>
      <c r="BL72" s="589"/>
      <c r="BM72" s="589"/>
      <c r="BN72" s="589"/>
      <c r="BO72" s="589"/>
      <c r="BP72" s="626"/>
      <c r="BQ72" s="598">
        <f t="shared" si="27"/>
        <v>0</v>
      </c>
      <c r="BR72" s="615"/>
      <c r="BS72" s="616"/>
      <c r="BT72" s="616"/>
      <c r="BU72" s="616"/>
      <c r="BV72" s="616"/>
      <c r="BW72" s="616"/>
      <c r="BX72" s="616"/>
      <c r="BY72" s="616"/>
      <c r="BZ72" s="616"/>
      <c r="CA72" s="616"/>
      <c r="CB72" s="616"/>
      <c r="CC72" s="616"/>
      <c r="CD72" s="616"/>
      <c r="CE72" s="649"/>
      <c r="CF72" s="616"/>
      <c r="CG72" s="616"/>
      <c r="CH72" s="616"/>
      <c r="CI72" s="616"/>
      <c r="CJ72" s="616"/>
      <c r="CK72" s="616"/>
      <c r="CL72" s="616"/>
      <c r="CM72" s="616"/>
      <c r="CN72" s="616"/>
      <c r="CO72" s="616"/>
      <c r="CP72" s="616"/>
      <c r="CQ72" s="667">
        <f t="shared" si="28"/>
        <v>0</v>
      </c>
      <c r="CR72" s="616"/>
      <c r="CS72" s="688"/>
      <c r="CT72" s="688"/>
      <c r="CU72" s="688"/>
      <c r="CV72" s="688"/>
      <c r="CW72" s="616"/>
      <c r="CX72" s="616"/>
      <c r="CY72" s="616"/>
      <c r="CZ72" s="689"/>
      <c r="DA72" s="616"/>
      <c r="DB72" s="616"/>
      <c r="DC72" s="616"/>
      <c r="DD72" s="707"/>
      <c r="DE72" s="616"/>
      <c r="DF72" s="616"/>
      <c r="DG72" s="616"/>
      <c r="DH72" s="616"/>
      <c r="DI72" s="616"/>
      <c r="DJ72" s="616"/>
      <c r="DK72" s="616"/>
      <c r="DL72" s="616"/>
      <c r="DM72" s="616"/>
      <c r="DN72" s="616"/>
      <c r="DO72" s="616"/>
      <c r="DP72" s="563">
        <f t="shared" si="29"/>
        <v>0</v>
      </c>
      <c r="DQ72" s="739">
        <f t="shared" si="30"/>
        <v>0</v>
      </c>
      <c r="DR72" s="616"/>
      <c r="DS72" s="616"/>
      <c r="DT72" s="740"/>
      <c r="DU72" s="616"/>
      <c r="DV72" s="616"/>
      <c r="DW72" s="616"/>
      <c r="DX72" s="616"/>
      <c r="DY72" s="616"/>
      <c r="DZ72" s="616"/>
      <c r="EA72" s="616"/>
      <c r="EB72" s="616"/>
      <c r="EC72" s="616"/>
      <c r="ED72" s="616"/>
      <c r="EE72" s="616"/>
      <c r="EF72" s="616"/>
      <c r="EG72" s="616"/>
      <c r="EH72" s="616"/>
      <c r="EI72" s="616"/>
      <c r="EJ72" s="616"/>
      <c r="EK72" s="616"/>
      <c r="EL72" s="616"/>
      <c r="EM72" s="616"/>
      <c r="EN72" s="616"/>
      <c r="EO72" s="616"/>
      <c r="EP72" s="616"/>
      <c r="EQ72" s="616"/>
      <c r="ER72" s="616"/>
      <c r="ES72" s="616"/>
      <c r="ET72" s="616"/>
      <c r="EU72" s="616"/>
      <c r="EV72" s="616"/>
      <c r="EW72" s="616"/>
      <c r="EX72" s="616"/>
      <c r="EY72" s="616"/>
      <c r="EZ72" s="616"/>
      <c r="FA72" s="616"/>
      <c r="FB72" s="616"/>
      <c r="FC72" s="616"/>
      <c r="FD72" s="616"/>
      <c r="FE72" s="616"/>
      <c r="FF72" s="616"/>
      <c r="FG72" s="616"/>
      <c r="FH72" s="616"/>
      <c r="FI72" s="616"/>
      <c r="FJ72" s="616"/>
      <c r="FK72" s="616"/>
      <c r="FL72" s="616"/>
      <c r="FM72" s="761">
        <f t="shared" si="31"/>
        <v>0</v>
      </c>
      <c r="FN72" s="616"/>
      <c r="FO72" s="616"/>
      <c r="FP72" s="616"/>
      <c r="FQ72" s="616"/>
      <c r="FR72" s="616"/>
      <c r="FS72" s="616"/>
      <c r="FT72" s="616"/>
      <c r="FU72" s="616"/>
      <c r="FV72" s="616"/>
      <c r="FW72" s="616"/>
      <c r="FX72" s="616"/>
      <c r="FY72" s="616"/>
      <c r="FZ72" s="616"/>
      <c r="GA72" s="616"/>
      <c r="GB72" s="616"/>
      <c r="GC72" s="616">
        <f t="shared" si="2"/>
        <v>0</v>
      </c>
      <c r="GD72" s="616"/>
      <c r="GE72" s="616"/>
      <c r="GF72" s="616"/>
      <c r="GG72" s="616"/>
      <c r="GH72" s="616"/>
      <c r="GI72" s="616"/>
      <c r="GJ72" s="616"/>
      <c r="GK72" s="616"/>
      <c r="GL72" s="616"/>
      <c r="GM72" s="616"/>
      <c r="GN72" s="616"/>
      <c r="GO72" s="616"/>
      <c r="GP72" s="616"/>
      <c r="GQ72" s="616"/>
      <c r="GR72" s="616"/>
      <c r="GS72" s="616">
        <f t="shared" si="3"/>
        <v>0</v>
      </c>
      <c r="GT72" s="616"/>
      <c r="GU72" s="616"/>
      <c r="GV72" s="616"/>
      <c r="GW72" s="616"/>
      <c r="GX72" s="616"/>
      <c r="GY72" s="616"/>
      <c r="GZ72" s="616"/>
      <c r="HA72" s="616"/>
      <c r="HB72" s="616"/>
      <c r="HC72" s="616"/>
      <c r="HD72" s="616">
        <f t="shared" si="32"/>
        <v>0</v>
      </c>
      <c r="HE72" s="616">
        <f t="shared" si="20"/>
        <v>0</v>
      </c>
      <c r="HF72" s="616">
        <f t="shared" si="22"/>
        <v>0</v>
      </c>
      <c r="HG72" s="616">
        <f t="shared" si="33"/>
        <v>0</v>
      </c>
      <c r="HH72" s="739"/>
      <c r="HI72" s="804">
        <f t="shared" si="13"/>
        <v>0</v>
      </c>
      <c r="HJ72" s="819">
        <f t="shared" si="15"/>
        <v>0</v>
      </c>
      <c r="HK72" s="803">
        <f t="shared" si="21"/>
        <v>0</v>
      </c>
      <c r="HL72" s="476"/>
      <c r="HM72" s="476"/>
      <c r="HN72" s="476"/>
      <c r="HO72" s="476"/>
      <c r="HP72" s="476"/>
      <c r="HQ72" s="476"/>
      <c r="HR72" s="476"/>
      <c r="HS72" s="953"/>
    </row>
    <row r="73" spans="1:227" s="474" customFormat="1">
      <c r="A73" s="829"/>
      <c r="B73" s="499" t="s">
        <v>342</v>
      </c>
      <c r="C73" s="831" t="s">
        <v>343</v>
      </c>
      <c r="D73" s="532"/>
      <c r="E73" s="550"/>
      <c r="F73" s="551"/>
      <c r="G73" s="551"/>
      <c r="H73" s="551"/>
      <c r="I73" s="576"/>
      <c r="J73" s="576"/>
      <c r="K73" s="576"/>
      <c r="L73" s="576"/>
      <c r="M73" s="576"/>
      <c r="N73" s="576"/>
      <c r="O73" s="576"/>
      <c r="P73" s="576"/>
      <c r="Q73" s="576"/>
      <c r="R73" s="576"/>
      <c r="S73" s="576"/>
      <c r="T73" s="576"/>
      <c r="U73" s="576"/>
      <c r="V73" s="576"/>
      <c r="W73" s="576"/>
      <c r="X73" s="576"/>
      <c r="Y73" s="589"/>
      <c r="Z73" s="589"/>
      <c r="AA73" s="589"/>
      <c r="AB73" s="589"/>
      <c r="AC73" s="589"/>
      <c r="AD73" s="589"/>
      <c r="AE73" s="589"/>
      <c r="AF73" s="589"/>
      <c r="AG73" s="589"/>
      <c r="AH73" s="589"/>
      <c r="AI73" s="589"/>
      <c r="AJ73" s="589"/>
      <c r="AK73" s="589"/>
      <c r="AL73" s="589"/>
      <c r="AM73" s="589"/>
      <c r="AN73" s="589"/>
      <c r="AO73" s="589"/>
      <c r="AP73" s="589"/>
      <c r="AQ73" s="589"/>
      <c r="AR73" s="589"/>
      <c r="AS73" s="589"/>
      <c r="AT73" s="589"/>
      <c r="AU73" s="589"/>
      <c r="AV73" s="589"/>
      <c r="AW73" s="589"/>
      <c r="AX73" s="589"/>
      <c r="AY73" s="589"/>
      <c r="AZ73" s="589"/>
      <c r="BA73" s="589"/>
      <c r="BB73" s="589"/>
      <c r="BC73" s="589"/>
      <c r="BD73" s="589"/>
      <c r="BE73" s="589"/>
      <c r="BF73" s="589"/>
      <c r="BG73" s="589"/>
      <c r="BH73" s="589"/>
      <c r="BI73" s="589"/>
      <c r="BJ73" s="589"/>
      <c r="BK73" s="589"/>
      <c r="BL73" s="589"/>
      <c r="BM73" s="589"/>
      <c r="BN73" s="589"/>
      <c r="BO73" s="589"/>
      <c r="BP73" s="626"/>
      <c r="BQ73" s="598">
        <f t="shared" si="27"/>
        <v>0</v>
      </c>
      <c r="BR73" s="615"/>
      <c r="BS73" s="616"/>
      <c r="BT73" s="616"/>
      <c r="BU73" s="616"/>
      <c r="BV73" s="616"/>
      <c r="BW73" s="616"/>
      <c r="BX73" s="616"/>
      <c r="BY73" s="616"/>
      <c r="BZ73" s="616"/>
      <c r="CA73" s="616"/>
      <c r="CB73" s="616"/>
      <c r="CC73" s="616"/>
      <c r="CD73" s="616"/>
      <c r="CE73" s="649"/>
      <c r="CF73" s="616"/>
      <c r="CG73" s="616"/>
      <c r="CH73" s="616"/>
      <c r="CI73" s="616"/>
      <c r="CJ73" s="616"/>
      <c r="CK73" s="616"/>
      <c r="CL73" s="616"/>
      <c r="CM73" s="616"/>
      <c r="CN73" s="616"/>
      <c r="CO73" s="616"/>
      <c r="CP73" s="616"/>
      <c r="CQ73" s="667">
        <f t="shared" si="28"/>
        <v>0</v>
      </c>
      <c r="CR73" s="616"/>
      <c r="CS73" s="688"/>
      <c r="CT73" s="688"/>
      <c r="CU73" s="688"/>
      <c r="CV73" s="688"/>
      <c r="CW73" s="616"/>
      <c r="CX73" s="616"/>
      <c r="CY73" s="616"/>
      <c r="CZ73" s="689"/>
      <c r="DA73" s="616"/>
      <c r="DB73" s="616"/>
      <c r="DC73" s="616"/>
      <c r="DD73" s="707"/>
      <c r="DE73" s="616"/>
      <c r="DF73" s="616"/>
      <c r="DG73" s="616"/>
      <c r="DH73" s="616"/>
      <c r="DI73" s="616"/>
      <c r="DJ73" s="616"/>
      <c r="DK73" s="616"/>
      <c r="DL73" s="616"/>
      <c r="DM73" s="616"/>
      <c r="DN73" s="616"/>
      <c r="DO73" s="616"/>
      <c r="DP73" s="563">
        <f t="shared" si="29"/>
        <v>0</v>
      </c>
      <c r="DQ73" s="739">
        <f t="shared" si="30"/>
        <v>0</v>
      </c>
      <c r="DR73" s="616"/>
      <c r="DS73" s="616"/>
      <c r="DT73" s="616"/>
      <c r="DU73" s="616"/>
      <c r="DV73" s="616"/>
      <c r="DW73" s="616"/>
      <c r="DX73" s="616"/>
      <c r="DY73" s="616"/>
      <c r="DZ73" s="616"/>
      <c r="EA73" s="616"/>
      <c r="EB73" s="616"/>
      <c r="EC73" s="616"/>
      <c r="ED73" s="616"/>
      <c r="EE73" s="616"/>
      <c r="EF73" s="616"/>
      <c r="EG73" s="616"/>
      <c r="EH73" s="616"/>
      <c r="EI73" s="616"/>
      <c r="EJ73" s="616"/>
      <c r="EK73" s="616"/>
      <c r="EL73" s="616"/>
      <c r="EM73" s="616"/>
      <c r="EN73" s="616"/>
      <c r="EO73" s="616"/>
      <c r="EP73" s="616"/>
      <c r="EQ73" s="616"/>
      <c r="ER73" s="616"/>
      <c r="ES73" s="616"/>
      <c r="ET73" s="616"/>
      <c r="EU73" s="616"/>
      <c r="EV73" s="616"/>
      <c r="EW73" s="616"/>
      <c r="EX73" s="616"/>
      <c r="EY73" s="616"/>
      <c r="EZ73" s="616"/>
      <c r="FA73" s="616"/>
      <c r="FB73" s="616"/>
      <c r="FC73" s="616"/>
      <c r="FD73" s="616"/>
      <c r="FE73" s="616"/>
      <c r="FF73" s="616"/>
      <c r="FG73" s="616"/>
      <c r="FH73" s="616"/>
      <c r="FI73" s="616"/>
      <c r="FJ73" s="616"/>
      <c r="FK73" s="616"/>
      <c r="FL73" s="616"/>
      <c r="FM73" s="761">
        <f t="shared" si="31"/>
        <v>0</v>
      </c>
      <c r="FN73" s="616"/>
      <c r="FO73" s="616"/>
      <c r="FP73" s="616"/>
      <c r="FQ73" s="616"/>
      <c r="FR73" s="616"/>
      <c r="FS73" s="616"/>
      <c r="FT73" s="616"/>
      <c r="FU73" s="616"/>
      <c r="FV73" s="616"/>
      <c r="FW73" s="616"/>
      <c r="FX73" s="616"/>
      <c r="FY73" s="616"/>
      <c r="FZ73" s="616"/>
      <c r="GA73" s="616"/>
      <c r="GB73" s="616"/>
      <c r="GC73" s="616">
        <f t="shared" si="2"/>
        <v>0</v>
      </c>
      <c r="GD73" s="616"/>
      <c r="GE73" s="616"/>
      <c r="GF73" s="616"/>
      <c r="GG73" s="616"/>
      <c r="GH73" s="616"/>
      <c r="GI73" s="616"/>
      <c r="GJ73" s="616"/>
      <c r="GK73" s="616"/>
      <c r="GL73" s="616"/>
      <c r="GM73" s="616"/>
      <c r="GN73" s="616"/>
      <c r="GO73" s="616"/>
      <c r="GP73" s="616"/>
      <c r="GQ73" s="616"/>
      <c r="GR73" s="616"/>
      <c r="GS73" s="616">
        <f t="shared" si="3"/>
        <v>0</v>
      </c>
      <c r="GT73" s="616"/>
      <c r="GU73" s="616"/>
      <c r="GV73" s="616"/>
      <c r="GW73" s="616"/>
      <c r="GX73" s="616"/>
      <c r="GY73" s="616"/>
      <c r="GZ73" s="616"/>
      <c r="HA73" s="616"/>
      <c r="HB73" s="616"/>
      <c r="HC73" s="616"/>
      <c r="HD73" s="616">
        <f t="shared" si="32"/>
        <v>0</v>
      </c>
      <c r="HE73" s="616">
        <f t="shared" si="20"/>
        <v>0</v>
      </c>
      <c r="HF73" s="616">
        <f t="shared" si="22"/>
        <v>0</v>
      </c>
      <c r="HG73" s="616">
        <f t="shared" si="33"/>
        <v>0</v>
      </c>
      <c r="HH73" s="739">
        <f>7*11445+2*11365+796+7433</f>
        <v>111074</v>
      </c>
      <c r="HI73" s="804">
        <f t="shared" si="13"/>
        <v>111074</v>
      </c>
      <c r="HJ73" s="819">
        <f t="shared" si="15"/>
        <v>111074</v>
      </c>
      <c r="HK73" s="803">
        <f t="shared" si="21"/>
        <v>9256.1666666666661</v>
      </c>
      <c r="HL73" s="476"/>
      <c r="HM73" s="476"/>
      <c r="HN73" s="476"/>
      <c r="HO73" s="476"/>
      <c r="HP73" s="476"/>
      <c r="HQ73" s="476"/>
      <c r="HR73" s="476"/>
      <c r="HS73" s="953"/>
    </row>
    <row r="74" spans="1:227" s="474" customFormat="1">
      <c r="A74" s="829"/>
      <c r="B74" s="499" t="s">
        <v>344</v>
      </c>
      <c r="C74" s="831" t="s">
        <v>345</v>
      </c>
      <c r="D74" s="532"/>
      <c r="E74" s="550"/>
      <c r="F74" s="551"/>
      <c r="G74" s="551"/>
      <c r="H74" s="551"/>
      <c r="I74" s="576"/>
      <c r="J74" s="576"/>
      <c r="K74" s="576"/>
      <c r="L74" s="576"/>
      <c r="M74" s="576"/>
      <c r="N74" s="576"/>
      <c r="O74" s="576"/>
      <c r="P74" s="576"/>
      <c r="Q74" s="576"/>
      <c r="R74" s="576"/>
      <c r="S74" s="576"/>
      <c r="T74" s="576"/>
      <c r="U74" s="576"/>
      <c r="V74" s="576"/>
      <c r="W74" s="576"/>
      <c r="X74" s="576"/>
      <c r="Y74" s="589"/>
      <c r="Z74" s="589"/>
      <c r="AA74" s="589"/>
      <c r="AB74" s="589"/>
      <c r="AC74" s="589"/>
      <c r="AD74" s="589"/>
      <c r="AE74" s="589"/>
      <c r="AF74" s="589"/>
      <c r="AG74" s="589"/>
      <c r="AH74" s="589"/>
      <c r="AI74" s="589"/>
      <c r="AJ74" s="589"/>
      <c r="AK74" s="589"/>
      <c r="AL74" s="589"/>
      <c r="AM74" s="589"/>
      <c r="AN74" s="589"/>
      <c r="AO74" s="589"/>
      <c r="AP74" s="589"/>
      <c r="AQ74" s="589"/>
      <c r="AR74" s="589"/>
      <c r="AS74" s="589"/>
      <c r="AT74" s="589"/>
      <c r="AU74" s="589"/>
      <c r="AV74" s="589"/>
      <c r="AW74" s="589"/>
      <c r="AX74" s="589"/>
      <c r="AY74" s="589"/>
      <c r="AZ74" s="589"/>
      <c r="BA74" s="589"/>
      <c r="BB74" s="589"/>
      <c r="BC74" s="589"/>
      <c r="BD74" s="589"/>
      <c r="BE74" s="589"/>
      <c r="BF74" s="589"/>
      <c r="BG74" s="589"/>
      <c r="BH74" s="589"/>
      <c r="BI74" s="589"/>
      <c r="BJ74" s="589"/>
      <c r="BK74" s="589"/>
      <c r="BL74" s="589"/>
      <c r="BM74" s="589"/>
      <c r="BN74" s="589"/>
      <c r="BO74" s="589"/>
      <c r="BP74" s="626"/>
      <c r="BQ74" s="598">
        <f t="shared" si="27"/>
        <v>0</v>
      </c>
      <c r="BR74" s="615"/>
      <c r="BS74" s="616"/>
      <c r="BT74" s="616"/>
      <c r="BU74" s="616"/>
      <c r="BV74" s="616"/>
      <c r="BW74" s="616"/>
      <c r="BX74" s="616"/>
      <c r="BY74" s="616"/>
      <c r="BZ74" s="616"/>
      <c r="CA74" s="616"/>
      <c r="CB74" s="616"/>
      <c r="CC74" s="616"/>
      <c r="CD74" s="616"/>
      <c r="CE74" s="649"/>
      <c r="CF74" s="616"/>
      <c r="CG74" s="616"/>
      <c r="CH74" s="616"/>
      <c r="CI74" s="616"/>
      <c r="CJ74" s="616"/>
      <c r="CK74" s="616"/>
      <c r="CL74" s="616"/>
      <c r="CM74" s="616"/>
      <c r="CN74" s="616"/>
      <c r="CO74" s="616"/>
      <c r="CP74" s="616"/>
      <c r="CQ74" s="667">
        <f t="shared" si="28"/>
        <v>0</v>
      </c>
      <c r="CR74" s="616"/>
      <c r="CS74" s="688"/>
      <c r="CT74" s="688"/>
      <c r="CU74" s="688"/>
      <c r="CV74" s="688"/>
      <c r="CW74" s="616"/>
      <c r="CX74" s="616"/>
      <c r="CY74" s="616"/>
      <c r="CZ74" s="689"/>
      <c r="DA74" s="616"/>
      <c r="DB74" s="616"/>
      <c r="DC74" s="616"/>
      <c r="DD74" s="707"/>
      <c r="DE74" s="616"/>
      <c r="DF74" s="616"/>
      <c r="DG74" s="616"/>
      <c r="DH74" s="616"/>
      <c r="DI74" s="616"/>
      <c r="DJ74" s="616"/>
      <c r="DK74" s="616"/>
      <c r="DL74" s="616"/>
      <c r="DM74" s="616"/>
      <c r="DN74" s="616"/>
      <c r="DO74" s="616"/>
      <c r="DP74" s="563">
        <f t="shared" si="29"/>
        <v>0</v>
      </c>
      <c r="DQ74" s="739">
        <f t="shared" si="30"/>
        <v>0</v>
      </c>
      <c r="DR74" s="616"/>
      <c r="DS74" s="616"/>
      <c r="DT74" s="616"/>
      <c r="DU74" s="616"/>
      <c r="DV74" s="616"/>
      <c r="DW74" s="616"/>
      <c r="DX74" s="616"/>
      <c r="DY74" s="616"/>
      <c r="DZ74" s="616"/>
      <c r="EA74" s="616"/>
      <c r="EB74" s="616"/>
      <c r="EC74" s="616"/>
      <c r="ED74" s="616"/>
      <c r="EE74" s="616"/>
      <c r="EF74" s="616"/>
      <c r="EG74" s="616"/>
      <c r="EH74" s="616"/>
      <c r="EI74" s="616"/>
      <c r="EJ74" s="616"/>
      <c r="EK74" s="616"/>
      <c r="EL74" s="616"/>
      <c r="EM74" s="616"/>
      <c r="EN74" s="616"/>
      <c r="EO74" s="616"/>
      <c r="EP74" s="616"/>
      <c r="EQ74" s="616"/>
      <c r="ER74" s="616"/>
      <c r="ES74" s="616"/>
      <c r="ET74" s="616"/>
      <c r="EU74" s="616"/>
      <c r="EV74" s="616"/>
      <c r="EW74" s="616"/>
      <c r="EX74" s="616"/>
      <c r="EY74" s="616"/>
      <c r="EZ74" s="616"/>
      <c r="FA74" s="616"/>
      <c r="FB74" s="616"/>
      <c r="FC74" s="616"/>
      <c r="FD74" s="616"/>
      <c r="FE74" s="616"/>
      <c r="FF74" s="616"/>
      <c r="FG74" s="616"/>
      <c r="FH74" s="616"/>
      <c r="FI74" s="616"/>
      <c r="FJ74" s="616"/>
      <c r="FK74" s="616"/>
      <c r="FL74" s="616"/>
      <c r="FM74" s="761">
        <f t="shared" si="31"/>
        <v>0</v>
      </c>
      <c r="FN74" s="616"/>
      <c r="FO74" s="616"/>
      <c r="FP74" s="616"/>
      <c r="FQ74" s="616"/>
      <c r="FR74" s="616"/>
      <c r="FS74" s="616"/>
      <c r="FT74" s="616"/>
      <c r="FU74" s="616"/>
      <c r="FV74" s="616"/>
      <c r="FW74" s="616"/>
      <c r="FX74" s="616"/>
      <c r="FY74" s="616"/>
      <c r="FZ74" s="616"/>
      <c r="GA74" s="616"/>
      <c r="GB74" s="616"/>
      <c r="GC74" s="616">
        <f t="shared" si="2"/>
        <v>0</v>
      </c>
      <c r="GD74" s="616"/>
      <c r="GE74" s="616"/>
      <c r="GF74" s="616"/>
      <c r="GG74" s="616"/>
      <c r="GH74" s="616"/>
      <c r="GI74" s="616"/>
      <c r="GJ74" s="616"/>
      <c r="GK74" s="616"/>
      <c r="GL74" s="616"/>
      <c r="GM74" s="616"/>
      <c r="GN74" s="616"/>
      <c r="GO74" s="616"/>
      <c r="GP74" s="616"/>
      <c r="GQ74" s="616"/>
      <c r="GR74" s="616"/>
      <c r="GS74" s="616">
        <f t="shared" si="3"/>
        <v>0</v>
      </c>
      <c r="GT74" s="616"/>
      <c r="GU74" s="616"/>
      <c r="GV74" s="616"/>
      <c r="GW74" s="616"/>
      <c r="GX74" s="616"/>
      <c r="GY74" s="616"/>
      <c r="GZ74" s="616"/>
      <c r="HA74" s="616"/>
      <c r="HB74" s="616"/>
      <c r="HC74" s="616"/>
      <c r="HD74" s="616">
        <f t="shared" si="32"/>
        <v>0</v>
      </c>
      <c r="HE74" s="616">
        <f t="shared" si="20"/>
        <v>0</v>
      </c>
      <c r="HF74" s="616">
        <f t="shared" si="22"/>
        <v>0</v>
      </c>
      <c r="HG74" s="616">
        <f t="shared" si="33"/>
        <v>0</v>
      </c>
      <c r="HH74" s="739"/>
      <c r="HI74" s="804">
        <f t="shared" si="13"/>
        <v>0</v>
      </c>
      <c r="HJ74" s="819">
        <f t="shared" si="15"/>
        <v>0</v>
      </c>
      <c r="HK74" s="803">
        <f t="shared" si="21"/>
        <v>0</v>
      </c>
      <c r="HL74" s="476"/>
      <c r="HM74" s="476"/>
      <c r="HN74" s="476"/>
      <c r="HO74" s="476"/>
      <c r="HP74" s="476"/>
      <c r="HQ74" s="476"/>
      <c r="HR74" s="476"/>
      <c r="HS74" s="953"/>
    </row>
    <row r="75" spans="1:227" s="474" customFormat="1">
      <c r="A75" s="829"/>
      <c r="B75" s="517" t="s">
        <v>346</v>
      </c>
      <c r="C75" s="832" t="s">
        <v>347</v>
      </c>
      <c r="D75" s="538"/>
      <c r="E75" s="553"/>
      <c r="F75" s="601"/>
      <c r="G75" s="601"/>
      <c r="H75" s="601"/>
      <c r="I75" s="732"/>
      <c r="J75" s="732"/>
      <c r="K75" s="732"/>
      <c r="L75" s="732"/>
      <c r="M75" s="732"/>
      <c r="N75" s="732"/>
      <c r="O75" s="732"/>
      <c r="P75" s="732"/>
      <c r="Q75" s="732"/>
      <c r="R75" s="732"/>
      <c r="S75" s="732"/>
      <c r="T75" s="732"/>
      <c r="U75" s="732"/>
      <c r="V75" s="732"/>
      <c r="W75" s="732"/>
      <c r="X75" s="732"/>
      <c r="Y75" s="868"/>
      <c r="Z75" s="868"/>
      <c r="AA75" s="868"/>
      <c r="AB75" s="868"/>
      <c r="AC75" s="868"/>
      <c r="AD75" s="868"/>
      <c r="AE75" s="868"/>
      <c r="AF75" s="868"/>
      <c r="AG75" s="868"/>
      <c r="AH75" s="868"/>
      <c r="AI75" s="868"/>
      <c r="AJ75" s="868"/>
      <c r="AK75" s="868"/>
      <c r="AL75" s="868"/>
      <c r="AM75" s="868"/>
      <c r="AN75" s="868"/>
      <c r="AO75" s="868"/>
      <c r="AP75" s="868"/>
      <c r="AQ75" s="868"/>
      <c r="AR75" s="868"/>
      <c r="AS75" s="868"/>
      <c r="AT75" s="868"/>
      <c r="AU75" s="868"/>
      <c r="AV75" s="868"/>
      <c r="AW75" s="868"/>
      <c r="AX75" s="868"/>
      <c r="AY75" s="868"/>
      <c r="AZ75" s="868"/>
      <c r="BA75" s="868"/>
      <c r="BB75" s="868"/>
      <c r="BC75" s="868"/>
      <c r="BD75" s="868"/>
      <c r="BE75" s="868"/>
      <c r="BF75" s="868"/>
      <c r="BG75" s="868"/>
      <c r="BH75" s="868"/>
      <c r="BI75" s="868"/>
      <c r="BJ75" s="868"/>
      <c r="BK75" s="868"/>
      <c r="BL75" s="868"/>
      <c r="BM75" s="868"/>
      <c r="BN75" s="868"/>
      <c r="BO75" s="868"/>
      <c r="BP75" s="878"/>
      <c r="BQ75" s="600">
        <f t="shared" si="27"/>
        <v>0</v>
      </c>
      <c r="BR75" s="631"/>
      <c r="BS75" s="632"/>
      <c r="BT75" s="632"/>
      <c r="BU75" s="632"/>
      <c r="BV75" s="632"/>
      <c r="BW75" s="632"/>
      <c r="BX75" s="632"/>
      <c r="BY75" s="632"/>
      <c r="BZ75" s="632"/>
      <c r="CA75" s="632"/>
      <c r="CB75" s="632"/>
      <c r="CC75" s="632"/>
      <c r="CD75" s="632"/>
      <c r="CE75" s="653"/>
      <c r="CF75" s="632"/>
      <c r="CG75" s="632"/>
      <c r="CH75" s="632"/>
      <c r="CI75" s="632"/>
      <c r="CJ75" s="632"/>
      <c r="CK75" s="632"/>
      <c r="CL75" s="632"/>
      <c r="CM75" s="632"/>
      <c r="CN75" s="632"/>
      <c r="CO75" s="632"/>
      <c r="CP75" s="632"/>
      <c r="CQ75" s="671">
        <f t="shared" si="28"/>
        <v>0</v>
      </c>
      <c r="CR75" s="632"/>
      <c r="CS75" s="696"/>
      <c r="CT75" s="696"/>
      <c r="CU75" s="696"/>
      <c r="CV75" s="696"/>
      <c r="CW75" s="632"/>
      <c r="CX75" s="632"/>
      <c r="CY75" s="632"/>
      <c r="CZ75" s="697"/>
      <c r="DA75" s="632"/>
      <c r="DB75" s="632"/>
      <c r="DC75" s="632"/>
      <c r="DD75" s="708"/>
      <c r="DE75" s="632"/>
      <c r="DF75" s="632"/>
      <c r="DG75" s="632"/>
      <c r="DH75" s="632"/>
      <c r="DI75" s="632"/>
      <c r="DJ75" s="632"/>
      <c r="DK75" s="632"/>
      <c r="DL75" s="632"/>
      <c r="DM75" s="632"/>
      <c r="DN75" s="632"/>
      <c r="DO75" s="632"/>
      <c r="DP75" s="725">
        <f t="shared" si="29"/>
        <v>0</v>
      </c>
      <c r="DQ75" s="745">
        <f t="shared" si="30"/>
        <v>0</v>
      </c>
      <c r="DR75" s="632"/>
      <c r="DS75" s="632"/>
      <c r="DT75" s="632"/>
      <c r="DU75" s="632"/>
      <c r="DV75" s="632"/>
      <c r="DW75" s="632"/>
      <c r="DX75" s="632"/>
      <c r="DY75" s="632"/>
      <c r="DZ75" s="632"/>
      <c r="EA75" s="632"/>
      <c r="EB75" s="632"/>
      <c r="EC75" s="632"/>
      <c r="ED75" s="632"/>
      <c r="EE75" s="632"/>
      <c r="EF75" s="632"/>
      <c r="EG75" s="632"/>
      <c r="EH75" s="632"/>
      <c r="EI75" s="632"/>
      <c r="EJ75" s="632"/>
      <c r="EK75" s="632"/>
      <c r="EL75" s="632"/>
      <c r="EM75" s="632"/>
      <c r="EN75" s="632"/>
      <c r="EO75" s="632"/>
      <c r="EP75" s="632"/>
      <c r="EQ75" s="632"/>
      <c r="ER75" s="632"/>
      <c r="ES75" s="632"/>
      <c r="ET75" s="632"/>
      <c r="EU75" s="632"/>
      <c r="EV75" s="632"/>
      <c r="EW75" s="632"/>
      <c r="EX75" s="632"/>
      <c r="EY75" s="632"/>
      <c r="EZ75" s="632"/>
      <c r="FA75" s="632"/>
      <c r="FB75" s="632"/>
      <c r="FC75" s="632"/>
      <c r="FD75" s="632"/>
      <c r="FE75" s="632"/>
      <c r="FF75" s="632"/>
      <c r="FG75" s="632"/>
      <c r="FH75" s="632"/>
      <c r="FI75" s="632"/>
      <c r="FJ75" s="632"/>
      <c r="FK75" s="632"/>
      <c r="FL75" s="632"/>
      <c r="FM75" s="765">
        <f t="shared" si="31"/>
        <v>0</v>
      </c>
      <c r="FN75" s="632"/>
      <c r="FO75" s="632"/>
      <c r="FP75" s="632"/>
      <c r="FQ75" s="632"/>
      <c r="FR75" s="632"/>
      <c r="FS75" s="632"/>
      <c r="FT75" s="632"/>
      <c r="FU75" s="632"/>
      <c r="FV75" s="632"/>
      <c r="FW75" s="632"/>
      <c r="FX75" s="632"/>
      <c r="FY75" s="632"/>
      <c r="FZ75" s="632"/>
      <c r="GA75" s="632"/>
      <c r="GB75" s="632"/>
      <c r="GC75" s="632">
        <f t="shared" si="2"/>
        <v>0</v>
      </c>
      <c r="GD75" s="632"/>
      <c r="GE75" s="632"/>
      <c r="GF75" s="632"/>
      <c r="GG75" s="632"/>
      <c r="GH75" s="632"/>
      <c r="GI75" s="632"/>
      <c r="GJ75" s="632"/>
      <c r="GK75" s="632"/>
      <c r="GL75" s="632"/>
      <c r="GM75" s="632"/>
      <c r="GN75" s="632"/>
      <c r="GO75" s="632"/>
      <c r="GP75" s="632"/>
      <c r="GQ75" s="632"/>
      <c r="GR75" s="632"/>
      <c r="GS75" s="632">
        <f t="shared" si="3"/>
        <v>0</v>
      </c>
      <c r="GT75" s="632"/>
      <c r="GU75" s="632"/>
      <c r="GV75" s="632"/>
      <c r="GW75" s="632"/>
      <c r="GX75" s="632"/>
      <c r="GY75" s="632"/>
      <c r="GZ75" s="632"/>
      <c r="HA75" s="632"/>
      <c r="HB75" s="632"/>
      <c r="HC75" s="632"/>
      <c r="HD75" s="632">
        <f t="shared" si="32"/>
        <v>0</v>
      </c>
      <c r="HE75" s="632">
        <f t="shared" si="20"/>
        <v>0</v>
      </c>
      <c r="HF75" s="632">
        <f t="shared" si="22"/>
        <v>0</v>
      </c>
      <c r="HG75" s="632">
        <f t="shared" si="33"/>
        <v>0</v>
      </c>
      <c r="HH75" s="745">
        <f>3*11345+4*11350</f>
        <v>79435</v>
      </c>
      <c r="HI75" s="930">
        <f t="shared" si="13"/>
        <v>79435</v>
      </c>
      <c r="HJ75" s="823">
        <f t="shared" si="15"/>
        <v>79435</v>
      </c>
      <c r="HK75" s="808">
        <f t="shared" si="21"/>
        <v>6619.583333333333</v>
      </c>
      <c r="HL75" s="476"/>
      <c r="HM75" s="476"/>
      <c r="HN75" s="476"/>
      <c r="HO75" s="476"/>
      <c r="HP75" s="476"/>
      <c r="HQ75" s="476"/>
      <c r="HR75" s="476"/>
      <c r="HS75" s="953"/>
    </row>
    <row r="76" spans="1:227">
      <c r="B76" s="506" t="s">
        <v>348</v>
      </c>
      <c r="C76" s="558" t="s">
        <v>349</v>
      </c>
      <c r="D76" s="833"/>
      <c r="E76" s="834"/>
      <c r="F76" s="544"/>
      <c r="G76" s="574"/>
      <c r="H76" s="544"/>
      <c r="I76" s="574"/>
      <c r="J76" s="574"/>
      <c r="K76" s="574"/>
      <c r="L76" s="574"/>
      <c r="M76" s="574"/>
      <c r="N76" s="574"/>
      <c r="O76" s="574"/>
      <c r="P76" s="574"/>
      <c r="Q76" s="574"/>
      <c r="R76" s="574"/>
      <c r="S76" s="574"/>
      <c r="T76" s="574"/>
      <c r="U76" s="574"/>
      <c r="V76" s="574"/>
      <c r="W76" s="574"/>
      <c r="X76" s="574"/>
      <c r="Y76" s="587"/>
      <c r="Z76" s="587"/>
      <c r="AA76" s="587"/>
      <c r="AB76" s="587"/>
      <c r="AC76" s="587"/>
      <c r="AD76" s="587"/>
      <c r="AE76" s="587"/>
      <c r="AF76" s="587"/>
      <c r="AG76" s="587"/>
      <c r="AH76" s="587"/>
      <c r="AI76" s="587"/>
      <c r="AJ76" s="587"/>
      <c r="AK76" s="587"/>
      <c r="AL76" s="587"/>
      <c r="AM76" s="587"/>
      <c r="AN76" s="587"/>
      <c r="AO76" s="587"/>
      <c r="AP76" s="587"/>
      <c r="AQ76" s="587"/>
      <c r="AR76" s="587"/>
      <c r="AS76" s="587"/>
      <c r="AT76" s="587"/>
      <c r="AU76" s="587"/>
      <c r="AV76" s="587"/>
      <c r="AW76" s="587"/>
      <c r="AX76" s="587"/>
      <c r="AY76" s="587"/>
      <c r="AZ76" s="587"/>
      <c r="BA76" s="587"/>
      <c r="BB76" s="587"/>
      <c r="BC76" s="587"/>
      <c r="BD76" s="587"/>
      <c r="BE76" s="587"/>
      <c r="BF76" s="587"/>
      <c r="BG76" s="587"/>
      <c r="BH76" s="587"/>
      <c r="BI76" s="587"/>
      <c r="BJ76" s="587"/>
      <c r="BK76" s="587"/>
      <c r="BL76" s="587"/>
      <c r="BM76" s="587"/>
      <c r="BN76" s="587"/>
      <c r="BO76" s="587"/>
      <c r="BP76" s="620"/>
      <c r="BQ76" s="596">
        <f t="shared" si="27"/>
        <v>0</v>
      </c>
      <c r="BR76" s="621"/>
      <c r="BS76" s="622"/>
      <c r="BT76" s="622"/>
      <c r="BU76" s="622"/>
      <c r="BV76" s="622"/>
      <c r="BW76" s="622"/>
      <c r="BX76" s="622"/>
      <c r="BY76" s="622"/>
      <c r="BZ76" s="622"/>
      <c r="CA76" s="622"/>
      <c r="CB76" s="622"/>
      <c r="CC76" s="622"/>
      <c r="CD76" s="622"/>
      <c r="CE76" s="651"/>
      <c r="CF76" s="622"/>
      <c r="CG76" s="622"/>
      <c r="CH76" s="622"/>
      <c r="CI76" s="622"/>
      <c r="CJ76" s="622"/>
      <c r="CK76" s="622"/>
      <c r="CL76" s="622"/>
      <c r="CM76" s="622"/>
      <c r="CN76" s="622"/>
      <c r="CO76" s="622"/>
      <c r="CP76" s="622"/>
      <c r="CQ76" s="669">
        <f t="shared" si="28"/>
        <v>0</v>
      </c>
      <c r="CR76" s="622"/>
      <c r="CS76" s="692"/>
      <c r="CT76" s="692"/>
      <c r="CU76" s="692"/>
      <c r="CV76" s="692"/>
      <c r="CW76" s="622"/>
      <c r="CX76" s="622"/>
      <c r="CY76" s="622"/>
      <c r="CZ76" s="693"/>
      <c r="DA76" s="622"/>
      <c r="DB76" s="622"/>
      <c r="DC76" s="622"/>
      <c r="DD76" s="706"/>
      <c r="DE76" s="622"/>
      <c r="DF76" s="622"/>
      <c r="DG76" s="622"/>
      <c r="DH76" s="622"/>
      <c r="DI76" s="622"/>
      <c r="DJ76" s="622"/>
      <c r="DK76" s="622"/>
      <c r="DL76" s="622"/>
      <c r="DM76" s="622"/>
      <c r="DN76" s="622"/>
      <c r="DO76" s="622"/>
      <c r="DP76" s="561">
        <f t="shared" si="29"/>
        <v>0</v>
      </c>
      <c r="DQ76" s="743">
        <f t="shared" si="30"/>
        <v>0</v>
      </c>
      <c r="DR76" s="622"/>
      <c r="DS76" s="622"/>
      <c r="DT76" s="622"/>
      <c r="DU76" s="622"/>
      <c r="DV76" s="622"/>
      <c r="DW76" s="622"/>
      <c r="DX76" s="622"/>
      <c r="DY76" s="922"/>
      <c r="DZ76" s="622"/>
      <c r="EA76" s="622"/>
      <c r="EB76" s="622"/>
      <c r="EC76" s="622"/>
      <c r="ED76" s="622"/>
      <c r="EE76" s="622"/>
      <c r="EF76" s="622"/>
      <c r="EG76" s="622"/>
      <c r="EH76" s="622"/>
      <c r="EI76" s="622"/>
      <c r="EJ76" s="622"/>
      <c r="EK76" s="622"/>
      <c r="EL76" s="622"/>
      <c r="EM76" s="622"/>
      <c r="EN76" s="622"/>
      <c r="EO76" s="622"/>
      <c r="EP76" s="622"/>
      <c r="EQ76" s="622"/>
      <c r="ER76" s="622"/>
      <c r="ES76" s="622"/>
      <c r="ET76" s="622"/>
      <c r="EU76" s="622"/>
      <c r="EV76" s="622"/>
      <c r="EW76" s="622"/>
      <c r="EX76" s="622"/>
      <c r="EY76" s="622"/>
      <c r="EZ76" s="622"/>
      <c r="FA76" s="622"/>
      <c r="FB76" s="622"/>
      <c r="FC76" s="622"/>
      <c r="FD76" s="622"/>
      <c r="FE76" s="622"/>
      <c r="FF76" s="622"/>
      <c r="FG76" s="622"/>
      <c r="FH76" s="622"/>
      <c r="FI76" s="622"/>
      <c r="FJ76" s="622"/>
      <c r="FK76" s="622"/>
      <c r="FL76" s="622"/>
      <c r="FM76" s="763">
        <f t="shared" si="31"/>
        <v>0</v>
      </c>
      <c r="FN76" s="622"/>
      <c r="FO76" s="622"/>
      <c r="FP76" s="622"/>
      <c r="FQ76" s="622"/>
      <c r="FR76" s="622"/>
      <c r="FS76" s="622"/>
      <c r="FT76" s="622"/>
      <c r="FU76" s="622"/>
      <c r="FV76" s="622"/>
      <c r="FW76" s="622"/>
      <c r="FX76" s="622"/>
      <c r="FY76" s="622"/>
      <c r="FZ76" s="622"/>
      <c r="GA76" s="622"/>
      <c r="GB76" s="622"/>
      <c r="GC76" s="622"/>
      <c r="GD76" s="622"/>
      <c r="GE76" s="622"/>
      <c r="GF76" s="622"/>
      <c r="GG76" s="622"/>
      <c r="GH76" s="622"/>
      <c r="GI76" s="622"/>
      <c r="GJ76" s="622"/>
      <c r="GK76" s="622"/>
      <c r="GL76" s="622"/>
      <c r="GM76" s="622"/>
      <c r="GN76" s="622"/>
      <c r="GO76" s="622"/>
      <c r="GP76" s="622"/>
      <c r="GQ76" s="622"/>
      <c r="GR76" s="622"/>
      <c r="GS76" s="622"/>
      <c r="GT76" s="622"/>
      <c r="GU76" s="622"/>
      <c r="GV76" s="622"/>
      <c r="GW76" s="622"/>
      <c r="GX76" s="622"/>
      <c r="GY76" s="622"/>
      <c r="GZ76" s="622"/>
      <c r="HA76" s="622"/>
      <c r="HB76" s="622"/>
      <c r="HC76" s="622"/>
      <c r="HD76" s="622">
        <f t="shared" si="32"/>
        <v>0</v>
      </c>
      <c r="HE76" s="622">
        <f t="shared" si="20"/>
        <v>0</v>
      </c>
      <c r="HF76" s="622">
        <f t="shared" si="22"/>
        <v>0</v>
      </c>
      <c r="HG76" s="926">
        <f t="shared" si="33"/>
        <v>0</v>
      </c>
      <c r="HH76" s="743"/>
      <c r="HI76" s="801">
        <f t="shared" si="13"/>
        <v>0</v>
      </c>
      <c r="HJ76" s="821">
        <f t="shared" si="15"/>
        <v>0</v>
      </c>
      <c r="HK76" s="931">
        <f t="shared" si="21"/>
        <v>0</v>
      </c>
    </row>
    <row r="77" spans="1:227">
      <c r="B77" s="506" t="s">
        <v>350</v>
      </c>
      <c r="C77" s="558" t="s">
        <v>351</v>
      </c>
      <c r="D77" s="833"/>
      <c r="E77" s="835"/>
      <c r="F77" s="551"/>
      <c r="G77" s="551"/>
      <c r="H77" s="576"/>
      <c r="I77" s="576"/>
      <c r="J77" s="576"/>
      <c r="K77" s="576"/>
      <c r="L77" s="576"/>
      <c r="M77" s="576"/>
      <c r="N77" s="576"/>
      <c r="O77" s="576"/>
      <c r="P77" s="576"/>
      <c r="Q77" s="576"/>
      <c r="R77" s="576"/>
      <c r="S77" s="576"/>
      <c r="T77" s="576"/>
      <c r="U77" s="576"/>
      <c r="V77" s="576"/>
      <c r="W77" s="576"/>
      <c r="X77" s="576"/>
      <c r="Y77" s="589"/>
      <c r="Z77" s="589"/>
      <c r="AA77" s="589"/>
      <c r="AB77" s="589"/>
      <c r="AC77" s="589"/>
      <c r="AD77" s="589"/>
      <c r="AE77" s="589"/>
      <c r="AF77" s="589"/>
      <c r="AG77" s="589"/>
      <c r="AH77" s="589"/>
      <c r="AI77" s="589"/>
      <c r="AJ77" s="589"/>
      <c r="AK77" s="589"/>
      <c r="AL77" s="589"/>
      <c r="AM77" s="589"/>
      <c r="AN77" s="589"/>
      <c r="AO77" s="589"/>
      <c r="AP77" s="589"/>
      <c r="AQ77" s="589"/>
      <c r="AR77" s="589"/>
      <c r="AS77" s="589"/>
      <c r="AT77" s="589"/>
      <c r="AU77" s="589"/>
      <c r="AV77" s="589"/>
      <c r="AW77" s="589"/>
      <c r="AX77" s="589"/>
      <c r="AY77" s="589"/>
      <c r="AZ77" s="589"/>
      <c r="BA77" s="589"/>
      <c r="BB77" s="589"/>
      <c r="BC77" s="589"/>
      <c r="BD77" s="589"/>
      <c r="BE77" s="589"/>
      <c r="BF77" s="589"/>
      <c r="BG77" s="589"/>
      <c r="BH77" s="589"/>
      <c r="BI77" s="589"/>
      <c r="BJ77" s="589"/>
      <c r="BK77" s="589"/>
      <c r="BL77" s="589"/>
      <c r="BM77" s="589"/>
      <c r="BN77" s="589"/>
      <c r="BO77" s="589"/>
      <c r="BP77" s="626"/>
      <c r="BQ77" s="598">
        <f t="shared" si="27"/>
        <v>0</v>
      </c>
      <c r="BR77" s="615"/>
      <c r="BS77" s="616"/>
      <c r="BT77" s="616"/>
      <c r="BU77" s="616"/>
      <c r="BV77" s="616"/>
      <c r="BW77" s="616"/>
      <c r="BX77" s="616"/>
      <c r="BY77" s="616"/>
      <c r="BZ77" s="616"/>
      <c r="CA77" s="616"/>
      <c r="CB77" s="616"/>
      <c r="CC77" s="616"/>
      <c r="CD77" s="616"/>
      <c r="CE77" s="649"/>
      <c r="CF77" s="616"/>
      <c r="CG77" s="616"/>
      <c r="CH77" s="616"/>
      <c r="CI77" s="616"/>
      <c r="CJ77" s="616"/>
      <c r="CK77" s="616"/>
      <c r="CL77" s="616"/>
      <c r="CM77" s="616"/>
      <c r="CN77" s="616"/>
      <c r="CO77" s="616"/>
      <c r="CP77" s="616"/>
      <c r="CQ77" s="667">
        <f t="shared" si="28"/>
        <v>0</v>
      </c>
      <c r="CR77" s="616"/>
      <c r="CS77" s="688"/>
      <c r="CT77" s="688"/>
      <c r="CU77" s="688"/>
      <c r="CV77" s="688"/>
      <c r="CW77" s="616"/>
      <c r="CX77" s="616"/>
      <c r="CY77" s="616"/>
      <c r="CZ77" s="689"/>
      <c r="DA77" s="616"/>
      <c r="DB77" s="616"/>
      <c r="DC77" s="616"/>
      <c r="DD77" s="707"/>
      <c r="DE77" s="616"/>
      <c r="DF77" s="616"/>
      <c r="DG77" s="616"/>
      <c r="DH77" s="616"/>
      <c r="DI77" s="616"/>
      <c r="DJ77" s="616"/>
      <c r="DK77" s="616"/>
      <c r="DL77" s="616"/>
      <c r="DM77" s="616"/>
      <c r="DN77" s="616"/>
      <c r="DO77" s="616"/>
      <c r="DP77" s="563">
        <f t="shared" si="29"/>
        <v>0</v>
      </c>
      <c r="DQ77" s="739">
        <f t="shared" si="30"/>
        <v>0</v>
      </c>
      <c r="DR77" s="616"/>
      <c r="DS77" s="616"/>
      <c r="DT77" s="616"/>
      <c r="DU77" s="616"/>
      <c r="DV77" s="616"/>
      <c r="DW77" s="616"/>
      <c r="DX77" s="616"/>
      <c r="DY77" s="740"/>
      <c r="DZ77" s="616"/>
      <c r="EA77" s="616"/>
      <c r="EB77" s="616"/>
      <c r="EC77" s="616"/>
      <c r="ED77" s="616"/>
      <c r="EE77" s="616"/>
      <c r="EF77" s="616"/>
      <c r="EG77" s="616"/>
      <c r="EH77" s="616"/>
      <c r="EI77" s="616"/>
      <c r="EJ77" s="616"/>
      <c r="EK77" s="616"/>
      <c r="EL77" s="616"/>
      <c r="EM77" s="616"/>
      <c r="EN77" s="616"/>
      <c r="EO77" s="616"/>
      <c r="EP77" s="616"/>
      <c r="EQ77" s="616"/>
      <c r="ER77" s="616"/>
      <c r="ES77" s="616"/>
      <c r="ET77" s="616"/>
      <c r="EU77" s="616"/>
      <c r="EV77" s="616"/>
      <c r="EW77" s="616"/>
      <c r="EX77" s="616"/>
      <c r="EY77" s="616"/>
      <c r="EZ77" s="616"/>
      <c r="FA77" s="616"/>
      <c r="FB77" s="616"/>
      <c r="FC77" s="616"/>
      <c r="FD77" s="616"/>
      <c r="FE77" s="616"/>
      <c r="FF77" s="616"/>
      <c r="FG77" s="616"/>
      <c r="FH77" s="616"/>
      <c r="FI77" s="616"/>
      <c r="FJ77" s="616"/>
      <c r="FK77" s="616"/>
      <c r="FL77" s="616"/>
      <c r="FM77" s="761">
        <f t="shared" si="31"/>
        <v>0</v>
      </c>
      <c r="FN77" s="616"/>
      <c r="FO77" s="616"/>
      <c r="FP77" s="616"/>
      <c r="FQ77" s="616"/>
      <c r="FR77" s="616"/>
      <c r="FS77" s="616"/>
      <c r="FT77" s="616"/>
      <c r="FU77" s="616"/>
      <c r="FV77" s="616"/>
      <c r="FW77" s="616"/>
      <c r="FX77" s="616"/>
      <c r="FY77" s="616"/>
      <c r="FZ77" s="616"/>
      <c r="GA77" s="616"/>
      <c r="GB77" s="616"/>
      <c r="GC77" s="616"/>
      <c r="GD77" s="616"/>
      <c r="GE77" s="616"/>
      <c r="GF77" s="616"/>
      <c r="GG77" s="616"/>
      <c r="GH77" s="616"/>
      <c r="GI77" s="616"/>
      <c r="GJ77" s="616"/>
      <c r="GK77" s="616"/>
      <c r="GL77" s="616"/>
      <c r="GM77" s="616"/>
      <c r="GN77" s="616"/>
      <c r="GO77" s="616"/>
      <c r="GP77" s="616"/>
      <c r="GQ77" s="616"/>
      <c r="GR77" s="616"/>
      <c r="GS77" s="616"/>
      <c r="GT77" s="616"/>
      <c r="GU77" s="616"/>
      <c r="GV77" s="616"/>
      <c r="GW77" s="616"/>
      <c r="GX77" s="616"/>
      <c r="GY77" s="616"/>
      <c r="GZ77" s="616"/>
      <c r="HA77" s="616"/>
      <c r="HB77" s="616"/>
      <c r="HC77" s="616"/>
      <c r="HD77" s="616">
        <f t="shared" si="32"/>
        <v>0</v>
      </c>
      <c r="HE77" s="616">
        <f t="shared" si="20"/>
        <v>0</v>
      </c>
      <c r="HF77" s="616">
        <f t="shared" si="22"/>
        <v>0</v>
      </c>
      <c r="HG77" s="619">
        <f t="shared" si="33"/>
        <v>0</v>
      </c>
      <c r="HH77" s="739"/>
      <c r="HI77" s="804">
        <f t="shared" si="13"/>
        <v>0</v>
      </c>
      <c r="HJ77" s="819">
        <f t="shared" si="15"/>
        <v>0</v>
      </c>
      <c r="HK77" s="803">
        <f t="shared" si="21"/>
        <v>0</v>
      </c>
    </row>
    <row r="78" spans="1:227">
      <c r="B78" s="506" t="s">
        <v>352</v>
      </c>
      <c r="C78" s="558" t="s">
        <v>353</v>
      </c>
      <c r="D78" s="833"/>
      <c r="E78" s="835"/>
      <c r="F78" s="551"/>
      <c r="G78" s="551"/>
      <c r="H78" s="551"/>
      <c r="I78" s="576"/>
      <c r="J78" s="576"/>
      <c r="K78" s="576"/>
      <c r="L78" s="576"/>
      <c r="M78" s="576"/>
      <c r="N78" s="576"/>
      <c r="O78" s="576"/>
      <c r="P78" s="576"/>
      <c r="Q78" s="576"/>
      <c r="R78" s="576"/>
      <c r="S78" s="576"/>
      <c r="T78" s="576"/>
      <c r="U78" s="576"/>
      <c r="V78" s="576"/>
      <c r="W78" s="576"/>
      <c r="X78" s="576"/>
      <c r="Y78" s="589"/>
      <c r="Z78" s="589"/>
      <c r="AA78" s="589"/>
      <c r="AB78" s="589"/>
      <c r="AC78" s="589"/>
      <c r="AD78" s="589"/>
      <c r="AE78" s="589"/>
      <c r="AF78" s="589"/>
      <c r="AG78" s="589"/>
      <c r="AH78" s="589"/>
      <c r="AI78" s="589"/>
      <c r="AJ78" s="589"/>
      <c r="AK78" s="589"/>
      <c r="AL78" s="589"/>
      <c r="AM78" s="589"/>
      <c r="AN78" s="589"/>
      <c r="AO78" s="589"/>
      <c r="AP78" s="589"/>
      <c r="AQ78" s="589"/>
      <c r="AR78" s="589"/>
      <c r="AS78" s="589"/>
      <c r="AT78" s="589"/>
      <c r="AU78" s="589"/>
      <c r="AV78" s="589"/>
      <c r="AW78" s="589"/>
      <c r="AX78" s="589"/>
      <c r="AY78" s="589"/>
      <c r="AZ78" s="589"/>
      <c r="BA78" s="589"/>
      <c r="BB78" s="589"/>
      <c r="BC78" s="589"/>
      <c r="BD78" s="589"/>
      <c r="BE78" s="589"/>
      <c r="BF78" s="589"/>
      <c r="BG78" s="589"/>
      <c r="BH78" s="589"/>
      <c r="BI78" s="589"/>
      <c r="BJ78" s="589"/>
      <c r="BK78" s="589"/>
      <c r="BL78" s="589"/>
      <c r="BM78" s="589"/>
      <c r="BN78" s="589"/>
      <c r="BO78" s="589"/>
      <c r="BP78" s="626"/>
      <c r="BQ78" s="598">
        <f t="shared" si="27"/>
        <v>0</v>
      </c>
      <c r="BR78" s="615"/>
      <c r="BS78" s="616"/>
      <c r="BT78" s="616"/>
      <c r="BU78" s="616"/>
      <c r="BV78" s="616"/>
      <c r="BW78" s="616"/>
      <c r="BX78" s="616"/>
      <c r="BY78" s="616"/>
      <c r="BZ78" s="616"/>
      <c r="CA78" s="616"/>
      <c r="CB78" s="616"/>
      <c r="CC78" s="616"/>
      <c r="CD78" s="616"/>
      <c r="CE78" s="649"/>
      <c r="CF78" s="616"/>
      <c r="CG78" s="616"/>
      <c r="CH78" s="616"/>
      <c r="CI78" s="616"/>
      <c r="CJ78" s="616"/>
      <c r="CK78" s="616"/>
      <c r="CL78" s="616"/>
      <c r="CM78" s="616"/>
      <c r="CN78" s="616"/>
      <c r="CO78" s="616"/>
      <c r="CP78" s="616"/>
      <c r="CQ78" s="667">
        <f t="shared" si="28"/>
        <v>0</v>
      </c>
      <c r="CR78" s="616"/>
      <c r="CS78" s="688"/>
      <c r="CT78" s="688"/>
      <c r="CU78" s="688"/>
      <c r="CV78" s="688"/>
      <c r="CW78" s="616"/>
      <c r="CX78" s="616"/>
      <c r="CY78" s="616"/>
      <c r="CZ78" s="689"/>
      <c r="DA78" s="616"/>
      <c r="DB78" s="616"/>
      <c r="DC78" s="616"/>
      <c r="DD78" s="707"/>
      <c r="DE78" s="616"/>
      <c r="DF78" s="616"/>
      <c r="DG78" s="616"/>
      <c r="DH78" s="616"/>
      <c r="DI78" s="616"/>
      <c r="DJ78" s="616"/>
      <c r="DK78" s="616"/>
      <c r="DL78" s="616"/>
      <c r="DM78" s="616"/>
      <c r="DN78" s="616"/>
      <c r="DO78" s="616"/>
      <c r="DP78" s="563">
        <f t="shared" si="29"/>
        <v>0</v>
      </c>
      <c r="DQ78" s="739">
        <f t="shared" si="30"/>
        <v>0</v>
      </c>
      <c r="DR78" s="616"/>
      <c r="DS78" s="616"/>
      <c r="DT78" s="616"/>
      <c r="DU78" s="616"/>
      <c r="DV78" s="616"/>
      <c r="DW78" s="616"/>
      <c r="DX78" s="616"/>
      <c r="DY78" s="616"/>
      <c r="DZ78" s="616"/>
      <c r="EA78" s="616"/>
      <c r="EB78" s="616"/>
      <c r="EC78" s="616"/>
      <c r="ED78" s="616"/>
      <c r="EE78" s="616"/>
      <c r="EF78" s="616"/>
      <c r="EG78" s="616"/>
      <c r="EH78" s="616"/>
      <c r="EI78" s="616"/>
      <c r="EJ78" s="616"/>
      <c r="EK78" s="616"/>
      <c r="EL78" s="616"/>
      <c r="EM78" s="616"/>
      <c r="EN78" s="616"/>
      <c r="EO78" s="616"/>
      <c r="EP78" s="616"/>
      <c r="EQ78" s="616"/>
      <c r="ER78" s="616"/>
      <c r="ES78" s="616"/>
      <c r="ET78" s="616"/>
      <c r="EU78" s="616"/>
      <c r="EV78" s="616"/>
      <c r="EW78" s="616"/>
      <c r="EX78" s="616"/>
      <c r="EY78" s="616"/>
      <c r="EZ78" s="616"/>
      <c r="FA78" s="616"/>
      <c r="FB78" s="616"/>
      <c r="FC78" s="616"/>
      <c r="FD78" s="616"/>
      <c r="FE78" s="616"/>
      <c r="FF78" s="616"/>
      <c r="FG78" s="616"/>
      <c r="FH78" s="616"/>
      <c r="FI78" s="616"/>
      <c r="FJ78" s="616"/>
      <c r="FK78" s="616"/>
      <c r="FL78" s="616"/>
      <c r="FM78" s="761">
        <f t="shared" si="31"/>
        <v>0</v>
      </c>
      <c r="FN78" s="616"/>
      <c r="FO78" s="616"/>
      <c r="FP78" s="616"/>
      <c r="FQ78" s="616"/>
      <c r="FR78" s="616"/>
      <c r="FS78" s="616"/>
      <c r="FT78" s="616"/>
      <c r="FU78" s="616"/>
      <c r="FV78" s="616"/>
      <c r="FW78" s="616"/>
      <c r="FX78" s="616"/>
      <c r="FY78" s="616"/>
      <c r="FZ78" s="616"/>
      <c r="GA78" s="616"/>
      <c r="GB78" s="616"/>
      <c r="GC78" s="616"/>
      <c r="GD78" s="616"/>
      <c r="GE78" s="616"/>
      <c r="GF78" s="616"/>
      <c r="GG78" s="616"/>
      <c r="GH78" s="616"/>
      <c r="GI78" s="616"/>
      <c r="GJ78" s="616"/>
      <c r="GK78" s="616"/>
      <c r="GL78" s="616"/>
      <c r="GM78" s="616"/>
      <c r="GN78" s="616"/>
      <c r="GO78" s="616"/>
      <c r="GP78" s="616"/>
      <c r="GQ78" s="616"/>
      <c r="GR78" s="616"/>
      <c r="GS78" s="616"/>
      <c r="GT78" s="616"/>
      <c r="GU78" s="616"/>
      <c r="GV78" s="616"/>
      <c r="GW78" s="616"/>
      <c r="GX78" s="616"/>
      <c r="GY78" s="616"/>
      <c r="GZ78" s="616"/>
      <c r="HA78" s="616"/>
      <c r="HB78" s="616"/>
      <c r="HC78" s="616"/>
      <c r="HD78" s="616">
        <f t="shared" si="32"/>
        <v>0</v>
      </c>
      <c r="HE78" s="616">
        <f t="shared" si="20"/>
        <v>0</v>
      </c>
      <c r="HF78" s="616">
        <f t="shared" si="22"/>
        <v>0</v>
      </c>
      <c r="HG78" s="619">
        <f t="shared" si="33"/>
        <v>0</v>
      </c>
      <c r="HH78" s="739"/>
      <c r="HI78" s="804">
        <f t="shared" si="13"/>
        <v>0</v>
      </c>
      <c r="HJ78" s="819">
        <f t="shared" si="15"/>
        <v>0</v>
      </c>
      <c r="HK78" s="803">
        <f t="shared" si="21"/>
        <v>0</v>
      </c>
    </row>
    <row r="79" spans="1:227">
      <c r="B79" s="506"/>
      <c r="C79" s="558"/>
      <c r="D79" s="833"/>
      <c r="E79" s="836"/>
      <c r="F79" s="540"/>
      <c r="G79" s="540"/>
      <c r="H79" s="540"/>
      <c r="I79" s="573"/>
      <c r="J79" s="573"/>
      <c r="K79" s="573"/>
      <c r="L79" s="573"/>
      <c r="M79" s="573"/>
      <c r="N79" s="573"/>
      <c r="O79" s="573"/>
      <c r="P79" s="573"/>
      <c r="Q79" s="573"/>
      <c r="R79" s="573"/>
      <c r="S79" s="573"/>
      <c r="T79" s="573"/>
      <c r="U79" s="573"/>
      <c r="V79" s="573"/>
      <c r="W79" s="573"/>
      <c r="X79" s="573"/>
      <c r="Y79" s="586"/>
      <c r="Z79" s="586"/>
      <c r="AA79" s="586"/>
      <c r="AB79" s="586"/>
      <c r="AC79" s="586"/>
      <c r="AD79" s="586"/>
      <c r="AE79" s="586"/>
      <c r="AF79" s="586"/>
      <c r="AG79" s="586"/>
      <c r="AH79" s="586"/>
      <c r="AI79" s="586"/>
      <c r="AJ79" s="586"/>
      <c r="AK79" s="586"/>
      <c r="AL79" s="586"/>
      <c r="AM79" s="586"/>
      <c r="AN79" s="586"/>
      <c r="AO79" s="586"/>
      <c r="AP79" s="586"/>
      <c r="AQ79" s="586"/>
      <c r="AR79" s="586"/>
      <c r="AS79" s="586"/>
      <c r="AT79" s="586"/>
      <c r="AU79" s="586"/>
      <c r="AV79" s="586"/>
      <c r="AW79" s="586"/>
      <c r="AX79" s="586"/>
      <c r="AY79" s="586"/>
      <c r="AZ79" s="586"/>
      <c r="BA79" s="586"/>
      <c r="BB79" s="586"/>
      <c r="BC79" s="586"/>
      <c r="BD79" s="586"/>
      <c r="BE79" s="586"/>
      <c r="BF79" s="586"/>
      <c r="BG79" s="586"/>
      <c r="BH79" s="586"/>
      <c r="BI79" s="586"/>
      <c r="BJ79" s="586"/>
      <c r="BK79" s="586"/>
      <c r="BL79" s="586"/>
      <c r="BM79" s="586"/>
      <c r="BN79" s="586"/>
      <c r="BO79" s="586"/>
      <c r="BP79" s="617"/>
      <c r="BQ79" s="600">
        <f t="shared" si="27"/>
        <v>0</v>
      </c>
      <c r="BR79" s="879"/>
      <c r="BS79" s="880"/>
      <c r="BT79" s="880"/>
      <c r="BU79" s="880"/>
      <c r="BV79" s="880"/>
      <c r="BW79" s="880"/>
      <c r="BX79" s="880"/>
      <c r="BY79" s="880"/>
      <c r="BZ79" s="880"/>
      <c r="CA79" s="880"/>
      <c r="CB79" s="880"/>
      <c r="CC79" s="880"/>
      <c r="CD79" s="880"/>
      <c r="CE79" s="898"/>
      <c r="CF79" s="880"/>
      <c r="CG79" s="880"/>
      <c r="CH79" s="880"/>
      <c r="CI79" s="880"/>
      <c r="CJ79" s="880"/>
      <c r="CK79" s="880"/>
      <c r="CL79" s="880"/>
      <c r="CM79" s="880"/>
      <c r="CN79" s="880"/>
      <c r="CO79" s="880"/>
      <c r="CP79" s="880"/>
      <c r="CQ79" s="668">
        <f t="shared" si="28"/>
        <v>0</v>
      </c>
      <c r="CR79" s="880"/>
      <c r="CS79" s="906"/>
      <c r="CT79" s="906"/>
      <c r="CU79" s="906"/>
      <c r="CV79" s="906"/>
      <c r="CW79" s="880"/>
      <c r="CX79" s="880"/>
      <c r="CY79" s="880"/>
      <c r="CZ79" s="907"/>
      <c r="DA79" s="880"/>
      <c r="DB79" s="880"/>
      <c r="DC79" s="880"/>
      <c r="DD79" s="711"/>
      <c r="DE79" s="880"/>
      <c r="DF79" s="880"/>
      <c r="DG79" s="880"/>
      <c r="DH79" s="880"/>
      <c r="DI79" s="880"/>
      <c r="DJ79" s="880"/>
      <c r="DK79" s="880"/>
      <c r="DL79" s="880"/>
      <c r="DM79" s="880"/>
      <c r="DN79" s="880"/>
      <c r="DO79" s="880"/>
      <c r="DP79" s="565">
        <f t="shared" si="29"/>
        <v>0</v>
      </c>
      <c r="DQ79" s="741">
        <f t="shared" si="30"/>
        <v>0</v>
      </c>
      <c r="DR79" s="880"/>
      <c r="DS79" s="880"/>
      <c r="DT79" s="880"/>
      <c r="DU79" s="880"/>
      <c r="DV79" s="880"/>
      <c r="DW79" s="880"/>
      <c r="DX79" s="880"/>
      <c r="DY79" s="880"/>
      <c r="DZ79" s="880"/>
      <c r="EA79" s="880"/>
      <c r="EB79" s="880"/>
      <c r="EC79" s="880"/>
      <c r="ED79" s="880"/>
      <c r="EE79" s="880"/>
      <c r="EF79" s="880"/>
      <c r="EG79" s="880"/>
      <c r="EH79" s="880"/>
      <c r="EI79" s="880"/>
      <c r="EJ79" s="880"/>
      <c r="EK79" s="880"/>
      <c r="EL79" s="880"/>
      <c r="EM79" s="880"/>
      <c r="EN79" s="880"/>
      <c r="EO79" s="880"/>
      <c r="EP79" s="880"/>
      <c r="EQ79" s="880"/>
      <c r="ER79" s="880"/>
      <c r="ES79" s="880"/>
      <c r="ET79" s="880"/>
      <c r="EU79" s="880"/>
      <c r="EV79" s="880"/>
      <c r="EW79" s="880"/>
      <c r="EX79" s="880"/>
      <c r="EY79" s="880"/>
      <c r="EZ79" s="880"/>
      <c r="FA79" s="880"/>
      <c r="FB79" s="880"/>
      <c r="FC79" s="880"/>
      <c r="FD79" s="880"/>
      <c r="FE79" s="880"/>
      <c r="FF79" s="880"/>
      <c r="FG79" s="880"/>
      <c r="FH79" s="880"/>
      <c r="FI79" s="880"/>
      <c r="FJ79" s="880"/>
      <c r="FK79" s="880"/>
      <c r="FL79" s="880"/>
      <c r="FM79" s="762">
        <f t="shared" si="31"/>
        <v>0</v>
      </c>
      <c r="FN79" s="880"/>
      <c r="FO79" s="880"/>
      <c r="FP79" s="880"/>
      <c r="FQ79" s="880"/>
      <c r="FR79" s="880"/>
      <c r="FS79" s="880"/>
      <c r="FT79" s="880"/>
      <c r="FU79" s="880"/>
      <c r="FV79" s="880"/>
      <c r="FW79" s="880"/>
      <c r="FX79" s="880"/>
      <c r="FY79" s="880"/>
      <c r="FZ79" s="880"/>
      <c r="GA79" s="880"/>
      <c r="GB79" s="880"/>
      <c r="GC79" s="880"/>
      <c r="GD79" s="880"/>
      <c r="GE79" s="880"/>
      <c r="GF79" s="880"/>
      <c r="GG79" s="880"/>
      <c r="GH79" s="880"/>
      <c r="GI79" s="880"/>
      <c r="GJ79" s="880"/>
      <c r="GK79" s="880"/>
      <c r="GL79" s="880"/>
      <c r="GM79" s="880"/>
      <c r="GN79" s="880"/>
      <c r="GO79" s="880"/>
      <c r="GP79" s="880"/>
      <c r="GQ79" s="880"/>
      <c r="GR79" s="880"/>
      <c r="GS79" s="880"/>
      <c r="GT79" s="880"/>
      <c r="GU79" s="880"/>
      <c r="GV79" s="880"/>
      <c r="GW79" s="880"/>
      <c r="GX79" s="880"/>
      <c r="GY79" s="880"/>
      <c r="GZ79" s="880"/>
      <c r="HA79" s="880"/>
      <c r="HB79" s="880"/>
      <c r="HC79" s="880"/>
      <c r="HD79" s="619">
        <f t="shared" si="32"/>
        <v>0</v>
      </c>
      <c r="HE79" s="619">
        <f t="shared" si="20"/>
        <v>0</v>
      </c>
      <c r="HF79" s="619">
        <f t="shared" si="22"/>
        <v>0</v>
      </c>
      <c r="HG79" s="619">
        <f t="shared" si="33"/>
        <v>0</v>
      </c>
      <c r="HH79" s="918"/>
      <c r="HI79" s="806">
        <f t="shared" si="13"/>
        <v>0</v>
      </c>
      <c r="HJ79" s="820">
        <f t="shared" ref="HJ79:HJ100" si="34">+HI79-HE79</f>
        <v>0</v>
      </c>
      <c r="HK79" s="932">
        <f t="shared" si="21"/>
        <v>0</v>
      </c>
    </row>
    <row r="80" spans="1:227">
      <c r="B80" s="493" t="s">
        <v>354</v>
      </c>
      <c r="C80" s="556" t="s">
        <v>355</v>
      </c>
      <c r="D80" s="542"/>
      <c r="E80" s="837"/>
      <c r="F80" s="567"/>
      <c r="G80" s="567"/>
      <c r="H80" s="580"/>
      <c r="I80" s="580"/>
      <c r="J80" s="580"/>
      <c r="K80" s="580"/>
      <c r="L80" s="580"/>
      <c r="M80" s="580"/>
      <c r="N80" s="580"/>
      <c r="O80" s="580"/>
      <c r="P80" s="580"/>
      <c r="Q80" s="580"/>
      <c r="R80" s="580"/>
      <c r="S80" s="580"/>
      <c r="T80" s="580"/>
      <c r="U80" s="580"/>
      <c r="V80" s="580"/>
      <c r="W80" s="580"/>
      <c r="X80" s="580"/>
      <c r="Y80" s="590"/>
      <c r="Z80" s="590"/>
      <c r="AA80" s="590"/>
      <c r="AB80" s="590"/>
      <c r="AC80" s="590"/>
      <c r="AD80" s="590"/>
      <c r="AE80" s="590"/>
      <c r="AF80" s="590"/>
      <c r="AG80" s="590"/>
      <c r="AH80" s="590"/>
      <c r="AI80" s="590"/>
      <c r="AJ80" s="590"/>
      <c r="AK80" s="590"/>
      <c r="AL80" s="590"/>
      <c r="AM80" s="590"/>
      <c r="AN80" s="590"/>
      <c r="AO80" s="590"/>
      <c r="AP80" s="590"/>
      <c r="AQ80" s="590"/>
      <c r="AR80" s="590"/>
      <c r="AS80" s="590"/>
      <c r="AT80" s="590"/>
      <c r="AU80" s="590"/>
      <c r="AV80" s="590"/>
      <c r="AW80" s="590"/>
      <c r="AX80" s="590"/>
      <c r="AY80" s="590"/>
      <c r="AZ80" s="590"/>
      <c r="BA80" s="590"/>
      <c r="BB80" s="590"/>
      <c r="BC80" s="590"/>
      <c r="BD80" s="590"/>
      <c r="BE80" s="590"/>
      <c r="BF80" s="590"/>
      <c r="BG80" s="590"/>
      <c r="BH80" s="590"/>
      <c r="BI80" s="590"/>
      <c r="BJ80" s="590"/>
      <c r="BK80" s="590"/>
      <c r="BL80" s="590"/>
      <c r="BM80" s="590"/>
      <c r="BN80" s="590"/>
      <c r="BO80" s="590"/>
      <c r="BP80" s="641"/>
      <c r="BQ80" s="628">
        <f t="shared" si="16"/>
        <v>0</v>
      </c>
      <c r="BR80" s="613"/>
      <c r="BS80" s="614"/>
      <c r="BT80" s="614"/>
      <c r="BU80" s="614"/>
      <c r="BV80" s="614"/>
      <c r="BW80" s="614"/>
      <c r="BX80" s="614"/>
      <c r="BY80" s="614"/>
      <c r="BZ80" s="614"/>
      <c r="CA80" s="614"/>
      <c r="CB80" s="614"/>
      <c r="CC80" s="614"/>
      <c r="CD80" s="614"/>
      <c r="CE80" s="648"/>
      <c r="CF80" s="614"/>
      <c r="CG80" s="614"/>
      <c r="CH80" s="614"/>
      <c r="CI80" s="614"/>
      <c r="CJ80" s="614"/>
      <c r="CK80" s="614"/>
      <c r="CL80" s="614"/>
      <c r="CM80" s="614"/>
      <c r="CN80" s="614"/>
      <c r="CO80" s="614"/>
      <c r="CP80" s="614"/>
      <c r="CQ80" s="666">
        <f t="shared" si="6"/>
        <v>0</v>
      </c>
      <c r="CR80" s="614"/>
      <c r="CS80" s="686"/>
      <c r="CT80" s="686"/>
      <c r="CU80" s="686"/>
      <c r="CV80" s="686"/>
      <c r="CW80" s="614"/>
      <c r="CX80" s="614"/>
      <c r="CY80" s="614"/>
      <c r="CZ80" s="687"/>
      <c r="DA80" s="614"/>
      <c r="DB80" s="614"/>
      <c r="DC80" s="614"/>
      <c r="DD80" s="712"/>
      <c r="DE80" s="614"/>
      <c r="DF80" s="614"/>
      <c r="DG80" s="614"/>
      <c r="DH80" s="614"/>
      <c r="DI80" s="614"/>
      <c r="DJ80" s="614"/>
      <c r="DK80" s="614"/>
      <c r="DL80" s="614"/>
      <c r="DM80" s="614"/>
      <c r="DN80" s="614"/>
      <c r="DO80" s="614"/>
      <c r="DP80" s="724">
        <f t="shared" si="17"/>
        <v>0</v>
      </c>
      <c r="DQ80" s="738">
        <f t="shared" si="18"/>
        <v>0</v>
      </c>
      <c r="DR80" s="614"/>
      <c r="DS80" s="614"/>
      <c r="DT80" s="614"/>
      <c r="DU80" s="614"/>
      <c r="DV80" s="614"/>
      <c r="DW80" s="614"/>
      <c r="DX80" s="614"/>
      <c r="DY80" s="614"/>
      <c r="DZ80" s="614"/>
      <c r="EA80" s="614"/>
      <c r="EB80" s="614"/>
      <c r="EC80" s="614"/>
      <c r="ED80" s="614"/>
      <c r="EE80" s="614"/>
      <c r="EF80" s="614"/>
      <c r="EG80" s="614"/>
      <c r="EH80" s="614"/>
      <c r="EI80" s="614"/>
      <c r="EJ80" s="614"/>
      <c r="EK80" s="614"/>
      <c r="EL80" s="614"/>
      <c r="EM80" s="614"/>
      <c r="EN80" s="614"/>
      <c r="EO80" s="614"/>
      <c r="EP80" s="614"/>
      <c r="EQ80" s="614"/>
      <c r="ER80" s="614"/>
      <c r="ES80" s="614"/>
      <c r="ET80" s="614"/>
      <c r="EU80" s="614"/>
      <c r="EV80" s="614"/>
      <c r="EW80" s="614"/>
      <c r="EX80" s="614"/>
      <c r="EY80" s="614"/>
      <c r="EZ80" s="614"/>
      <c r="FA80" s="614"/>
      <c r="FB80" s="614"/>
      <c r="FC80" s="614"/>
      <c r="FD80" s="614"/>
      <c r="FE80" s="614"/>
      <c r="FF80" s="614"/>
      <c r="FG80" s="614"/>
      <c r="FH80" s="614"/>
      <c r="FI80" s="614"/>
      <c r="FJ80" s="614"/>
      <c r="FK80" s="614"/>
      <c r="FL80" s="614"/>
      <c r="FM80" s="760">
        <f t="shared" si="8"/>
        <v>0</v>
      </c>
      <c r="FN80" s="614"/>
      <c r="FO80" s="614"/>
      <c r="FP80" s="614"/>
      <c r="FQ80" s="614"/>
      <c r="FR80" s="614"/>
      <c r="FS80" s="614"/>
      <c r="FT80" s="614"/>
      <c r="FU80" s="614"/>
      <c r="FV80" s="614"/>
      <c r="FW80" s="614"/>
      <c r="FX80" s="614"/>
      <c r="FY80" s="614"/>
      <c r="FZ80" s="614"/>
      <c r="GA80" s="614"/>
      <c r="GB80" s="614"/>
      <c r="GC80" s="614">
        <f t="shared" si="2"/>
        <v>0</v>
      </c>
      <c r="GD80" s="614"/>
      <c r="GE80" s="614"/>
      <c r="GF80" s="614"/>
      <c r="GG80" s="614"/>
      <c r="GH80" s="614"/>
      <c r="GI80" s="614"/>
      <c r="GJ80" s="614"/>
      <c r="GK80" s="614"/>
      <c r="GL80" s="614"/>
      <c r="GM80" s="614"/>
      <c r="GN80" s="614"/>
      <c r="GO80" s="614"/>
      <c r="GP80" s="614"/>
      <c r="GQ80" s="614"/>
      <c r="GR80" s="614"/>
      <c r="GS80" s="614">
        <f t="shared" si="3"/>
        <v>0</v>
      </c>
      <c r="GT80" s="614"/>
      <c r="GU80" s="614"/>
      <c r="GV80" s="614"/>
      <c r="GW80" s="614"/>
      <c r="GX80" s="614"/>
      <c r="GY80" s="614"/>
      <c r="GZ80" s="614"/>
      <c r="HA80" s="614"/>
      <c r="HB80" s="614"/>
      <c r="HC80" s="614"/>
      <c r="HD80" s="614">
        <f t="shared" si="19"/>
        <v>0</v>
      </c>
      <c r="HE80" s="614">
        <f t="shared" si="20"/>
        <v>0</v>
      </c>
      <c r="HF80" s="614">
        <f t="shared" si="22"/>
        <v>0</v>
      </c>
      <c r="HG80" s="614">
        <f t="shared" si="4"/>
        <v>0</v>
      </c>
      <c r="HH80" s="738"/>
      <c r="HI80" s="816">
        <f t="shared" si="13"/>
        <v>0</v>
      </c>
      <c r="HJ80" s="817">
        <f t="shared" si="34"/>
        <v>0</v>
      </c>
      <c r="HK80" s="818">
        <f>+HI80/24</f>
        <v>0</v>
      </c>
    </row>
    <row r="81" spans="2:219">
      <c r="B81" s="517" t="s">
        <v>356</v>
      </c>
      <c r="C81" s="832" t="s">
        <v>357</v>
      </c>
      <c r="D81" s="538"/>
      <c r="E81" s="836"/>
      <c r="F81" s="540"/>
      <c r="G81" s="540"/>
      <c r="H81" s="573"/>
      <c r="I81" s="573"/>
      <c r="J81" s="573"/>
      <c r="K81" s="573"/>
      <c r="L81" s="573"/>
      <c r="M81" s="573"/>
      <c r="N81" s="573"/>
      <c r="O81" s="573"/>
      <c r="P81" s="573"/>
      <c r="Q81" s="573"/>
      <c r="R81" s="573"/>
      <c r="S81" s="573"/>
      <c r="T81" s="573"/>
      <c r="U81" s="573"/>
      <c r="V81" s="573"/>
      <c r="W81" s="573"/>
      <c r="X81" s="573"/>
      <c r="Y81" s="586"/>
      <c r="Z81" s="586"/>
      <c r="AA81" s="586"/>
      <c r="AB81" s="586"/>
      <c r="AC81" s="586"/>
      <c r="AD81" s="586"/>
      <c r="AE81" s="586"/>
      <c r="AF81" s="586"/>
      <c r="AG81" s="586"/>
      <c r="AH81" s="586"/>
      <c r="AI81" s="586"/>
      <c r="AJ81" s="586"/>
      <c r="AK81" s="586"/>
      <c r="AL81" s="586"/>
      <c r="AM81" s="586"/>
      <c r="AN81" s="586"/>
      <c r="AO81" s="586"/>
      <c r="AP81" s="586"/>
      <c r="AQ81" s="586"/>
      <c r="AR81" s="586"/>
      <c r="AS81" s="586"/>
      <c r="AT81" s="586"/>
      <c r="AU81" s="586"/>
      <c r="AV81" s="586"/>
      <c r="AW81" s="586"/>
      <c r="AX81" s="586"/>
      <c r="AY81" s="586"/>
      <c r="AZ81" s="586"/>
      <c r="BA81" s="586"/>
      <c r="BB81" s="586"/>
      <c r="BC81" s="586"/>
      <c r="BD81" s="586"/>
      <c r="BE81" s="586"/>
      <c r="BF81" s="586"/>
      <c r="BG81" s="586"/>
      <c r="BH81" s="586"/>
      <c r="BI81" s="586"/>
      <c r="BJ81" s="586"/>
      <c r="BK81" s="586"/>
      <c r="BL81" s="586"/>
      <c r="BM81" s="586"/>
      <c r="BN81" s="586"/>
      <c r="BO81" s="586"/>
      <c r="BP81" s="617"/>
      <c r="BQ81" s="630">
        <f t="shared" si="16"/>
        <v>0</v>
      </c>
      <c r="BR81" s="624"/>
      <c r="BS81" s="625"/>
      <c r="BT81" s="625"/>
      <c r="BU81" s="625"/>
      <c r="BV81" s="625"/>
      <c r="BW81" s="625"/>
      <c r="BX81" s="625"/>
      <c r="BY81" s="625"/>
      <c r="BZ81" s="625"/>
      <c r="CA81" s="888"/>
      <c r="CB81" s="625"/>
      <c r="CC81" s="625"/>
      <c r="CD81" s="625"/>
      <c r="CE81" s="652"/>
      <c r="CF81" s="625"/>
      <c r="CG81" s="625"/>
      <c r="CH81" s="625"/>
      <c r="CI81" s="625"/>
      <c r="CJ81" s="625"/>
      <c r="CK81" s="625"/>
      <c r="CL81" s="625"/>
      <c r="CM81" s="625"/>
      <c r="CN81" s="625"/>
      <c r="CO81" s="625"/>
      <c r="CP81" s="625"/>
      <c r="CQ81" s="899">
        <f t="shared" si="6"/>
        <v>0</v>
      </c>
      <c r="CR81" s="625"/>
      <c r="CS81" s="694"/>
      <c r="CT81" s="694"/>
      <c r="CU81" s="694"/>
      <c r="CV81" s="694"/>
      <c r="CW81" s="625"/>
      <c r="CX81" s="625"/>
      <c r="CY81" s="625"/>
      <c r="CZ81" s="695"/>
      <c r="DA81" s="625"/>
      <c r="DB81" s="625"/>
      <c r="DC81" s="625"/>
      <c r="DD81" s="713"/>
      <c r="DE81" s="625"/>
      <c r="DF81" s="625"/>
      <c r="DG81" s="625"/>
      <c r="DH81" s="625"/>
      <c r="DI81" s="625"/>
      <c r="DJ81" s="625"/>
      <c r="DK81" s="625"/>
      <c r="DL81" s="625"/>
      <c r="DM81" s="625"/>
      <c r="DN81" s="625"/>
      <c r="DO81" s="625"/>
      <c r="DP81" s="723">
        <f t="shared" si="17"/>
        <v>0</v>
      </c>
      <c r="DQ81" s="918">
        <f t="shared" si="18"/>
        <v>0</v>
      </c>
      <c r="DR81" s="625"/>
      <c r="DS81" s="919"/>
      <c r="DT81" s="625"/>
      <c r="DU81" s="625"/>
      <c r="DV81" s="919"/>
      <c r="DW81" s="625"/>
      <c r="DX81" s="625"/>
      <c r="DY81" s="625"/>
      <c r="DZ81" s="625"/>
      <c r="EA81" s="625"/>
      <c r="EB81" s="625"/>
      <c r="EC81" s="625"/>
      <c r="ED81" s="625"/>
      <c r="EE81" s="625"/>
      <c r="EF81" s="625"/>
      <c r="EG81" s="625"/>
      <c r="EH81" s="625"/>
      <c r="EI81" s="625"/>
      <c r="EJ81" s="625"/>
      <c r="EK81" s="625"/>
      <c r="EL81" s="625"/>
      <c r="EM81" s="625"/>
      <c r="EN81" s="625"/>
      <c r="EO81" s="625"/>
      <c r="EP81" s="625"/>
      <c r="EQ81" s="625"/>
      <c r="ER81" s="625"/>
      <c r="ES81" s="625"/>
      <c r="ET81" s="625"/>
      <c r="EU81" s="625"/>
      <c r="EV81" s="625"/>
      <c r="EW81" s="625"/>
      <c r="EX81" s="625"/>
      <c r="EY81" s="625"/>
      <c r="EZ81" s="625"/>
      <c r="FA81" s="625"/>
      <c r="FB81" s="625"/>
      <c r="FC81" s="625"/>
      <c r="FD81" s="625"/>
      <c r="FE81" s="625"/>
      <c r="FF81" s="625"/>
      <c r="FG81" s="625"/>
      <c r="FH81" s="625"/>
      <c r="FI81" s="625"/>
      <c r="FJ81" s="625"/>
      <c r="FK81" s="625"/>
      <c r="FL81" s="625"/>
      <c r="FM81" s="924">
        <f t="shared" si="8"/>
        <v>0</v>
      </c>
      <c r="FN81" s="625"/>
      <c r="FO81" s="625"/>
      <c r="FP81" s="625"/>
      <c r="FQ81" s="625"/>
      <c r="FR81" s="625"/>
      <c r="FS81" s="625"/>
      <c r="FT81" s="625"/>
      <c r="FU81" s="625"/>
      <c r="FV81" s="625"/>
      <c r="FW81" s="625"/>
      <c r="FX81" s="625"/>
      <c r="FY81" s="625"/>
      <c r="FZ81" s="625"/>
      <c r="GA81" s="625"/>
      <c r="GB81" s="625"/>
      <c r="GC81" s="616">
        <f t="shared" si="2"/>
        <v>0</v>
      </c>
      <c r="GD81" s="625"/>
      <c r="GE81" s="625"/>
      <c r="GF81" s="625"/>
      <c r="GG81" s="625"/>
      <c r="GH81" s="625"/>
      <c r="GI81" s="625"/>
      <c r="GJ81" s="625"/>
      <c r="GK81" s="625"/>
      <c r="GL81" s="625"/>
      <c r="GM81" s="625"/>
      <c r="GN81" s="625"/>
      <c r="GO81" s="625"/>
      <c r="GP81" s="625"/>
      <c r="GQ81" s="625"/>
      <c r="GR81" s="625"/>
      <c r="GS81" s="616">
        <f t="shared" si="3"/>
        <v>0</v>
      </c>
      <c r="GT81" s="625"/>
      <c r="GU81" s="625"/>
      <c r="GV81" s="625"/>
      <c r="GW81" s="625"/>
      <c r="GX81" s="625"/>
      <c r="GY81" s="625"/>
      <c r="GZ81" s="625"/>
      <c r="HA81" s="625"/>
      <c r="HB81" s="625"/>
      <c r="HC81" s="625"/>
      <c r="HD81" s="616">
        <f t="shared" si="19"/>
        <v>0</v>
      </c>
      <c r="HE81" s="616">
        <f t="shared" si="20"/>
        <v>0</v>
      </c>
      <c r="HF81" s="616">
        <f t="shared" si="22"/>
        <v>0</v>
      </c>
      <c r="HG81" s="616">
        <f t="shared" si="4"/>
        <v>0</v>
      </c>
      <c r="HH81" s="744"/>
      <c r="HI81" s="804">
        <f t="shared" si="13"/>
        <v>0</v>
      </c>
      <c r="HJ81" s="819">
        <f t="shared" si="34"/>
        <v>0</v>
      </c>
      <c r="HK81" s="803">
        <f t="shared" ref="HK81:HK100" si="35">+HI81/24</f>
        <v>0</v>
      </c>
    </row>
    <row r="82" spans="2:219">
      <c r="B82" s="541" t="s">
        <v>358</v>
      </c>
      <c r="C82" s="494" t="s">
        <v>359</v>
      </c>
      <c r="D82" s="542"/>
      <c r="E82" s="566"/>
      <c r="F82" s="567"/>
      <c r="G82" s="567"/>
      <c r="H82" s="580"/>
      <c r="I82" s="580"/>
      <c r="J82" s="580"/>
      <c r="K82" s="580"/>
      <c r="L82" s="580"/>
      <c r="M82" s="580"/>
      <c r="N82" s="580"/>
      <c r="O82" s="580"/>
      <c r="P82" s="580"/>
      <c r="Q82" s="580"/>
      <c r="R82" s="580"/>
      <c r="S82" s="580"/>
      <c r="T82" s="580"/>
      <c r="U82" s="580"/>
      <c r="V82" s="580"/>
      <c r="W82" s="580"/>
      <c r="X82" s="580"/>
      <c r="Y82" s="590"/>
      <c r="Z82" s="590"/>
      <c r="AA82" s="590"/>
      <c r="AB82" s="590"/>
      <c r="AC82" s="590"/>
      <c r="AD82" s="590"/>
      <c r="AE82" s="590"/>
      <c r="AF82" s="590"/>
      <c r="AG82" s="590"/>
      <c r="AH82" s="590"/>
      <c r="AI82" s="590"/>
      <c r="AJ82" s="590"/>
      <c r="AK82" s="590"/>
      <c r="AL82" s="590"/>
      <c r="AM82" s="590"/>
      <c r="AN82" s="590"/>
      <c r="AO82" s="590"/>
      <c r="AP82" s="590"/>
      <c r="AQ82" s="590"/>
      <c r="AR82" s="590"/>
      <c r="AS82" s="590"/>
      <c r="AT82" s="590"/>
      <c r="AU82" s="590"/>
      <c r="AV82" s="590"/>
      <c r="AW82" s="590"/>
      <c r="AX82" s="590"/>
      <c r="AY82" s="590"/>
      <c r="AZ82" s="590"/>
      <c r="BA82" s="590"/>
      <c r="BB82" s="590"/>
      <c r="BC82" s="590"/>
      <c r="BD82" s="590"/>
      <c r="BE82" s="590"/>
      <c r="BF82" s="590"/>
      <c r="BG82" s="590"/>
      <c r="BH82" s="590"/>
      <c r="BI82" s="590"/>
      <c r="BJ82" s="590"/>
      <c r="BK82" s="590"/>
      <c r="BL82" s="590"/>
      <c r="BM82" s="590"/>
      <c r="BN82" s="590"/>
      <c r="BO82" s="590"/>
      <c r="BP82" s="641"/>
      <c r="BQ82" s="596">
        <f t="shared" si="16"/>
        <v>0</v>
      </c>
      <c r="BR82" s="621"/>
      <c r="BS82" s="622"/>
      <c r="BT82" s="622"/>
      <c r="BU82" s="622"/>
      <c r="BV82" s="622"/>
      <c r="BW82" s="622"/>
      <c r="BX82" s="622"/>
      <c r="BY82" s="622"/>
      <c r="BZ82" s="622"/>
      <c r="CA82" s="692"/>
      <c r="CB82" s="622"/>
      <c r="CC82" s="622"/>
      <c r="CD82" s="622"/>
      <c r="CE82" s="651"/>
      <c r="CF82" s="622"/>
      <c r="CG82" s="622"/>
      <c r="CH82" s="622"/>
      <c r="CI82" s="622"/>
      <c r="CJ82" s="622"/>
      <c r="CK82" s="622"/>
      <c r="CL82" s="622"/>
      <c r="CM82" s="622"/>
      <c r="CN82" s="622"/>
      <c r="CO82" s="622"/>
      <c r="CP82" s="622"/>
      <c r="CQ82" s="669">
        <f t="shared" si="6"/>
        <v>0</v>
      </c>
      <c r="CR82" s="622"/>
      <c r="CS82" s="692"/>
      <c r="CT82" s="692"/>
      <c r="CU82" s="908"/>
      <c r="CV82" s="908"/>
      <c r="CW82" s="622"/>
      <c r="CX82" s="622"/>
      <c r="CY82" s="622"/>
      <c r="CZ82" s="693"/>
      <c r="DA82" s="622"/>
      <c r="DB82" s="622"/>
      <c r="DC82" s="622"/>
      <c r="DD82" s="706"/>
      <c r="DE82" s="622"/>
      <c r="DF82" s="622"/>
      <c r="DG82" s="622"/>
      <c r="DH82" s="622"/>
      <c r="DI82" s="622"/>
      <c r="DJ82" s="622"/>
      <c r="DK82" s="622"/>
      <c r="DL82" s="622"/>
      <c r="DM82" s="622"/>
      <c r="DN82" s="622"/>
      <c r="DO82" s="622"/>
      <c r="DP82" s="561">
        <f t="shared" si="17"/>
        <v>0</v>
      </c>
      <c r="DQ82" s="743">
        <f t="shared" si="18"/>
        <v>0</v>
      </c>
      <c r="DR82" s="622"/>
      <c r="DS82" s="622"/>
      <c r="DT82" s="622"/>
      <c r="DU82" s="622"/>
      <c r="DV82" s="622"/>
      <c r="DW82" s="622"/>
      <c r="DX82" s="622"/>
      <c r="DY82" s="622"/>
      <c r="DZ82" s="622"/>
      <c r="EA82" s="622"/>
      <c r="EB82" s="622"/>
      <c r="EC82" s="622"/>
      <c r="ED82" s="622"/>
      <c r="EE82" s="622"/>
      <c r="EF82" s="622"/>
      <c r="EG82" s="622"/>
      <c r="EH82" s="622"/>
      <c r="EI82" s="622"/>
      <c r="EJ82" s="622"/>
      <c r="EK82" s="622"/>
      <c r="EL82" s="622"/>
      <c r="EM82" s="622"/>
      <c r="EN82" s="622"/>
      <c r="EO82" s="622"/>
      <c r="EP82" s="622"/>
      <c r="EQ82" s="622"/>
      <c r="ER82" s="622"/>
      <c r="ES82" s="622"/>
      <c r="ET82" s="622"/>
      <c r="EU82" s="622"/>
      <c r="EV82" s="622"/>
      <c r="EW82" s="622"/>
      <c r="EX82" s="622"/>
      <c r="EY82" s="622"/>
      <c r="EZ82" s="622"/>
      <c r="FA82" s="622"/>
      <c r="FB82" s="622"/>
      <c r="FC82" s="622"/>
      <c r="FD82" s="622"/>
      <c r="FE82" s="622"/>
      <c r="FF82" s="622"/>
      <c r="FG82" s="622"/>
      <c r="FH82" s="622"/>
      <c r="FI82" s="622"/>
      <c r="FJ82" s="622"/>
      <c r="FK82" s="622"/>
      <c r="FL82" s="622"/>
      <c r="FM82" s="763">
        <f t="shared" si="8"/>
        <v>0</v>
      </c>
      <c r="FN82" s="622"/>
      <c r="FO82" s="622"/>
      <c r="FP82" s="622"/>
      <c r="FQ82" s="622"/>
      <c r="FR82" s="622"/>
      <c r="FS82" s="622"/>
      <c r="FT82" s="622"/>
      <c r="FU82" s="622"/>
      <c r="FV82" s="622"/>
      <c r="FW82" s="622"/>
      <c r="FX82" s="622"/>
      <c r="FY82" s="622"/>
      <c r="FZ82" s="622"/>
      <c r="GA82" s="622"/>
      <c r="GB82" s="622"/>
      <c r="GC82" s="622">
        <f t="shared" si="2"/>
        <v>0</v>
      </c>
      <c r="GD82" s="622"/>
      <c r="GE82" s="622"/>
      <c r="GF82" s="622"/>
      <c r="GG82" s="622"/>
      <c r="GH82" s="622"/>
      <c r="GI82" s="622"/>
      <c r="GJ82" s="622"/>
      <c r="GK82" s="622"/>
      <c r="GL82" s="622"/>
      <c r="GM82" s="622"/>
      <c r="GN82" s="622"/>
      <c r="GO82" s="622"/>
      <c r="GP82" s="622"/>
      <c r="GQ82" s="622"/>
      <c r="GR82" s="622"/>
      <c r="GS82" s="622">
        <f t="shared" si="3"/>
        <v>0</v>
      </c>
      <c r="GT82" s="622"/>
      <c r="GU82" s="622"/>
      <c r="GV82" s="622"/>
      <c r="GW82" s="622"/>
      <c r="GX82" s="622"/>
      <c r="GY82" s="622"/>
      <c r="GZ82" s="622"/>
      <c r="HA82" s="622"/>
      <c r="HB82" s="622"/>
      <c r="HC82" s="622"/>
      <c r="HD82" s="622">
        <f t="shared" si="19"/>
        <v>0</v>
      </c>
      <c r="HE82" s="622">
        <f t="shared" si="20"/>
        <v>0</v>
      </c>
      <c r="HF82" s="622">
        <f t="shared" si="22"/>
        <v>0</v>
      </c>
      <c r="HG82" s="622">
        <f t="shared" si="4"/>
        <v>0</v>
      </c>
      <c r="HH82" s="743"/>
      <c r="HI82" s="804">
        <f t="shared" si="13"/>
        <v>0</v>
      </c>
      <c r="HJ82" s="821">
        <f t="shared" si="34"/>
        <v>0</v>
      </c>
      <c r="HK82" s="803">
        <f t="shared" si="35"/>
        <v>0</v>
      </c>
    </row>
    <row r="83" spans="2:219">
      <c r="B83" s="531" t="s">
        <v>360</v>
      </c>
      <c r="C83" s="500" t="s">
        <v>361</v>
      </c>
      <c r="D83" s="532"/>
      <c r="E83" s="550"/>
      <c r="F83" s="551"/>
      <c r="G83" s="551"/>
      <c r="H83" s="576"/>
      <c r="I83" s="576"/>
      <c r="J83" s="576"/>
      <c r="K83" s="576"/>
      <c r="L83" s="576"/>
      <c r="M83" s="576"/>
      <c r="N83" s="576"/>
      <c r="O83" s="576"/>
      <c r="P83" s="576"/>
      <c r="Q83" s="576"/>
      <c r="R83" s="576"/>
      <c r="S83" s="576"/>
      <c r="T83" s="576"/>
      <c r="U83" s="576"/>
      <c r="V83" s="576"/>
      <c r="W83" s="576"/>
      <c r="X83" s="576"/>
      <c r="Y83" s="589"/>
      <c r="Z83" s="589"/>
      <c r="AA83" s="589"/>
      <c r="AB83" s="589"/>
      <c r="AC83" s="589"/>
      <c r="AD83" s="589"/>
      <c r="AE83" s="589"/>
      <c r="AF83" s="589"/>
      <c r="AG83" s="589"/>
      <c r="AH83" s="589"/>
      <c r="AI83" s="589"/>
      <c r="AJ83" s="589"/>
      <c r="AK83" s="589"/>
      <c r="AL83" s="589"/>
      <c r="AM83" s="589"/>
      <c r="AN83" s="589"/>
      <c r="AO83" s="589"/>
      <c r="AP83" s="589"/>
      <c r="AQ83" s="589"/>
      <c r="AR83" s="589"/>
      <c r="AS83" s="589"/>
      <c r="AT83" s="589"/>
      <c r="AU83" s="589"/>
      <c r="AV83" s="589"/>
      <c r="AW83" s="589"/>
      <c r="AX83" s="589"/>
      <c r="AY83" s="589"/>
      <c r="AZ83" s="589"/>
      <c r="BA83" s="589"/>
      <c r="BB83" s="589"/>
      <c r="BC83" s="589"/>
      <c r="BD83" s="589"/>
      <c r="BE83" s="589"/>
      <c r="BF83" s="589"/>
      <c r="BG83" s="589"/>
      <c r="BH83" s="589"/>
      <c r="BI83" s="589"/>
      <c r="BJ83" s="589"/>
      <c r="BK83" s="589"/>
      <c r="BL83" s="589"/>
      <c r="BM83" s="589"/>
      <c r="BN83" s="589"/>
      <c r="BO83" s="589"/>
      <c r="BP83" s="626"/>
      <c r="BQ83" s="598">
        <f t="shared" si="16"/>
        <v>0</v>
      </c>
      <c r="BR83" s="615"/>
      <c r="BS83" s="616"/>
      <c r="BT83" s="616"/>
      <c r="BU83" s="616"/>
      <c r="BV83" s="616"/>
      <c r="BW83" s="616"/>
      <c r="BX83" s="616"/>
      <c r="BY83" s="616"/>
      <c r="BZ83" s="616"/>
      <c r="CA83" s="688"/>
      <c r="CB83" s="616"/>
      <c r="CC83" s="616"/>
      <c r="CD83" s="616"/>
      <c r="CE83" s="649"/>
      <c r="CF83" s="616"/>
      <c r="CG83" s="616"/>
      <c r="CH83" s="616"/>
      <c r="CI83" s="616"/>
      <c r="CJ83" s="616"/>
      <c r="CK83" s="616"/>
      <c r="CL83" s="616"/>
      <c r="CM83" s="616"/>
      <c r="CN83" s="616"/>
      <c r="CO83" s="616"/>
      <c r="CP83" s="616"/>
      <c r="CQ83" s="667">
        <f t="shared" si="6"/>
        <v>0</v>
      </c>
      <c r="CR83" s="616"/>
      <c r="CS83" s="688"/>
      <c r="CT83" s="688"/>
      <c r="CU83" s="688"/>
      <c r="CV83" s="688"/>
      <c r="CW83" s="616"/>
      <c r="CX83" s="616"/>
      <c r="CY83" s="616"/>
      <c r="CZ83" s="689"/>
      <c r="DA83" s="616"/>
      <c r="DB83" s="616"/>
      <c r="DC83" s="616"/>
      <c r="DD83" s="707"/>
      <c r="DE83" s="616"/>
      <c r="DF83" s="616"/>
      <c r="DG83" s="616"/>
      <c r="DH83" s="616"/>
      <c r="DI83" s="616"/>
      <c r="DJ83" s="616"/>
      <c r="DK83" s="616"/>
      <c r="DL83" s="616"/>
      <c r="DM83" s="616"/>
      <c r="DN83" s="616"/>
      <c r="DO83" s="616"/>
      <c r="DP83" s="563">
        <f t="shared" si="17"/>
        <v>0</v>
      </c>
      <c r="DQ83" s="739">
        <f t="shared" si="18"/>
        <v>0</v>
      </c>
      <c r="DR83" s="616"/>
      <c r="DS83" s="616"/>
      <c r="DT83" s="616"/>
      <c r="DU83" s="616"/>
      <c r="DV83" s="616"/>
      <c r="DW83" s="616"/>
      <c r="DX83" s="616"/>
      <c r="DY83" s="616"/>
      <c r="DZ83" s="616"/>
      <c r="EA83" s="616"/>
      <c r="EB83" s="616"/>
      <c r="EC83" s="616"/>
      <c r="ED83" s="616"/>
      <c r="EE83" s="616"/>
      <c r="EF83" s="616"/>
      <c r="EG83" s="616"/>
      <c r="EH83" s="616"/>
      <c r="EI83" s="616"/>
      <c r="EJ83" s="616"/>
      <c r="EK83" s="616"/>
      <c r="EL83" s="616"/>
      <c r="EM83" s="616"/>
      <c r="EN83" s="616"/>
      <c r="EO83" s="616"/>
      <c r="EP83" s="616"/>
      <c r="EQ83" s="616"/>
      <c r="ER83" s="616"/>
      <c r="ES83" s="616"/>
      <c r="ET83" s="616"/>
      <c r="EU83" s="616"/>
      <c r="EV83" s="616"/>
      <c r="EW83" s="616"/>
      <c r="EX83" s="616"/>
      <c r="EY83" s="616"/>
      <c r="EZ83" s="616"/>
      <c r="FA83" s="616"/>
      <c r="FB83" s="616"/>
      <c r="FC83" s="616"/>
      <c r="FD83" s="616"/>
      <c r="FE83" s="616"/>
      <c r="FF83" s="616"/>
      <c r="FG83" s="616"/>
      <c r="FH83" s="616"/>
      <c r="FI83" s="616"/>
      <c r="FJ83" s="616"/>
      <c r="FK83" s="616"/>
      <c r="FL83" s="616"/>
      <c r="FM83" s="761">
        <f t="shared" si="8"/>
        <v>0</v>
      </c>
      <c r="FN83" s="616"/>
      <c r="FO83" s="616"/>
      <c r="FP83" s="616"/>
      <c r="FQ83" s="616"/>
      <c r="FR83" s="616"/>
      <c r="FS83" s="616"/>
      <c r="FT83" s="616"/>
      <c r="FU83" s="616"/>
      <c r="FV83" s="616"/>
      <c r="FW83" s="616"/>
      <c r="FX83" s="616"/>
      <c r="FY83" s="616"/>
      <c r="FZ83" s="616"/>
      <c r="GA83" s="616"/>
      <c r="GB83" s="616"/>
      <c r="GC83" s="616">
        <f t="shared" si="2"/>
        <v>0</v>
      </c>
      <c r="GD83" s="616"/>
      <c r="GE83" s="616"/>
      <c r="GF83" s="616"/>
      <c r="GG83" s="616"/>
      <c r="GH83" s="616"/>
      <c r="GI83" s="616"/>
      <c r="GJ83" s="616"/>
      <c r="GK83" s="616"/>
      <c r="GL83" s="616"/>
      <c r="GM83" s="616"/>
      <c r="GN83" s="616"/>
      <c r="GO83" s="616"/>
      <c r="GP83" s="616"/>
      <c r="GQ83" s="616"/>
      <c r="GR83" s="616"/>
      <c r="GS83" s="616">
        <f t="shared" si="3"/>
        <v>0</v>
      </c>
      <c r="GT83" s="616"/>
      <c r="GU83" s="616"/>
      <c r="GV83" s="616"/>
      <c r="GW83" s="616"/>
      <c r="GX83" s="616"/>
      <c r="GY83" s="616"/>
      <c r="GZ83" s="616"/>
      <c r="HA83" s="616"/>
      <c r="HB83" s="616"/>
      <c r="HC83" s="616"/>
      <c r="HD83" s="616">
        <f t="shared" si="19"/>
        <v>0</v>
      </c>
      <c r="HE83" s="616">
        <f t="shared" si="20"/>
        <v>0</v>
      </c>
      <c r="HF83" s="616">
        <f t="shared" si="22"/>
        <v>0</v>
      </c>
      <c r="HG83" s="616">
        <f t="shared" si="4"/>
        <v>0</v>
      </c>
      <c r="HH83" s="739"/>
      <c r="HI83" s="804">
        <f t="shared" si="13"/>
        <v>0</v>
      </c>
      <c r="HJ83" s="819">
        <f t="shared" si="34"/>
        <v>0</v>
      </c>
      <c r="HK83" s="803">
        <f t="shared" si="35"/>
        <v>0</v>
      </c>
    </row>
    <row r="84" spans="2:219">
      <c r="B84" s="531" t="s">
        <v>362</v>
      </c>
      <c r="C84" s="500" t="s">
        <v>363</v>
      </c>
      <c r="D84" s="532"/>
      <c r="E84" s="550"/>
      <c r="F84" s="551"/>
      <c r="G84" s="551"/>
      <c r="H84" s="576"/>
      <c r="I84" s="576"/>
      <c r="J84" s="576"/>
      <c r="K84" s="576"/>
      <c r="L84" s="576"/>
      <c r="M84" s="576"/>
      <c r="N84" s="576"/>
      <c r="O84" s="576"/>
      <c r="P84" s="576"/>
      <c r="Q84" s="576"/>
      <c r="R84" s="576"/>
      <c r="S84" s="576"/>
      <c r="T84" s="576"/>
      <c r="U84" s="576"/>
      <c r="V84" s="576"/>
      <c r="W84" s="576"/>
      <c r="X84" s="576"/>
      <c r="Y84" s="589"/>
      <c r="Z84" s="589"/>
      <c r="AA84" s="589"/>
      <c r="AB84" s="589"/>
      <c r="AC84" s="589"/>
      <c r="AD84" s="589"/>
      <c r="AE84" s="589"/>
      <c r="AF84" s="589"/>
      <c r="AG84" s="589"/>
      <c r="AH84" s="589"/>
      <c r="AI84" s="589"/>
      <c r="AJ84" s="589"/>
      <c r="AK84" s="589"/>
      <c r="AL84" s="589"/>
      <c r="AM84" s="589"/>
      <c r="AN84" s="589"/>
      <c r="AO84" s="589"/>
      <c r="AP84" s="589"/>
      <c r="AQ84" s="589"/>
      <c r="AR84" s="589"/>
      <c r="AS84" s="589"/>
      <c r="AT84" s="589"/>
      <c r="AU84" s="589"/>
      <c r="AV84" s="589"/>
      <c r="AW84" s="589"/>
      <c r="AX84" s="589"/>
      <c r="AY84" s="589"/>
      <c r="AZ84" s="589"/>
      <c r="BA84" s="589"/>
      <c r="BB84" s="589"/>
      <c r="BC84" s="589"/>
      <c r="BD84" s="589"/>
      <c r="BE84" s="589"/>
      <c r="BF84" s="589"/>
      <c r="BG84" s="589"/>
      <c r="BH84" s="589"/>
      <c r="BI84" s="589"/>
      <c r="BJ84" s="589"/>
      <c r="BK84" s="589"/>
      <c r="BL84" s="589"/>
      <c r="BM84" s="589"/>
      <c r="BN84" s="589"/>
      <c r="BO84" s="589"/>
      <c r="BP84" s="626"/>
      <c r="BQ84" s="598">
        <f t="shared" si="16"/>
        <v>0</v>
      </c>
      <c r="BR84" s="615"/>
      <c r="BS84" s="616"/>
      <c r="BT84" s="616"/>
      <c r="BU84" s="616"/>
      <c r="BV84" s="616"/>
      <c r="BW84" s="616"/>
      <c r="BX84" s="616"/>
      <c r="BY84" s="616"/>
      <c r="BZ84" s="616"/>
      <c r="CA84" s="688"/>
      <c r="CB84" s="616"/>
      <c r="CC84" s="616"/>
      <c r="CD84" s="616"/>
      <c r="CE84" s="649"/>
      <c r="CF84" s="616"/>
      <c r="CG84" s="616"/>
      <c r="CH84" s="616"/>
      <c r="CI84" s="616"/>
      <c r="CJ84" s="616"/>
      <c r="CK84" s="616"/>
      <c r="CL84" s="616"/>
      <c r="CM84" s="616"/>
      <c r="CN84" s="616"/>
      <c r="CO84" s="616"/>
      <c r="CP84" s="616"/>
      <c r="CQ84" s="667">
        <f t="shared" si="6"/>
        <v>0</v>
      </c>
      <c r="CR84" s="616"/>
      <c r="CS84" s="688"/>
      <c r="CT84" s="688"/>
      <c r="CU84" s="688"/>
      <c r="CV84" s="688"/>
      <c r="CW84" s="616"/>
      <c r="CX84" s="616"/>
      <c r="CY84" s="616"/>
      <c r="CZ84" s="689"/>
      <c r="DA84" s="616"/>
      <c r="DB84" s="616"/>
      <c r="DC84" s="616"/>
      <c r="DD84" s="707"/>
      <c r="DE84" s="616"/>
      <c r="DF84" s="616"/>
      <c r="DG84" s="616"/>
      <c r="DH84" s="616"/>
      <c r="DI84" s="616"/>
      <c r="DJ84" s="616"/>
      <c r="DK84" s="616"/>
      <c r="DL84" s="616"/>
      <c r="DM84" s="616"/>
      <c r="DN84" s="616"/>
      <c r="DO84" s="616"/>
      <c r="DP84" s="563">
        <f t="shared" si="17"/>
        <v>0</v>
      </c>
      <c r="DQ84" s="739">
        <f t="shared" si="18"/>
        <v>0</v>
      </c>
      <c r="DR84" s="616"/>
      <c r="DS84" s="616"/>
      <c r="DT84" s="616"/>
      <c r="DU84" s="616"/>
      <c r="DV84" s="616"/>
      <c r="DW84" s="616"/>
      <c r="DX84" s="616"/>
      <c r="DY84" s="616"/>
      <c r="DZ84" s="616"/>
      <c r="EA84" s="616"/>
      <c r="EB84" s="616"/>
      <c r="EC84" s="616"/>
      <c r="ED84" s="616"/>
      <c r="EE84" s="616"/>
      <c r="EF84" s="616"/>
      <c r="EG84" s="616"/>
      <c r="EH84" s="616"/>
      <c r="EI84" s="616"/>
      <c r="EJ84" s="616"/>
      <c r="EK84" s="616"/>
      <c r="EL84" s="616"/>
      <c r="EM84" s="616"/>
      <c r="EN84" s="616"/>
      <c r="EO84" s="616"/>
      <c r="EP84" s="616"/>
      <c r="EQ84" s="616"/>
      <c r="ER84" s="616"/>
      <c r="ES84" s="616"/>
      <c r="ET84" s="616"/>
      <c r="EU84" s="616"/>
      <c r="EV84" s="616"/>
      <c r="EW84" s="616"/>
      <c r="EX84" s="616"/>
      <c r="EY84" s="616"/>
      <c r="EZ84" s="616"/>
      <c r="FA84" s="616"/>
      <c r="FB84" s="616"/>
      <c r="FC84" s="616"/>
      <c r="FD84" s="616"/>
      <c r="FE84" s="616"/>
      <c r="FF84" s="616"/>
      <c r="FG84" s="616"/>
      <c r="FH84" s="616"/>
      <c r="FI84" s="616"/>
      <c r="FJ84" s="616"/>
      <c r="FK84" s="616"/>
      <c r="FL84" s="616"/>
      <c r="FM84" s="761">
        <f t="shared" si="8"/>
        <v>0</v>
      </c>
      <c r="FN84" s="616"/>
      <c r="FO84" s="616"/>
      <c r="FP84" s="616"/>
      <c r="FQ84" s="616"/>
      <c r="FR84" s="616"/>
      <c r="FS84" s="616"/>
      <c r="FT84" s="616"/>
      <c r="FU84" s="616"/>
      <c r="FV84" s="616"/>
      <c r="FW84" s="616"/>
      <c r="FX84" s="616"/>
      <c r="FY84" s="616"/>
      <c r="FZ84" s="616"/>
      <c r="GA84" s="616"/>
      <c r="GB84" s="616"/>
      <c r="GC84" s="616">
        <f t="shared" si="2"/>
        <v>0</v>
      </c>
      <c r="GD84" s="616"/>
      <c r="GE84" s="616"/>
      <c r="GF84" s="616"/>
      <c r="GG84" s="616"/>
      <c r="GH84" s="616"/>
      <c r="GI84" s="616"/>
      <c r="GJ84" s="616"/>
      <c r="GK84" s="616"/>
      <c r="GL84" s="616"/>
      <c r="GM84" s="616"/>
      <c r="GN84" s="616"/>
      <c r="GO84" s="616"/>
      <c r="GP84" s="616"/>
      <c r="GQ84" s="616"/>
      <c r="GR84" s="616"/>
      <c r="GS84" s="616">
        <f t="shared" si="3"/>
        <v>0</v>
      </c>
      <c r="GT84" s="616"/>
      <c r="GU84" s="616"/>
      <c r="GV84" s="616"/>
      <c r="GW84" s="616"/>
      <c r="GX84" s="616"/>
      <c r="GY84" s="616"/>
      <c r="GZ84" s="616"/>
      <c r="HA84" s="616"/>
      <c r="HB84" s="616"/>
      <c r="HC84" s="616"/>
      <c r="HD84" s="616">
        <f t="shared" si="19"/>
        <v>0</v>
      </c>
      <c r="HE84" s="616">
        <f t="shared" si="20"/>
        <v>0</v>
      </c>
      <c r="HF84" s="616">
        <f t="shared" si="22"/>
        <v>0</v>
      </c>
      <c r="HG84" s="616">
        <f t="shared" si="4"/>
        <v>0</v>
      </c>
      <c r="HH84" s="739"/>
      <c r="HI84" s="804">
        <f t="shared" si="13"/>
        <v>0</v>
      </c>
      <c r="HJ84" s="819">
        <f t="shared" si="34"/>
        <v>0</v>
      </c>
      <c r="HK84" s="803">
        <f t="shared" si="35"/>
        <v>0</v>
      </c>
    </row>
    <row r="85" spans="2:219">
      <c r="B85" s="838" t="s">
        <v>364</v>
      </c>
      <c r="C85" s="507" t="s">
        <v>365</v>
      </c>
      <c r="D85" s="538"/>
      <c r="E85" s="549"/>
      <c r="F85" s="540"/>
      <c r="G85" s="540"/>
      <c r="H85" s="573"/>
      <c r="I85" s="573"/>
      <c r="J85" s="573"/>
      <c r="K85" s="573"/>
      <c r="L85" s="573"/>
      <c r="M85" s="573"/>
      <c r="N85" s="573"/>
      <c r="O85" s="573"/>
      <c r="P85" s="573"/>
      <c r="Q85" s="573"/>
      <c r="R85" s="573"/>
      <c r="S85" s="573"/>
      <c r="T85" s="573"/>
      <c r="U85" s="573"/>
      <c r="V85" s="573"/>
      <c r="W85" s="573"/>
      <c r="X85" s="573"/>
      <c r="Y85" s="586"/>
      <c r="Z85" s="586"/>
      <c r="AA85" s="586"/>
      <c r="AB85" s="586"/>
      <c r="AC85" s="586"/>
      <c r="AD85" s="586"/>
      <c r="AE85" s="586"/>
      <c r="AF85" s="586"/>
      <c r="AG85" s="586"/>
      <c r="AH85" s="586"/>
      <c r="AI85" s="586"/>
      <c r="AJ85" s="586"/>
      <c r="AK85" s="586"/>
      <c r="AL85" s="586"/>
      <c r="AM85" s="586"/>
      <c r="AN85" s="586"/>
      <c r="AO85" s="586"/>
      <c r="AP85" s="586"/>
      <c r="AQ85" s="586"/>
      <c r="AR85" s="586"/>
      <c r="AS85" s="586"/>
      <c r="AT85" s="586"/>
      <c r="AU85" s="586"/>
      <c r="AV85" s="586"/>
      <c r="AW85" s="586"/>
      <c r="AX85" s="586"/>
      <c r="AY85" s="586"/>
      <c r="AZ85" s="586"/>
      <c r="BA85" s="586"/>
      <c r="BB85" s="586"/>
      <c r="BC85" s="586"/>
      <c r="BD85" s="586"/>
      <c r="BE85" s="586"/>
      <c r="BF85" s="586"/>
      <c r="BG85" s="586"/>
      <c r="BH85" s="586"/>
      <c r="BI85" s="586"/>
      <c r="BJ85" s="586"/>
      <c r="BK85" s="586"/>
      <c r="BL85" s="586"/>
      <c r="BM85" s="586"/>
      <c r="BN85" s="586"/>
      <c r="BO85" s="586"/>
      <c r="BP85" s="617"/>
      <c r="BQ85" s="600">
        <f t="shared" si="16"/>
        <v>0</v>
      </c>
      <c r="BR85" s="618"/>
      <c r="BS85" s="619"/>
      <c r="BT85" s="619"/>
      <c r="BU85" s="619"/>
      <c r="BV85" s="619"/>
      <c r="BW85" s="619"/>
      <c r="BX85" s="619"/>
      <c r="BY85" s="619"/>
      <c r="BZ85" s="619"/>
      <c r="CA85" s="690"/>
      <c r="CB85" s="619"/>
      <c r="CC85" s="619"/>
      <c r="CD85" s="619"/>
      <c r="CE85" s="650"/>
      <c r="CF85" s="619"/>
      <c r="CG85" s="619"/>
      <c r="CH85" s="619"/>
      <c r="CI85" s="619"/>
      <c r="CJ85" s="619"/>
      <c r="CK85" s="619"/>
      <c r="CL85" s="619"/>
      <c r="CM85" s="619"/>
      <c r="CN85" s="619"/>
      <c r="CO85" s="619"/>
      <c r="CP85" s="619"/>
      <c r="CQ85" s="668">
        <f t="shared" si="6"/>
        <v>0</v>
      </c>
      <c r="CR85" s="619"/>
      <c r="CS85" s="690"/>
      <c r="CT85" s="690"/>
      <c r="CU85" s="690"/>
      <c r="CV85" s="690"/>
      <c r="CW85" s="619"/>
      <c r="CX85" s="619"/>
      <c r="CY85" s="619"/>
      <c r="CZ85" s="691"/>
      <c r="DA85" s="619"/>
      <c r="DB85" s="619"/>
      <c r="DC85" s="619"/>
      <c r="DD85" s="710"/>
      <c r="DE85" s="619"/>
      <c r="DF85" s="619"/>
      <c r="DG85" s="619"/>
      <c r="DH85" s="619"/>
      <c r="DI85" s="619"/>
      <c r="DJ85" s="619"/>
      <c r="DK85" s="619"/>
      <c r="DL85" s="619"/>
      <c r="DM85" s="619"/>
      <c r="DN85" s="619"/>
      <c r="DO85" s="619"/>
      <c r="DP85" s="565">
        <f t="shared" si="17"/>
        <v>0</v>
      </c>
      <c r="DQ85" s="741">
        <f t="shared" si="18"/>
        <v>0</v>
      </c>
      <c r="DR85" s="619"/>
      <c r="DS85" s="619"/>
      <c r="DT85" s="619"/>
      <c r="DU85" s="619"/>
      <c r="DV85" s="619"/>
      <c r="DW85" s="619"/>
      <c r="DX85" s="619"/>
      <c r="DY85" s="619"/>
      <c r="DZ85" s="619"/>
      <c r="EA85" s="619"/>
      <c r="EB85" s="619"/>
      <c r="EC85" s="619"/>
      <c r="ED85" s="619"/>
      <c r="EE85" s="619"/>
      <c r="EF85" s="619"/>
      <c r="EG85" s="619"/>
      <c r="EH85" s="619"/>
      <c r="EI85" s="619"/>
      <c r="EJ85" s="619"/>
      <c r="EK85" s="619"/>
      <c r="EL85" s="619"/>
      <c r="EM85" s="619"/>
      <c r="EN85" s="619"/>
      <c r="EO85" s="619"/>
      <c r="EP85" s="619"/>
      <c r="EQ85" s="619"/>
      <c r="ER85" s="619"/>
      <c r="ES85" s="619"/>
      <c r="ET85" s="619"/>
      <c r="EU85" s="619"/>
      <c r="EV85" s="619"/>
      <c r="EW85" s="619"/>
      <c r="EX85" s="619"/>
      <c r="EY85" s="619"/>
      <c r="EZ85" s="619"/>
      <c r="FA85" s="619"/>
      <c r="FB85" s="619"/>
      <c r="FC85" s="619"/>
      <c r="FD85" s="619"/>
      <c r="FE85" s="619"/>
      <c r="FF85" s="619"/>
      <c r="FG85" s="619"/>
      <c r="FH85" s="619"/>
      <c r="FI85" s="619"/>
      <c r="FJ85" s="619"/>
      <c r="FK85" s="619"/>
      <c r="FL85" s="619"/>
      <c r="FM85" s="762">
        <f t="shared" si="8"/>
        <v>0</v>
      </c>
      <c r="FN85" s="619"/>
      <c r="FO85" s="619"/>
      <c r="FP85" s="619"/>
      <c r="FQ85" s="619"/>
      <c r="FR85" s="619"/>
      <c r="FS85" s="619"/>
      <c r="FT85" s="619"/>
      <c r="FU85" s="619"/>
      <c r="FV85" s="619"/>
      <c r="FW85" s="619"/>
      <c r="FX85" s="619"/>
      <c r="FY85" s="619"/>
      <c r="FZ85" s="619"/>
      <c r="GA85" s="619"/>
      <c r="GB85" s="619"/>
      <c r="GC85" s="619">
        <f t="shared" si="2"/>
        <v>0</v>
      </c>
      <c r="GD85" s="619"/>
      <c r="GE85" s="619"/>
      <c r="GF85" s="619"/>
      <c r="GG85" s="619"/>
      <c r="GH85" s="619"/>
      <c r="GI85" s="619"/>
      <c r="GJ85" s="619"/>
      <c r="GK85" s="619"/>
      <c r="GL85" s="619"/>
      <c r="GM85" s="619"/>
      <c r="GN85" s="619"/>
      <c r="GO85" s="619"/>
      <c r="GP85" s="619"/>
      <c r="GQ85" s="619"/>
      <c r="GR85" s="619"/>
      <c r="GS85" s="619">
        <f t="shared" si="3"/>
        <v>0</v>
      </c>
      <c r="GT85" s="619"/>
      <c r="GU85" s="619"/>
      <c r="GV85" s="619"/>
      <c r="GW85" s="619"/>
      <c r="GX85" s="619"/>
      <c r="GY85" s="619"/>
      <c r="GZ85" s="619"/>
      <c r="HA85" s="619"/>
      <c r="HB85" s="619"/>
      <c r="HC85" s="619"/>
      <c r="HD85" s="619">
        <f t="shared" si="19"/>
        <v>0</v>
      </c>
      <c r="HE85" s="619">
        <f t="shared" si="20"/>
        <v>0</v>
      </c>
      <c r="HF85" s="619">
        <f t="shared" si="22"/>
        <v>0</v>
      </c>
      <c r="HG85" s="619">
        <f t="shared" si="4"/>
        <v>0</v>
      </c>
      <c r="HH85" s="741"/>
      <c r="HI85" s="804">
        <f t="shared" si="13"/>
        <v>0</v>
      </c>
      <c r="HJ85" s="820">
        <f t="shared" si="34"/>
        <v>0</v>
      </c>
      <c r="HK85" s="803">
        <f t="shared" si="35"/>
        <v>0</v>
      </c>
    </row>
    <row r="86" spans="2:219">
      <c r="B86" s="541" t="s">
        <v>366</v>
      </c>
      <c r="C86" s="556" t="s">
        <v>367</v>
      </c>
      <c r="D86" s="532"/>
      <c r="E86" s="550"/>
      <c r="F86" s="551"/>
      <c r="G86" s="551"/>
      <c r="H86" s="576"/>
      <c r="I86" s="576"/>
      <c r="J86" s="576"/>
      <c r="K86" s="576"/>
      <c r="L86" s="576"/>
      <c r="M86" s="576"/>
      <c r="N86" s="576"/>
      <c r="O86" s="576"/>
      <c r="P86" s="576"/>
      <c r="Q86" s="576"/>
      <c r="R86" s="576"/>
      <c r="S86" s="576"/>
      <c r="T86" s="576"/>
      <c r="U86" s="576"/>
      <c r="V86" s="576"/>
      <c r="W86" s="576"/>
      <c r="X86" s="576"/>
      <c r="Y86" s="589"/>
      <c r="Z86" s="589"/>
      <c r="AA86" s="589"/>
      <c r="AB86" s="589"/>
      <c r="AC86" s="589"/>
      <c r="AD86" s="589"/>
      <c r="AE86" s="589"/>
      <c r="AF86" s="589"/>
      <c r="AG86" s="589"/>
      <c r="AH86" s="589"/>
      <c r="AI86" s="589"/>
      <c r="AJ86" s="589"/>
      <c r="AK86" s="589"/>
      <c r="AL86" s="589"/>
      <c r="AM86" s="589"/>
      <c r="AN86" s="589"/>
      <c r="AO86" s="589"/>
      <c r="AP86" s="589"/>
      <c r="AQ86" s="589"/>
      <c r="AR86" s="589"/>
      <c r="AS86" s="589"/>
      <c r="AT86" s="589"/>
      <c r="AU86" s="589"/>
      <c r="AV86" s="589"/>
      <c r="AW86" s="589"/>
      <c r="AX86" s="589"/>
      <c r="AY86" s="589"/>
      <c r="AZ86" s="589"/>
      <c r="BA86" s="589"/>
      <c r="BB86" s="589"/>
      <c r="BC86" s="589"/>
      <c r="BD86" s="589"/>
      <c r="BE86" s="589"/>
      <c r="BF86" s="589"/>
      <c r="BG86" s="589"/>
      <c r="BH86" s="589"/>
      <c r="BI86" s="589"/>
      <c r="BJ86" s="589"/>
      <c r="BK86" s="589"/>
      <c r="BL86" s="589"/>
      <c r="BM86" s="589"/>
      <c r="BN86" s="589"/>
      <c r="BO86" s="589"/>
      <c r="BP86" s="626"/>
      <c r="BQ86" s="628">
        <f t="shared" si="16"/>
        <v>0</v>
      </c>
      <c r="BR86" s="615"/>
      <c r="BS86" s="616"/>
      <c r="BT86" s="616"/>
      <c r="BU86" s="616"/>
      <c r="BV86" s="616"/>
      <c r="BW86" s="616"/>
      <c r="BX86" s="616"/>
      <c r="BY86" s="616"/>
      <c r="BZ86" s="616"/>
      <c r="CA86" s="688"/>
      <c r="CB86" s="616"/>
      <c r="CC86" s="616"/>
      <c r="CD86" s="616"/>
      <c r="CE86" s="649"/>
      <c r="CF86" s="616"/>
      <c r="CG86" s="616"/>
      <c r="CH86" s="616"/>
      <c r="CI86" s="616"/>
      <c r="CJ86" s="616"/>
      <c r="CK86" s="616"/>
      <c r="CL86" s="616"/>
      <c r="CM86" s="616"/>
      <c r="CN86" s="616"/>
      <c r="CO86" s="616"/>
      <c r="CP86" s="616"/>
      <c r="CQ86" s="667">
        <f t="shared" si="6"/>
        <v>0</v>
      </c>
      <c r="CR86" s="616"/>
      <c r="CS86" s="688"/>
      <c r="CT86" s="688"/>
      <c r="CU86" s="688"/>
      <c r="CV86" s="688"/>
      <c r="CW86" s="616"/>
      <c r="CX86" s="616"/>
      <c r="CY86" s="616"/>
      <c r="CZ86" s="689"/>
      <c r="DA86" s="616"/>
      <c r="DB86" s="616"/>
      <c r="DC86" s="616"/>
      <c r="DD86" s="707"/>
      <c r="DE86" s="616"/>
      <c r="DF86" s="616"/>
      <c r="DG86" s="616"/>
      <c r="DH86" s="616"/>
      <c r="DI86" s="616"/>
      <c r="DJ86" s="616"/>
      <c r="DK86" s="616"/>
      <c r="DL86" s="616"/>
      <c r="DM86" s="616"/>
      <c r="DN86" s="616"/>
      <c r="DO86" s="616"/>
      <c r="DP86" s="563">
        <f t="shared" si="17"/>
        <v>0</v>
      </c>
      <c r="DQ86" s="739">
        <f t="shared" si="18"/>
        <v>0</v>
      </c>
      <c r="DR86" s="616"/>
      <c r="DS86" s="616"/>
      <c r="DT86" s="616"/>
      <c r="DU86" s="616"/>
      <c r="DV86" s="616"/>
      <c r="DW86" s="616"/>
      <c r="DX86" s="616"/>
      <c r="DY86" s="616"/>
      <c r="DZ86" s="616"/>
      <c r="EA86" s="616"/>
      <c r="EB86" s="616"/>
      <c r="EC86" s="616"/>
      <c r="ED86" s="616"/>
      <c r="EE86" s="616"/>
      <c r="EF86" s="616"/>
      <c r="EG86" s="616"/>
      <c r="EH86" s="616"/>
      <c r="EI86" s="616"/>
      <c r="EJ86" s="616"/>
      <c r="EK86" s="616"/>
      <c r="EL86" s="616"/>
      <c r="EM86" s="616"/>
      <c r="EN86" s="616"/>
      <c r="EO86" s="616"/>
      <c r="EP86" s="616"/>
      <c r="EQ86" s="616"/>
      <c r="ER86" s="616"/>
      <c r="ES86" s="616"/>
      <c r="ET86" s="616"/>
      <c r="EU86" s="616"/>
      <c r="EV86" s="616"/>
      <c r="EW86" s="616"/>
      <c r="EX86" s="616"/>
      <c r="EY86" s="616"/>
      <c r="EZ86" s="616"/>
      <c r="FA86" s="616"/>
      <c r="FB86" s="616"/>
      <c r="FC86" s="616"/>
      <c r="FD86" s="616"/>
      <c r="FE86" s="616"/>
      <c r="FF86" s="616"/>
      <c r="FG86" s="616"/>
      <c r="FH86" s="616"/>
      <c r="FI86" s="616"/>
      <c r="FJ86" s="616"/>
      <c r="FK86" s="616"/>
      <c r="FL86" s="616"/>
      <c r="FM86" s="761">
        <f t="shared" si="8"/>
        <v>0</v>
      </c>
      <c r="FN86" s="616"/>
      <c r="FO86" s="616"/>
      <c r="FP86" s="616"/>
      <c r="FQ86" s="616"/>
      <c r="FR86" s="616"/>
      <c r="FS86" s="616"/>
      <c r="FT86" s="616"/>
      <c r="FU86" s="616"/>
      <c r="FV86" s="616"/>
      <c r="FW86" s="616"/>
      <c r="FX86" s="616"/>
      <c r="FY86" s="616"/>
      <c r="FZ86" s="616"/>
      <c r="GA86" s="616"/>
      <c r="GB86" s="616"/>
      <c r="GC86" s="616">
        <f t="shared" si="2"/>
        <v>0</v>
      </c>
      <c r="GD86" s="616"/>
      <c r="GE86" s="616"/>
      <c r="GF86" s="616"/>
      <c r="GG86" s="616"/>
      <c r="GH86" s="616"/>
      <c r="GI86" s="616"/>
      <c r="GJ86" s="616"/>
      <c r="GK86" s="616"/>
      <c r="GL86" s="616"/>
      <c r="GM86" s="616"/>
      <c r="GN86" s="616"/>
      <c r="GO86" s="616"/>
      <c r="GP86" s="616"/>
      <c r="GQ86" s="616"/>
      <c r="GR86" s="616"/>
      <c r="GS86" s="616">
        <f t="shared" si="3"/>
        <v>0</v>
      </c>
      <c r="GT86" s="616"/>
      <c r="GU86" s="616"/>
      <c r="GV86" s="616"/>
      <c r="GW86" s="616"/>
      <c r="GX86" s="616"/>
      <c r="GY86" s="616"/>
      <c r="GZ86" s="616"/>
      <c r="HA86" s="616"/>
      <c r="HB86" s="616"/>
      <c r="HC86" s="616"/>
      <c r="HD86" s="616">
        <f t="shared" si="19"/>
        <v>0</v>
      </c>
      <c r="HE86" s="616">
        <f t="shared" ref="HE86:HE100" si="36">HD86+D86+BQ86-DQ86-FM86-GC86+GS86</f>
        <v>0</v>
      </c>
      <c r="HF86" s="616">
        <f t="shared" si="22"/>
        <v>0</v>
      </c>
      <c r="HG86" s="616">
        <f t="shared" si="4"/>
        <v>0</v>
      </c>
      <c r="HH86" s="739"/>
      <c r="HI86" s="804">
        <f t="shared" si="13"/>
        <v>0</v>
      </c>
      <c r="HJ86" s="819">
        <f t="shared" si="34"/>
        <v>0</v>
      </c>
      <c r="HK86" s="803">
        <f t="shared" si="35"/>
        <v>0</v>
      </c>
    </row>
    <row r="87" spans="2:219">
      <c r="B87" s="838" t="s">
        <v>368</v>
      </c>
      <c r="C87" s="558" t="s">
        <v>369</v>
      </c>
      <c r="D87" s="552"/>
      <c r="E87" s="553"/>
      <c r="F87" s="601"/>
      <c r="G87" s="601"/>
      <c r="H87" s="732"/>
      <c r="I87" s="732"/>
      <c r="J87" s="732"/>
      <c r="K87" s="732"/>
      <c r="L87" s="732"/>
      <c r="M87" s="732"/>
      <c r="N87" s="732"/>
      <c r="O87" s="732"/>
      <c r="P87" s="732"/>
      <c r="Q87" s="732"/>
      <c r="R87" s="732"/>
      <c r="S87" s="732"/>
      <c r="T87" s="732"/>
      <c r="U87" s="732"/>
      <c r="V87" s="732"/>
      <c r="W87" s="732"/>
      <c r="X87" s="732"/>
      <c r="Y87" s="868"/>
      <c r="Z87" s="868"/>
      <c r="AA87" s="868"/>
      <c r="AB87" s="868"/>
      <c r="AC87" s="868"/>
      <c r="AD87" s="868"/>
      <c r="AE87" s="868"/>
      <c r="AF87" s="868"/>
      <c r="AG87" s="868"/>
      <c r="AH87" s="868"/>
      <c r="AI87" s="868"/>
      <c r="AJ87" s="868"/>
      <c r="AK87" s="868"/>
      <c r="AL87" s="868"/>
      <c r="AM87" s="868"/>
      <c r="AN87" s="868"/>
      <c r="AO87" s="868"/>
      <c r="AP87" s="868"/>
      <c r="AQ87" s="868"/>
      <c r="AR87" s="868"/>
      <c r="AS87" s="868"/>
      <c r="AT87" s="868"/>
      <c r="AU87" s="868"/>
      <c r="AV87" s="868"/>
      <c r="AW87" s="868"/>
      <c r="AX87" s="868"/>
      <c r="AY87" s="868"/>
      <c r="AZ87" s="868"/>
      <c r="BA87" s="868"/>
      <c r="BB87" s="868"/>
      <c r="BC87" s="868"/>
      <c r="BD87" s="868"/>
      <c r="BE87" s="868"/>
      <c r="BF87" s="868"/>
      <c r="BG87" s="868"/>
      <c r="BH87" s="868"/>
      <c r="BI87" s="868"/>
      <c r="BJ87" s="868"/>
      <c r="BK87" s="868"/>
      <c r="BL87" s="868"/>
      <c r="BM87" s="868"/>
      <c r="BN87" s="868"/>
      <c r="BO87" s="868"/>
      <c r="BP87" s="878"/>
      <c r="BQ87" s="630">
        <f t="shared" si="16"/>
        <v>0</v>
      </c>
      <c r="BR87" s="631"/>
      <c r="BS87" s="632"/>
      <c r="BT87" s="632"/>
      <c r="BU87" s="632"/>
      <c r="BV87" s="632"/>
      <c r="BW87" s="632"/>
      <c r="BX87" s="632"/>
      <c r="BY87" s="632"/>
      <c r="BZ87" s="632"/>
      <c r="CA87" s="696"/>
      <c r="CB87" s="632"/>
      <c r="CC87" s="632"/>
      <c r="CD87" s="632"/>
      <c r="CE87" s="653"/>
      <c r="CF87" s="632"/>
      <c r="CG87" s="632"/>
      <c r="CH87" s="632"/>
      <c r="CI87" s="632"/>
      <c r="CJ87" s="632"/>
      <c r="CK87" s="632"/>
      <c r="CL87" s="632"/>
      <c r="CM87" s="632"/>
      <c r="CN87" s="632"/>
      <c r="CO87" s="632"/>
      <c r="CP87" s="632"/>
      <c r="CQ87" s="671">
        <f>+SUM(BR87:CP87)</f>
        <v>0</v>
      </c>
      <c r="CR87" s="632"/>
      <c r="CS87" s="696"/>
      <c r="CT87" s="696"/>
      <c r="CU87" s="696"/>
      <c r="CV87" s="696"/>
      <c r="CW87" s="632"/>
      <c r="CX87" s="632"/>
      <c r="CY87" s="632"/>
      <c r="CZ87" s="697"/>
      <c r="DA87" s="632"/>
      <c r="DB87" s="632"/>
      <c r="DC87" s="632"/>
      <c r="DD87" s="708"/>
      <c r="DE87" s="632"/>
      <c r="DF87" s="632"/>
      <c r="DG87" s="632"/>
      <c r="DH87" s="632"/>
      <c r="DI87" s="632"/>
      <c r="DJ87" s="632"/>
      <c r="DK87" s="632"/>
      <c r="DL87" s="632"/>
      <c r="DM87" s="632"/>
      <c r="DN87" s="632"/>
      <c r="DO87" s="632"/>
      <c r="DP87" s="725">
        <f t="shared" si="17"/>
        <v>0</v>
      </c>
      <c r="DQ87" s="745">
        <f t="shared" si="18"/>
        <v>0</v>
      </c>
      <c r="DR87" s="632"/>
      <c r="DS87" s="632"/>
      <c r="DT87" s="632"/>
      <c r="DU87" s="632"/>
      <c r="DV87" s="632"/>
      <c r="DW87" s="632"/>
      <c r="DX87" s="632"/>
      <c r="DY87" s="632"/>
      <c r="DZ87" s="632"/>
      <c r="EA87" s="632"/>
      <c r="EB87" s="632"/>
      <c r="EC87" s="632"/>
      <c r="ED87" s="632"/>
      <c r="EE87" s="632"/>
      <c r="EF87" s="632"/>
      <c r="EG87" s="632"/>
      <c r="EH87" s="632"/>
      <c r="EI87" s="632"/>
      <c r="EJ87" s="632"/>
      <c r="EK87" s="632"/>
      <c r="EL87" s="632"/>
      <c r="EM87" s="632"/>
      <c r="EN87" s="632"/>
      <c r="EO87" s="632"/>
      <c r="EP87" s="632"/>
      <c r="EQ87" s="632"/>
      <c r="ER87" s="632"/>
      <c r="ES87" s="632"/>
      <c r="ET87" s="632"/>
      <c r="EU87" s="632"/>
      <c r="EV87" s="632"/>
      <c r="EW87" s="632"/>
      <c r="EX87" s="632"/>
      <c r="EY87" s="632"/>
      <c r="EZ87" s="632"/>
      <c r="FA87" s="632"/>
      <c r="FB87" s="632"/>
      <c r="FC87" s="632"/>
      <c r="FD87" s="632"/>
      <c r="FE87" s="632"/>
      <c r="FF87" s="632"/>
      <c r="FG87" s="632"/>
      <c r="FH87" s="632"/>
      <c r="FI87" s="632"/>
      <c r="FJ87" s="632"/>
      <c r="FK87" s="632"/>
      <c r="FL87" s="632"/>
      <c r="FM87" s="765">
        <f t="shared" si="8"/>
        <v>0</v>
      </c>
      <c r="FN87" s="632"/>
      <c r="FO87" s="632"/>
      <c r="FP87" s="632"/>
      <c r="FQ87" s="632"/>
      <c r="FR87" s="632"/>
      <c r="FS87" s="632"/>
      <c r="FT87" s="632"/>
      <c r="FU87" s="632"/>
      <c r="FV87" s="632"/>
      <c r="FW87" s="632"/>
      <c r="FX87" s="632"/>
      <c r="FY87" s="632"/>
      <c r="FZ87" s="632"/>
      <c r="GA87" s="632"/>
      <c r="GB87" s="632"/>
      <c r="GC87" s="632">
        <f t="shared" si="2"/>
        <v>0</v>
      </c>
      <c r="GD87" s="632"/>
      <c r="GE87" s="632"/>
      <c r="GF87" s="632"/>
      <c r="GG87" s="632"/>
      <c r="GH87" s="632"/>
      <c r="GI87" s="632"/>
      <c r="GJ87" s="632"/>
      <c r="GK87" s="632"/>
      <c r="GL87" s="632"/>
      <c r="GM87" s="632"/>
      <c r="GN87" s="632"/>
      <c r="GO87" s="632"/>
      <c r="GP87" s="632"/>
      <c r="GQ87" s="632"/>
      <c r="GR87" s="632"/>
      <c r="GS87" s="632">
        <f t="shared" si="3"/>
        <v>0</v>
      </c>
      <c r="GT87" s="632"/>
      <c r="GU87" s="632"/>
      <c r="GV87" s="632"/>
      <c r="GW87" s="632"/>
      <c r="GX87" s="632"/>
      <c r="GY87" s="632"/>
      <c r="GZ87" s="632"/>
      <c r="HA87" s="632"/>
      <c r="HB87" s="632"/>
      <c r="HC87" s="632"/>
      <c r="HD87" s="632">
        <f t="shared" si="19"/>
        <v>0</v>
      </c>
      <c r="HE87" s="632">
        <f t="shared" si="36"/>
        <v>0</v>
      </c>
      <c r="HF87" s="632">
        <f t="shared" si="22"/>
        <v>0</v>
      </c>
      <c r="HG87" s="632">
        <f t="shared" si="4"/>
        <v>0</v>
      </c>
      <c r="HH87" s="745"/>
      <c r="HI87" s="930">
        <f t="shared" si="13"/>
        <v>0</v>
      </c>
      <c r="HJ87" s="823">
        <f t="shared" si="34"/>
        <v>0</v>
      </c>
      <c r="HK87" s="808">
        <f t="shared" si="35"/>
        <v>0</v>
      </c>
    </row>
    <row r="88" spans="2:219">
      <c r="B88" s="493" t="s">
        <v>370</v>
      </c>
      <c r="C88" s="839" t="s">
        <v>371</v>
      </c>
      <c r="D88" s="561"/>
      <c r="E88" s="544"/>
      <c r="F88" s="544"/>
      <c r="G88" s="544"/>
      <c r="H88" s="574"/>
      <c r="I88" s="574"/>
      <c r="J88" s="574"/>
      <c r="K88" s="574"/>
      <c r="L88" s="574"/>
      <c r="M88" s="574"/>
      <c r="N88" s="574"/>
      <c r="O88" s="574"/>
      <c r="P88" s="574"/>
      <c r="Q88" s="574"/>
      <c r="R88" s="574"/>
      <c r="S88" s="574"/>
      <c r="T88" s="574"/>
      <c r="U88" s="574"/>
      <c r="V88" s="574"/>
      <c r="W88" s="574"/>
      <c r="X88" s="574"/>
      <c r="Y88" s="587"/>
      <c r="Z88" s="587"/>
      <c r="AA88" s="587"/>
      <c r="AB88" s="587"/>
      <c r="AC88" s="587"/>
      <c r="AD88" s="587"/>
      <c r="AE88" s="587"/>
      <c r="AF88" s="587"/>
      <c r="AG88" s="587"/>
      <c r="AH88" s="587"/>
      <c r="AI88" s="587"/>
      <c r="AJ88" s="587"/>
      <c r="AK88" s="587"/>
      <c r="AL88" s="587"/>
      <c r="AM88" s="587"/>
      <c r="AN88" s="587"/>
      <c r="AO88" s="587"/>
      <c r="AP88" s="587"/>
      <c r="AQ88" s="587"/>
      <c r="AR88" s="587"/>
      <c r="AS88" s="587"/>
      <c r="AT88" s="587"/>
      <c r="AU88" s="587"/>
      <c r="AV88" s="587"/>
      <c r="AW88" s="587"/>
      <c r="AX88" s="587"/>
      <c r="AY88" s="587"/>
      <c r="AZ88" s="587"/>
      <c r="BA88" s="587"/>
      <c r="BB88" s="587"/>
      <c r="BC88" s="587"/>
      <c r="BD88" s="587"/>
      <c r="BE88" s="587"/>
      <c r="BF88" s="587"/>
      <c r="BG88" s="587"/>
      <c r="BH88" s="587"/>
      <c r="BI88" s="587"/>
      <c r="BJ88" s="587"/>
      <c r="BK88" s="587"/>
      <c r="BL88" s="587"/>
      <c r="BM88" s="587"/>
      <c r="BN88" s="587"/>
      <c r="BO88" s="587"/>
      <c r="BP88" s="620"/>
      <c r="BQ88" s="596">
        <f t="shared" si="16"/>
        <v>0</v>
      </c>
      <c r="BR88" s="621"/>
      <c r="BS88" s="622"/>
      <c r="BT88" s="622"/>
      <c r="BU88" s="622"/>
      <c r="BV88" s="889"/>
      <c r="BW88" s="622"/>
      <c r="BX88" s="890"/>
      <c r="BY88" s="622"/>
      <c r="BZ88" s="622"/>
      <c r="CA88" s="891"/>
      <c r="CB88" s="622"/>
      <c r="CC88" s="622"/>
      <c r="CD88" s="622"/>
      <c r="CE88" s="651"/>
      <c r="CF88" s="622"/>
      <c r="CG88" s="622"/>
      <c r="CH88" s="622"/>
      <c r="CI88" s="622"/>
      <c r="CJ88" s="622"/>
      <c r="CK88" s="622"/>
      <c r="CL88" s="622"/>
      <c r="CM88" s="622"/>
      <c r="CN88" s="622"/>
      <c r="CO88" s="622"/>
      <c r="CP88" s="622"/>
      <c r="CQ88" s="669">
        <f t="shared" si="6"/>
        <v>0</v>
      </c>
      <c r="CR88" s="622"/>
      <c r="CS88" s="692"/>
      <c r="CT88" s="692"/>
      <c r="CU88" s="692"/>
      <c r="CV88" s="692"/>
      <c r="CW88" s="622"/>
      <c r="CX88" s="622"/>
      <c r="CY88" s="622"/>
      <c r="CZ88" s="693"/>
      <c r="DA88" s="622"/>
      <c r="DB88" s="622"/>
      <c r="DC88" s="622"/>
      <c r="DD88" s="706"/>
      <c r="DE88" s="622"/>
      <c r="DF88" s="622"/>
      <c r="DG88" s="622"/>
      <c r="DH88" s="622"/>
      <c r="DI88" s="622"/>
      <c r="DJ88" s="622"/>
      <c r="DK88" s="622"/>
      <c r="DL88" s="622"/>
      <c r="DM88" s="622"/>
      <c r="DN88" s="622"/>
      <c r="DO88" s="622"/>
      <c r="DP88" s="561">
        <f t="shared" si="17"/>
        <v>0</v>
      </c>
      <c r="DQ88" s="743">
        <f t="shared" si="18"/>
        <v>0</v>
      </c>
      <c r="DR88" s="622"/>
      <c r="DS88" s="622"/>
      <c r="DT88" s="622"/>
      <c r="DU88" s="622"/>
      <c r="DV88" s="622"/>
      <c r="DW88" s="622"/>
      <c r="DX88" s="622"/>
      <c r="DY88" s="622"/>
      <c r="DZ88" s="622"/>
      <c r="EA88" s="622"/>
      <c r="EB88" s="622"/>
      <c r="EC88" s="622"/>
      <c r="ED88" s="622"/>
      <c r="EE88" s="622"/>
      <c r="EF88" s="622"/>
      <c r="EG88" s="622"/>
      <c r="EH88" s="622"/>
      <c r="EI88" s="622"/>
      <c r="EJ88" s="622"/>
      <c r="EK88" s="622"/>
      <c r="EL88" s="622"/>
      <c r="EM88" s="622"/>
      <c r="EN88" s="622"/>
      <c r="EO88" s="622"/>
      <c r="EP88" s="622"/>
      <c r="EQ88" s="622"/>
      <c r="ER88" s="622"/>
      <c r="ES88" s="622"/>
      <c r="ET88" s="622"/>
      <c r="EU88" s="622"/>
      <c r="EV88" s="622"/>
      <c r="EW88" s="622"/>
      <c r="EX88" s="622"/>
      <c r="EY88" s="622"/>
      <c r="EZ88" s="622"/>
      <c r="FA88" s="622"/>
      <c r="FB88" s="622"/>
      <c r="FC88" s="622"/>
      <c r="FD88" s="622"/>
      <c r="FE88" s="622"/>
      <c r="FF88" s="622"/>
      <c r="FG88" s="622"/>
      <c r="FH88" s="622"/>
      <c r="FI88" s="622"/>
      <c r="FJ88" s="622"/>
      <c r="FK88" s="622"/>
      <c r="FL88" s="622"/>
      <c r="FM88" s="763">
        <f t="shared" si="8"/>
        <v>0</v>
      </c>
      <c r="FN88" s="622"/>
      <c r="FO88" s="622"/>
      <c r="FP88" s="622"/>
      <c r="FQ88" s="622"/>
      <c r="FR88" s="622"/>
      <c r="FS88" s="622"/>
      <c r="FT88" s="622"/>
      <c r="FU88" s="622"/>
      <c r="FV88" s="622"/>
      <c r="FW88" s="622"/>
      <c r="FX88" s="622"/>
      <c r="FY88" s="622"/>
      <c r="FZ88" s="622"/>
      <c r="GA88" s="622"/>
      <c r="GB88" s="622"/>
      <c r="GC88" s="622">
        <f t="shared" si="2"/>
        <v>0</v>
      </c>
      <c r="GD88" s="622"/>
      <c r="GE88" s="622"/>
      <c r="GF88" s="622"/>
      <c r="GG88" s="622"/>
      <c r="GH88" s="622"/>
      <c r="GI88" s="622"/>
      <c r="GJ88" s="622"/>
      <c r="GK88" s="622"/>
      <c r="GL88" s="622"/>
      <c r="GM88" s="622"/>
      <c r="GN88" s="622"/>
      <c r="GO88" s="622"/>
      <c r="GP88" s="622"/>
      <c r="GQ88" s="622"/>
      <c r="GR88" s="622"/>
      <c r="GS88" s="622">
        <f t="shared" si="3"/>
        <v>0</v>
      </c>
      <c r="GT88" s="622"/>
      <c r="GU88" s="622"/>
      <c r="GV88" s="622"/>
      <c r="GW88" s="622"/>
      <c r="GX88" s="622"/>
      <c r="GY88" s="622"/>
      <c r="GZ88" s="622"/>
      <c r="HA88" s="622"/>
      <c r="HB88" s="622"/>
      <c r="HC88" s="622"/>
      <c r="HD88" s="622">
        <f t="shared" si="19"/>
        <v>0</v>
      </c>
      <c r="HE88" s="622">
        <f t="shared" si="36"/>
        <v>0</v>
      </c>
      <c r="HF88" s="622">
        <f t="shared" si="22"/>
        <v>0</v>
      </c>
      <c r="HG88" s="622">
        <f t="shared" si="4"/>
        <v>0</v>
      </c>
      <c r="HH88" s="743">
        <f>6*1600+19*50+132</f>
        <v>10682</v>
      </c>
      <c r="HI88" s="933">
        <f t="shared" si="13"/>
        <v>10682</v>
      </c>
      <c r="HJ88" s="934">
        <f t="shared" si="34"/>
        <v>10682</v>
      </c>
      <c r="HK88" s="935">
        <f t="shared" si="35"/>
        <v>445.08333333333331</v>
      </c>
    </row>
    <row r="89" spans="2:219">
      <c r="B89" s="499" t="s">
        <v>372</v>
      </c>
      <c r="C89" s="840" t="s">
        <v>373</v>
      </c>
      <c r="D89" s="563"/>
      <c r="E89" s="551"/>
      <c r="F89" s="551"/>
      <c r="G89" s="551"/>
      <c r="H89" s="576"/>
      <c r="I89" s="576"/>
      <c r="J89" s="576"/>
      <c r="K89" s="576"/>
      <c r="L89" s="576"/>
      <c r="M89" s="576"/>
      <c r="N89" s="576"/>
      <c r="O89" s="576"/>
      <c r="P89" s="576"/>
      <c r="Q89" s="576"/>
      <c r="R89" s="576"/>
      <c r="S89" s="576"/>
      <c r="T89" s="576"/>
      <c r="U89" s="576"/>
      <c r="V89" s="576"/>
      <c r="W89" s="576"/>
      <c r="X89" s="576"/>
      <c r="Y89" s="589"/>
      <c r="Z89" s="589"/>
      <c r="AA89" s="589"/>
      <c r="AB89" s="589"/>
      <c r="AC89" s="589"/>
      <c r="AD89" s="589"/>
      <c r="AE89" s="589"/>
      <c r="AF89" s="589"/>
      <c r="AG89" s="589"/>
      <c r="AH89" s="589"/>
      <c r="AI89" s="589"/>
      <c r="AJ89" s="589"/>
      <c r="AK89" s="589"/>
      <c r="AL89" s="589"/>
      <c r="AM89" s="589"/>
      <c r="AN89" s="589"/>
      <c r="AO89" s="589"/>
      <c r="AP89" s="589"/>
      <c r="AQ89" s="589"/>
      <c r="AR89" s="589"/>
      <c r="AS89" s="589"/>
      <c r="AT89" s="589"/>
      <c r="AU89" s="589"/>
      <c r="AV89" s="589"/>
      <c r="AW89" s="589"/>
      <c r="AX89" s="589"/>
      <c r="AY89" s="589"/>
      <c r="AZ89" s="589"/>
      <c r="BA89" s="589"/>
      <c r="BB89" s="589"/>
      <c r="BC89" s="589"/>
      <c r="BD89" s="589"/>
      <c r="BE89" s="589"/>
      <c r="BF89" s="589"/>
      <c r="BG89" s="589"/>
      <c r="BH89" s="589"/>
      <c r="BI89" s="589"/>
      <c r="BJ89" s="589"/>
      <c r="BK89" s="589"/>
      <c r="BL89" s="589"/>
      <c r="BM89" s="589"/>
      <c r="BN89" s="589"/>
      <c r="BO89" s="589"/>
      <c r="BP89" s="626"/>
      <c r="BQ89" s="598">
        <f t="shared" si="16"/>
        <v>0</v>
      </c>
      <c r="BR89" s="615"/>
      <c r="BS89" s="616"/>
      <c r="BT89" s="616"/>
      <c r="BU89" s="616"/>
      <c r="BV89" s="616"/>
      <c r="BW89" s="616"/>
      <c r="BX89" s="616"/>
      <c r="BY89" s="616"/>
      <c r="BZ89" s="616"/>
      <c r="CA89" s="688"/>
      <c r="CB89" s="616"/>
      <c r="CC89" s="616"/>
      <c r="CD89" s="616"/>
      <c r="CE89" s="649"/>
      <c r="CF89" s="616"/>
      <c r="CG89" s="616"/>
      <c r="CH89" s="616"/>
      <c r="CI89" s="616"/>
      <c r="CJ89" s="616"/>
      <c r="CK89" s="616"/>
      <c r="CL89" s="616"/>
      <c r="CM89" s="616"/>
      <c r="CN89" s="616"/>
      <c r="CO89" s="616"/>
      <c r="CP89" s="616"/>
      <c r="CQ89" s="667">
        <f t="shared" si="6"/>
        <v>0</v>
      </c>
      <c r="CR89" s="616"/>
      <c r="CS89" s="688"/>
      <c r="CT89" s="688"/>
      <c r="CU89" s="688"/>
      <c r="CV89" s="688"/>
      <c r="CW89" s="616"/>
      <c r="CX89" s="616"/>
      <c r="CY89" s="616"/>
      <c r="CZ89" s="689"/>
      <c r="DA89" s="616"/>
      <c r="DB89" s="616"/>
      <c r="DC89" s="616"/>
      <c r="DD89" s="707"/>
      <c r="DE89" s="616"/>
      <c r="DF89" s="616"/>
      <c r="DG89" s="616"/>
      <c r="DH89" s="616"/>
      <c r="DI89" s="616"/>
      <c r="DJ89" s="616"/>
      <c r="DK89" s="616"/>
      <c r="DL89" s="616"/>
      <c r="DM89" s="616"/>
      <c r="DN89" s="616"/>
      <c r="DO89" s="616"/>
      <c r="DP89" s="563">
        <f t="shared" si="17"/>
        <v>0</v>
      </c>
      <c r="DQ89" s="739">
        <f t="shared" si="18"/>
        <v>0</v>
      </c>
      <c r="DR89" s="616"/>
      <c r="DS89" s="616"/>
      <c r="DT89" s="616"/>
      <c r="DU89" s="616"/>
      <c r="DV89" s="616"/>
      <c r="DW89" s="616"/>
      <c r="DX89" s="616"/>
      <c r="DY89" s="616"/>
      <c r="DZ89" s="616"/>
      <c r="EA89" s="616"/>
      <c r="EB89" s="616"/>
      <c r="EC89" s="616"/>
      <c r="ED89" s="616"/>
      <c r="EE89" s="616"/>
      <c r="EF89" s="616"/>
      <c r="EG89" s="616"/>
      <c r="EH89" s="616"/>
      <c r="EI89" s="616"/>
      <c r="EJ89" s="616"/>
      <c r="EK89" s="616"/>
      <c r="EL89" s="616"/>
      <c r="EM89" s="616"/>
      <c r="EN89" s="616"/>
      <c r="EO89" s="616"/>
      <c r="EP89" s="616"/>
      <c r="EQ89" s="616"/>
      <c r="ER89" s="616"/>
      <c r="ES89" s="616"/>
      <c r="ET89" s="616"/>
      <c r="EU89" s="616"/>
      <c r="EV89" s="616"/>
      <c r="EW89" s="616"/>
      <c r="EX89" s="616"/>
      <c r="EY89" s="616"/>
      <c r="EZ89" s="616"/>
      <c r="FA89" s="616"/>
      <c r="FB89" s="616"/>
      <c r="FC89" s="616"/>
      <c r="FD89" s="616"/>
      <c r="FE89" s="616"/>
      <c r="FF89" s="616"/>
      <c r="FG89" s="616"/>
      <c r="FH89" s="616"/>
      <c r="FI89" s="616"/>
      <c r="FJ89" s="616"/>
      <c r="FK89" s="616"/>
      <c r="FL89" s="616"/>
      <c r="FM89" s="761">
        <f t="shared" si="8"/>
        <v>0</v>
      </c>
      <c r="FN89" s="616"/>
      <c r="FO89" s="616"/>
      <c r="FP89" s="616"/>
      <c r="FQ89" s="616"/>
      <c r="FR89" s="616"/>
      <c r="FS89" s="616"/>
      <c r="FT89" s="616"/>
      <c r="FU89" s="616"/>
      <c r="FV89" s="616"/>
      <c r="FW89" s="616"/>
      <c r="FX89" s="616"/>
      <c r="FY89" s="616"/>
      <c r="FZ89" s="616"/>
      <c r="GA89" s="616"/>
      <c r="GB89" s="616"/>
      <c r="GC89" s="616">
        <f t="shared" si="2"/>
        <v>0</v>
      </c>
      <c r="GD89" s="616"/>
      <c r="GE89" s="616"/>
      <c r="GF89" s="616"/>
      <c r="GG89" s="616"/>
      <c r="GH89" s="616"/>
      <c r="GI89" s="616"/>
      <c r="GJ89" s="616"/>
      <c r="GK89" s="616"/>
      <c r="GL89" s="616"/>
      <c r="GM89" s="616"/>
      <c r="GN89" s="616"/>
      <c r="GO89" s="616"/>
      <c r="GP89" s="616"/>
      <c r="GQ89" s="616"/>
      <c r="GR89" s="616"/>
      <c r="GS89" s="616">
        <f t="shared" si="3"/>
        <v>0</v>
      </c>
      <c r="GT89" s="616"/>
      <c r="GU89" s="616"/>
      <c r="GV89" s="616"/>
      <c r="GW89" s="616"/>
      <c r="GX89" s="616"/>
      <c r="GY89" s="616"/>
      <c r="GZ89" s="616"/>
      <c r="HA89" s="616"/>
      <c r="HB89" s="616"/>
      <c r="HC89" s="616"/>
      <c r="HD89" s="616">
        <f t="shared" si="19"/>
        <v>0</v>
      </c>
      <c r="HE89" s="616">
        <f t="shared" si="36"/>
        <v>0</v>
      </c>
      <c r="HF89" s="616">
        <f t="shared" si="22"/>
        <v>0</v>
      </c>
      <c r="HG89" s="616">
        <f t="shared" si="4"/>
        <v>0</v>
      </c>
      <c r="HH89" s="739"/>
      <c r="HI89" s="936">
        <f t="shared" si="13"/>
        <v>0</v>
      </c>
      <c r="HJ89" s="937">
        <f t="shared" si="34"/>
        <v>0</v>
      </c>
      <c r="HK89" s="938">
        <f t="shared" si="35"/>
        <v>0</v>
      </c>
    </row>
    <row r="90" spans="2:219">
      <c r="B90" s="841" t="s">
        <v>374</v>
      </c>
      <c r="C90" s="840" t="s">
        <v>375</v>
      </c>
      <c r="D90" s="563"/>
      <c r="E90" s="551"/>
      <c r="F90" s="551"/>
      <c r="G90" s="551"/>
      <c r="H90" s="576"/>
      <c r="I90" s="576"/>
      <c r="J90" s="576"/>
      <c r="K90" s="576"/>
      <c r="L90" s="576"/>
      <c r="M90" s="576"/>
      <c r="N90" s="576"/>
      <c r="O90" s="576"/>
      <c r="P90" s="576"/>
      <c r="Q90" s="576"/>
      <c r="R90" s="576"/>
      <c r="S90" s="576"/>
      <c r="T90" s="576"/>
      <c r="U90" s="576"/>
      <c r="V90" s="576"/>
      <c r="W90" s="576"/>
      <c r="X90" s="576"/>
      <c r="Y90" s="589"/>
      <c r="Z90" s="589"/>
      <c r="AA90" s="589"/>
      <c r="AB90" s="589"/>
      <c r="AC90" s="589"/>
      <c r="AD90" s="589"/>
      <c r="AE90" s="589"/>
      <c r="AF90" s="589"/>
      <c r="AG90" s="589"/>
      <c r="AH90" s="589"/>
      <c r="AI90" s="589"/>
      <c r="AJ90" s="589"/>
      <c r="AK90" s="589"/>
      <c r="AL90" s="589"/>
      <c r="AM90" s="589"/>
      <c r="AN90" s="589"/>
      <c r="AO90" s="589"/>
      <c r="AP90" s="589"/>
      <c r="AQ90" s="589"/>
      <c r="AR90" s="589"/>
      <c r="AS90" s="589"/>
      <c r="AT90" s="589"/>
      <c r="AU90" s="589"/>
      <c r="AV90" s="589"/>
      <c r="AW90" s="589"/>
      <c r="AX90" s="589"/>
      <c r="AY90" s="589"/>
      <c r="AZ90" s="589"/>
      <c r="BA90" s="589"/>
      <c r="BB90" s="589"/>
      <c r="BC90" s="589"/>
      <c r="BD90" s="589"/>
      <c r="BE90" s="589"/>
      <c r="BF90" s="589"/>
      <c r="BG90" s="589"/>
      <c r="BH90" s="589"/>
      <c r="BI90" s="589"/>
      <c r="BJ90" s="589"/>
      <c r="BK90" s="589"/>
      <c r="BL90" s="589"/>
      <c r="BM90" s="589"/>
      <c r="BN90" s="589"/>
      <c r="BO90" s="589"/>
      <c r="BP90" s="626"/>
      <c r="BQ90" s="598">
        <f t="shared" si="16"/>
        <v>0</v>
      </c>
      <c r="BR90" s="615"/>
      <c r="BS90" s="616"/>
      <c r="BT90" s="616"/>
      <c r="BU90" s="616"/>
      <c r="BV90" s="616"/>
      <c r="BW90" s="616"/>
      <c r="BX90" s="616"/>
      <c r="BY90" s="616"/>
      <c r="BZ90" s="616"/>
      <c r="CA90" s="688"/>
      <c r="CB90" s="616"/>
      <c r="CC90" s="616"/>
      <c r="CD90" s="616"/>
      <c r="CE90" s="649"/>
      <c r="CF90" s="616"/>
      <c r="CG90" s="616"/>
      <c r="CH90" s="616"/>
      <c r="CI90" s="616"/>
      <c r="CJ90" s="616"/>
      <c r="CK90" s="616"/>
      <c r="CL90" s="616"/>
      <c r="CM90" s="616"/>
      <c r="CN90" s="616"/>
      <c r="CO90" s="616"/>
      <c r="CP90" s="616"/>
      <c r="CQ90" s="667">
        <f t="shared" si="6"/>
        <v>0</v>
      </c>
      <c r="CR90" s="616"/>
      <c r="CS90" s="688"/>
      <c r="CT90" s="688"/>
      <c r="CU90" s="688"/>
      <c r="CV90" s="688"/>
      <c r="CW90" s="616"/>
      <c r="CX90" s="616"/>
      <c r="CY90" s="616"/>
      <c r="CZ90" s="689"/>
      <c r="DA90" s="616"/>
      <c r="DB90" s="616"/>
      <c r="DC90" s="616"/>
      <c r="DD90" s="707"/>
      <c r="DE90" s="616"/>
      <c r="DF90" s="616"/>
      <c r="DG90" s="616"/>
      <c r="DH90" s="616"/>
      <c r="DI90" s="616"/>
      <c r="DJ90" s="616"/>
      <c r="DK90" s="616"/>
      <c r="DL90" s="616"/>
      <c r="DM90" s="616"/>
      <c r="DN90" s="616"/>
      <c r="DO90" s="616"/>
      <c r="DP90" s="563">
        <f t="shared" si="17"/>
        <v>0</v>
      </c>
      <c r="DQ90" s="739">
        <f t="shared" si="18"/>
        <v>0</v>
      </c>
      <c r="DR90" s="616"/>
      <c r="DS90" s="616"/>
      <c r="DT90" s="616"/>
      <c r="DU90" s="616"/>
      <c r="DV90" s="616"/>
      <c r="DW90" s="616"/>
      <c r="DX90" s="616"/>
      <c r="DY90" s="616"/>
      <c r="DZ90" s="616"/>
      <c r="EA90" s="616"/>
      <c r="EB90" s="616"/>
      <c r="EC90" s="616"/>
      <c r="ED90" s="616"/>
      <c r="EE90" s="616"/>
      <c r="EF90" s="616"/>
      <c r="EG90" s="616"/>
      <c r="EH90" s="616"/>
      <c r="EI90" s="616"/>
      <c r="EJ90" s="616"/>
      <c r="EK90" s="616"/>
      <c r="EL90" s="616"/>
      <c r="EM90" s="616"/>
      <c r="EN90" s="616"/>
      <c r="EO90" s="616"/>
      <c r="EP90" s="616"/>
      <c r="EQ90" s="616"/>
      <c r="ER90" s="616"/>
      <c r="ES90" s="616"/>
      <c r="ET90" s="616"/>
      <c r="EU90" s="616"/>
      <c r="EV90" s="616"/>
      <c r="EW90" s="616"/>
      <c r="EX90" s="616"/>
      <c r="EY90" s="616"/>
      <c r="EZ90" s="616"/>
      <c r="FA90" s="616"/>
      <c r="FB90" s="616"/>
      <c r="FC90" s="616"/>
      <c r="FD90" s="616"/>
      <c r="FE90" s="616"/>
      <c r="FF90" s="616"/>
      <c r="FG90" s="616"/>
      <c r="FH90" s="616"/>
      <c r="FI90" s="616"/>
      <c r="FJ90" s="616"/>
      <c r="FK90" s="616"/>
      <c r="FL90" s="616"/>
      <c r="FM90" s="761">
        <f t="shared" si="8"/>
        <v>0</v>
      </c>
      <c r="FN90" s="616"/>
      <c r="FO90" s="616"/>
      <c r="FP90" s="616"/>
      <c r="FQ90" s="616"/>
      <c r="FR90" s="616"/>
      <c r="FS90" s="616"/>
      <c r="FT90" s="616"/>
      <c r="FU90" s="616"/>
      <c r="FV90" s="616"/>
      <c r="FW90" s="616"/>
      <c r="FX90" s="616"/>
      <c r="FY90" s="616"/>
      <c r="FZ90" s="616"/>
      <c r="GA90" s="616"/>
      <c r="GB90" s="616"/>
      <c r="GC90" s="616">
        <f t="shared" si="2"/>
        <v>0</v>
      </c>
      <c r="GD90" s="616"/>
      <c r="GE90" s="616"/>
      <c r="GF90" s="616"/>
      <c r="GG90" s="616"/>
      <c r="GH90" s="616"/>
      <c r="GI90" s="616"/>
      <c r="GJ90" s="616"/>
      <c r="GK90" s="616"/>
      <c r="GL90" s="616"/>
      <c r="GM90" s="616"/>
      <c r="GN90" s="616"/>
      <c r="GO90" s="616"/>
      <c r="GP90" s="616"/>
      <c r="GQ90" s="616"/>
      <c r="GR90" s="616"/>
      <c r="GS90" s="616">
        <f t="shared" si="3"/>
        <v>0</v>
      </c>
      <c r="GT90" s="616"/>
      <c r="GU90" s="616"/>
      <c r="GV90" s="616"/>
      <c r="GW90" s="616"/>
      <c r="GX90" s="616"/>
      <c r="GY90" s="616"/>
      <c r="GZ90" s="616"/>
      <c r="HA90" s="616"/>
      <c r="HB90" s="616"/>
      <c r="HC90" s="616"/>
      <c r="HD90" s="616">
        <f t="shared" si="19"/>
        <v>0</v>
      </c>
      <c r="HE90" s="616">
        <f t="shared" si="36"/>
        <v>0</v>
      </c>
      <c r="HF90" s="616">
        <f t="shared" si="22"/>
        <v>0</v>
      </c>
      <c r="HG90" s="616">
        <f t="shared" si="4"/>
        <v>0</v>
      </c>
      <c r="HH90" s="739"/>
      <c r="HI90" s="936">
        <f t="shared" si="13"/>
        <v>0</v>
      </c>
      <c r="HJ90" s="937">
        <f t="shared" si="34"/>
        <v>0</v>
      </c>
      <c r="HK90" s="938">
        <f t="shared" si="35"/>
        <v>0</v>
      </c>
    </row>
    <row r="91" spans="2:219">
      <c r="B91" s="841" t="s">
        <v>376</v>
      </c>
      <c r="C91" s="840" t="s">
        <v>377</v>
      </c>
      <c r="D91" s="563"/>
      <c r="E91" s="551"/>
      <c r="F91" s="551"/>
      <c r="G91" s="551"/>
      <c r="H91" s="576"/>
      <c r="I91" s="576"/>
      <c r="J91" s="576"/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89"/>
      <c r="Z91" s="589"/>
      <c r="AA91" s="589"/>
      <c r="AB91" s="589"/>
      <c r="AC91" s="589"/>
      <c r="AD91" s="589"/>
      <c r="AE91" s="589"/>
      <c r="AF91" s="589"/>
      <c r="AG91" s="589"/>
      <c r="AH91" s="589"/>
      <c r="AI91" s="589"/>
      <c r="AJ91" s="589"/>
      <c r="AK91" s="589"/>
      <c r="AL91" s="589"/>
      <c r="AM91" s="589"/>
      <c r="AN91" s="589"/>
      <c r="AO91" s="589"/>
      <c r="AP91" s="589"/>
      <c r="AQ91" s="589"/>
      <c r="AR91" s="589"/>
      <c r="AS91" s="589"/>
      <c r="AT91" s="589"/>
      <c r="AU91" s="589"/>
      <c r="AV91" s="589"/>
      <c r="AW91" s="589"/>
      <c r="AX91" s="589"/>
      <c r="AY91" s="589"/>
      <c r="AZ91" s="589"/>
      <c r="BA91" s="589"/>
      <c r="BB91" s="589"/>
      <c r="BC91" s="589"/>
      <c r="BD91" s="589"/>
      <c r="BE91" s="589"/>
      <c r="BF91" s="589"/>
      <c r="BG91" s="589"/>
      <c r="BH91" s="589"/>
      <c r="BI91" s="589"/>
      <c r="BJ91" s="589"/>
      <c r="BK91" s="589"/>
      <c r="BL91" s="589"/>
      <c r="BM91" s="589"/>
      <c r="BN91" s="589"/>
      <c r="BO91" s="589"/>
      <c r="BP91" s="626"/>
      <c r="BQ91" s="598">
        <f t="shared" si="16"/>
        <v>0</v>
      </c>
      <c r="BR91" s="615"/>
      <c r="BS91" s="616"/>
      <c r="BT91" s="616"/>
      <c r="BU91" s="616"/>
      <c r="BV91" s="616"/>
      <c r="BW91" s="616"/>
      <c r="BX91" s="616"/>
      <c r="BY91" s="616"/>
      <c r="BZ91" s="616"/>
      <c r="CA91" s="688"/>
      <c r="CB91" s="616"/>
      <c r="CC91" s="616"/>
      <c r="CD91" s="616"/>
      <c r="CE91" s="649"/>
      <c r="CF91" s="616"/>
      <c r="CG91" s="616"/>
      <c r="CH91" s="616"/>
      <c r="CI91" s="616"/>
      <c r="CJ91" s="616"/>
      <c r="CK91" s="616"/>
      <c r="CL91" s="616"/>
      <c r="CM91" s="616"/>
      <c r="CN91" s="616"/>
      <c r="CO91" s="616"/>
      <c r="CP91" s="616"/>
      <c r="CQ91" s="667">
        <f>+SUM(BR91:CP91)</f>
        <v>0</v>
      </c>
      <c r="CR91" s="616"/>
      <c r="CS91" s="688"/>
      <c r="CT91" s="688"/>
      <c r="CU91" s="688"/>
      <c r="CV91" s="688"/>
      <c r="CW91" s="616"/>
      <c r="CX91" s="616"/>
      <c r="CY91" s="616"/>
      <c r="CZ91" s="689"/>
      <c r="DA91" s="616"/>
      <c r="DB91" s="616"/>
      <c r="DC91" s="616"/>
      <c r="DD91" s="707"/>
      <c r="DE91" s="616"/>
      <c r="DF91" s="616"/>
      <c r="DG91" s="616"/>
      <c r="DH91" s="616"/>
      <c r="DI91" s="616"/>
      <c r="DJ91" s="616"/>
      <c r="DK91" s="616"/>
      <c r="DL91" s="616"/>
      <c r="DM91" s="616"/>
      <c r="DN91" s="616"/>
      <c r="DO91" s="616"/>
      <c r="DP91" s="563">
        <f t="shared" si="17"/>
        <v>0</v>
      </c>
      <c r="DQ91" s="739">
        <f t="shared" si="18"/>
        <v>0</v>
      </c>
      <c r="DR91" s="616"/>
      <c r="DS91" s="616"/>
      <c r="DT91" s="616"/>
      <c r="DU91" s="616"/>
      <c r="DV91" s="616"/>
      <c r="DW91" s="616"/>
      <c r="DX91" s="616"/>
      <c r="DY91" s="616"/>
      <c r="DZ91" s="616"/>
      <c r="EA91" s="616"/>
      <c r="EB91" s="616"/>
      <c r="EC91" s="616"/>
      <c r="ED91" s="616"/>
      <c r="EE91" s="616"/>
      <c r="EF91" s="616"/>
      <c r="EG91" s="616"/>
      <c r="EH91" s="616"/>
      <c r="EI91" s="616"/>
      <c r="EJ91" s="616"/>
      <c r="EK91" s="616"/>
      <c r="EL91" s="616"/>
      <c r="EM91" s="616"/>
      <c r="EN91" s="616"/>
      <c r="EO91" s="616"/>
      <c r="EP91" s="616"/>
      <c r="EQ91" s="616"/>
      <c r="ER91" s="616"/>
      <c r="ES91" s="616"/>
      <c r="ET91" s="616"/>
      <c r="EU91" s="616"/>
      <c r="EV91" s="616"/>
      <c r="EW91" s="616"/>
      <c r="EX91" s="616"/>
      <c r="EY91" s="616"/>
      <c r="EZ91" s="616"/>
      <c r="FA91" s="616"/>
      <c r="FB91" s="616"/>
      <c r="FC91" s="616"/>
      <c r="FD91" s="616"/>
      <c r="FE91" s="616"/>
      <c r="FF91" s="616"/>
      <c r="FG91" s="616"/>
      <c r="FH91" s="616"/>
      <c r="FI91" s="616"/>
      <c r="FJ91" s="616"/>
      <c r="FK91" s="616"/>
      <c r="FL91" s="616"/>
      <c r="FM91" s="761">
        <f>SUM(DR91:FL91)</f>
        <v>0</v>
      </c>
      <c r="FN91" s="616"/>
      <c r="FO91" s="616"/>
      <c r="FP91" s="616"/>
      <c r="FQ91" s="616"/>
      <c r="FR91" s="616"/>
      <c r="FS91" s="616"/>
      <c r="FT91" s="616"/>
      <c r="FU91" s="616"/>
      <c r="FV91" s="616"/>
      <c r="FW91" s="616"/>
      <c r="FX91" s="616"/>
      <c r="FY91" s="616"/>
      <c r="FZ91" s="616"/>
      <c r="GA91" s="616"/>
      <c r="GB91" s="616"/>
      <c r="GC91" s="616">
        <f>+FN91+FO91+FP91+FQ91+FR91+FS91+FT91+FU91+FV91+FW91+FX91+FY91+FZ91+GA91+GB91</f>
        <v>0</v>
      </c>
      <c r="GD91" s="616"/>
      <c r="GE91" s="616"/>
      <c r="GF91" s="616"/>
      <c r="GG91" s="616"/>
      <c r="GH91" s="616"/>
      <c r="GI91" s="616"/>
      <c r="GJ91" s="616"/>
      <c r="GK91" s="616"/>
      <c r="GL91" s="616"/>
      <c r="GM91" s="616"/>
      <c r="GN91" s="616"/>
      <c r="GO91" s="616"/>
      <c r="GP91" s="616"/>
      <c r="GQ91" s="616"/>
      <c r="GR91" s="616"/>
      <c r="GS91" s="616">
        <f>+GD91+GE91+GF91+GG91+GH91+GI91+GJ91+GK91+GL91+GM91+GN91+GO91+GP91+GQ91+GR91</f>
        <v>0</v>
      </c>
      <c r="GT91" s="616"/>
      <c r="GU91" s="616"/>
      <c r="GV91" s="616"/>
      <c r="GW91" s="616"/>
      <c r="GX91" s="616"/>
      <c r="GY91" s="616"/>
      <c r="GZ91" s="616"/>
      <c r="HA91" s="616"/>
      <c r="HB91" s="616"/>
      <c r="HC91" s="616"/>
      <c r="HD91" s="616">
        <f t="shared" si="19"/>
        <v>0</v>
      </c>
      <c r="HE91" s="616">
        <f t="shared" si="36"/>
        <v>0</v>
      </c>
      <c r="HF91" s="616">
        <f t="shared" si="22"/>
        <v>0</v>
      </c>
      <c r="HG91" s="616">
        <f t="shared" si="4"/>
        <v>0</v>
      </c>
      <c r="HH91" s="739">
        <f>12*50+101+2*1600+2*2400</f>
        <v>8701</v>
      </c>
      <c r="HI91" s="936">
        <f t="shared" si="13"/>
        <v>8701</v>
      </c>
      <c r="HJ91" s="937">
        <f t="shared" si="34"/>
        <v>8701</v>
      </c>
      <c r="HK91" s="938">
        <f t="shared" si="35"/>
        <v>362.54166666666669</v>
      </c>
    </row>
    <row r="92" spans="2:219">
      <c r="B92" s="841" t="s">
        <v>378</v>
      </c>
      <c r="C92" s="840" t="s">
        <v>379</v>
      </c>
      <c r="D92" s="563"/>
      <c r="E92" s="551"/>
      <c r="F92" s="551"/>
      <c r="G92" s="551"/>
      <c r="H92" s="576"/>
      <c r="I92" s="576"/>
      <c r="J92" s="576"/>
      <c r="K92" s="576"/>
      <c r="L92" s="576"/>
      <c r="M92" s="576"/>
      <c r="N92" s="576"/>
      <c r="O92" s="576"/>
      <c r="P92" s="576"/>
      <c r="Q92" s="576"/>
      <c r="R92" s="576"/>
      <c r="S92" s="576"/>
      <c r="T92" s="576"/>
      <c r="U92" s="576"/>
      <c r="V92" s="576"/>
      <c r="W92" s="576"/>
      <c r="X92" s="576"/>
      <c r="Y92" s="589"/>
      <c r="Z92" s="589"/>
      <c r="AA92" s="589"/>
      <c r="AB92" s="589"/>
      <c r="AC92" s="589"/>
      <c r="AD92" s="589"/>
      <c r="AE92" s="589"/>
      <c r="AF92" s="589"/>
      <c r="AG92" s="589"/>
      <c r="AH92" s="589"/>
      <c r="AI92" s="589"/>
      <c r="AJ92" s="589"/>
      <c r="AK92" s="589"/>
      <c r="AL92" s="589"/>
      <c r="AM92" s="589"/>
      <c r="AN92" s="589"/>
      <c r="AO92" s="589"/>
      <c r="AP92" s="589"/>
      <c r="AQ92" s="589"/>
      <c r="AR92" s="589"/>
      <c r="AS92" s="589"/>
      <c r="AT92" s="589"/>
      <c r="AU92" s="589"/>
      <c r="AV92" s="589"/>
      <c r="AW92" s="589"/>
      <c r="AX92" s="589"/>
      <c r="AY92" s="589"/>
      <c r="AZ92" s="589"/>
      <c r="BA92" s="589"/>
      <c r="BB92" s="589"/>
      <c r="BC92" s="589"/>
      <c r="BD92" s="589"/>
      <c r="BE92" s="589"/>
      <c r="BF92" s="589"/>
      <c r="BG92" s="589"/>
      <c r="BH92" s="589"/>
      <c r="BI92" s="589"/>
      <c r="BJ92" s="589"/>
      <c r="BK92" s="589"/>
      <c r="BL92" s="589"/>
      <c r="BM92" s="589"/>
      <c r="BN92" s="589"/>
      <c r="BO92" s="589"/>
      <c r="BP92" s="626"/>
      <c r="BQ92" s="598">
        <f t="shared" si="16"/>
        <v>0</v>
      </c>
      <c r="BR92" s="615"/>
      <c r="BS92" s="616"/>
      <c r="BT92" s="616"/>
      <c r="BU92" s="616"/>
      <c r="BV92" s="616"/>
      <c r="BW92" s="616"/>
      <c r="BX92" s="616"/>
      <c r="BY92" s="616"/>
      <c r="BZ92" s="616"/>
      <c r="CA92" s="643"/>
      <c r="CB92" s="616"/>
      <c r="CC92" s="616"/>
      <c r="CD92" s="616"/>
      <c r="CE92" s="649"/>
      <c r="CF92" s="616"/>
      <c r="CG92" s="616"/>
      <c r="CH92" s="616"/>
      <c r="CI92" s="616"/>
      <c r="CJ92" s="616"/>
      <c r="CK92" s="616"/>
      <c r="CL92" s="616"/>
      <c r="CM92" s="616"/>
      <c r="CN92" s="616"/>
      <c r="CO92" s="616"/>
      <c r="CP92" s="616"/>
      <c r="CQ92" s="667">
        <f t="shared" si="6"/>
        <v>0</v>
      </c>
      <c r="CR92" s="616"/>
      <c r="CS92" s="688"/>
      <c r="CT92" s="688"/>
      <c r="CU92" s="688"/>
      <c r="CV92" s="688"/>
      <c r="CW92" s="616"/>
      <c r="CX92" s="616"/>
      <c r="CY92" s="616"/>
      <c r="CZ92" s="689"/>
      <c r="DA92" s="616"/>
      <c r="DB92" s="616"/>
      <c r="DC92" s="616"/>
      <c r="DD92" s="707"/>
      <c r="DE92" s="616"/>
      <c r="DF92" s="616"/>
      <c r="DG92" s="616"/>
      <c r="DH92" s="616"/>
      <c r="DI92" s="616"/>
      <c r="DJ92" s="616"/>
      <c r="DK92" s="616"/>
      <c r="DL92" s="616"/>
      <c r="DM92" s="616"/>
      <c r="DN92" s="616"/>
      <c r="DO92" s="616"/>
      <c r="DP92" s="563">
        <f t="shared" si="17"/>
        <v>0</v>
      </c>
      <c r="DQ92" s="739">
        <f t="shared" si="18"/>
        <v>0</v>
      </c>
      <c r="DR92" s="616"/>
      <c r="DS92" s="616"/>
      <c r="DT92" s="616"/>
      <c r="DU92" s="616"/>
      <c r="DV92" s="616"/>
      <c r="DW92" s="616"/>
      <c r="DX92" s="616"/>
      <c r="DY92" s="616"/>
      <c r="DZ92" s="616"/>
      <c r="EA92" s="616"/>
      <c r="EB92" s="616"/>
      <c r="EC92" s="616"/>
      <c r="ED92" s="616"/>
      <c r="EE92" s="616"/>
      <c r="EF92" s="616"/>
      <c r="EG92" s="616"/>
      <c r="EH92" s="616"/>
      <c r="EI92" s="616"/>
      <c r="EJ92" s="616"/>
      <c r="EK92" s="616"/>
      <c r="EL92" s="616"/>
      <c r="EM92" s="616"/>
      <c r="EN92" s="616"/>
      <c r="EO92" s="616"/>
      <c r="EP92" s="616"/>
      <c r="EQ92" s="616"/>
      <c r="ER92" s="616"/>
      <c r="ES92" s="616"/>
      <c r="ET92" s="616"/>
      <c r="EU92" s="616"/>
      <c r="EV92" s="616"/>
      <c r="EW92" s="616"/>
      <c r="EX92" s="616"/>
      <c r="EY92" s="616"/>
      <c r="EZ92" s="616"/>
      <c r="FA92" s="616"/>
      <c r="FB92" s="616"/>
      <c r="FC92" s="616"/>
      <c r="FD92" s="616"/>
      <c r="FE92" s="616"/>
      <c r="FF92" s="616"/>
      <c r="FG92" s="616"/>
      <c r="FH92" s="616"/>
      <c r="FI92" s="616"/>
      <c r="FJ92" s="616"/>
      <c r="FK92" s="616"/>
      <c r="FL92" s="616"/>
      <c r="FM92" s="761">
        <f t="shared" si="8"/>
        <v>0</v>
      </c>
      <c r="FN92" s="616"/>
      <c r="FO92" s="616"/>
      <c r="FP92" s="616"/>
      <c r="FQ92" s="616"/>
      <c r="FR92" s="616"/>
      <c r="FS92" s="616"/>
      <c r="FT92" s="616"/>
      <c r="FU92" s="616"/>
      <c r="FV92" s="616"/>
      <c r="FW92" s="616"/>
      <c r="FX92" s="616"/>
      <c r="FY92" s="616"/>
      <c r="FZ92" s="616"/>
      <c r="GA92" s="616"/>
      <c r="GB92" s="616"/>
      <c r="GC92" s="616">
        <f t="shared" si="2"/>
        <v>0</v>
      </c>
      <c r="GD92" s="616"/>
      <c r="GE92" s="616"/>
      <c r="GF92" s="616"/>
      <c r="GG92" s="616"/>
      <c r="GH92" s="616"/>
      <c r="GI92" s="616"/>
      <c r="GJ92" s="616"/>
      <c r="GK92" s="616"/>
      <c r="GL92" s="616"/>
      <c r="GM92" s="616"/>
      <c r="GN92" s="616"/>
      <c r="GO92" s="616"/>
      <c r="GP92" s="616"/>
      <c r="GQ92" s="616"/>
      <c r="GR92" s="616"/>
      <c r="GS92" s="616">
        <f t="shared" si="3"/>
        <v>0</v>
      </c>
      <c r="GT92" s="616"/>
      <c r="GU92" s="616"/>
      <c r="GV92" s="616"/>
      <c r="GW92" s="616"/>
      <c r="GX92" s="616"/>
      <c r="GY92" s="616"/>
      <c r="GZ92" s="616"/>
      <c r="HA92" s="616"/>
      <c r="HB92" s="616"/>
      <c r="HC92" s="616"/>
      <c r="HD92" s="616">
        <f t="shared" si="19"/>
        <v>0</v>
      </c>
      <c r="HE92" s="616">
        <f t="shared" si="36"/>
        <v>0</v>
      </c>
      <c r="HF92" s="616">
        <f t="shared" si="22"/>
        <v>0</v>
      </c>
      <c r="HG92" s="616">
        <f t="shared" si="4"/>
        <v>0</v>
      </c>
      <c r="HH92" s="739">
        <f>6*1600+5*50+19+9*50</f>
        <v>10319</v>
      </c>
      <c r="HI92" s="936">
        <f t="shared" si="13"/>
        <v>10319</v>
      </c>
      <c r="HJ92" s="937">
        <f t="shared" si="34"/>
        <v>10319</v>
      </c>
      <c r="HK92" s="938">
        <f t="shared" si="35"/>
        <v>429.95833333333331</v>
      </c>
    </row>
    <row r="93" spans="2:219">
      <c r="B93" s="842" t="s">
        <v>380</v>
      </c>
      <c r="C93" s="518" t="s">
        <v>381</v>
      </c>
      <c r="D93" s="565"/>
      <c r="E93" s="540"/>
      <c r="F93" s="540"/>
      <c r="G93" s="540"/>
      <c r="H93" s="573"/>
      <c r="I93" s="573"/>
      <c r="J93" s="573"/>
      <c r="K93" s="573"/>
      <c r="L93" s="573"/>
      <c r="M93" s="573"/>
      <c r="N93" s="573"/>
      <c r="O93" s="573"/>
      <c r="P93" s="573"/>
      <c r="Q93" s="573"/>
      <c r="R93" s="573"/>
      <c r="S93" s="573"/>
      <c r="T93" s="573"/>
      <c r="U93" s="573"/>
      <c r="V93" s="573"/>
      <c r="W93" s="573"/>
      <c r="X93" s="573"/>
      <c r="Y93" s="586"/>
      <c r="Z93" s="586"/>
      <c r="AA93" s="586"/>
      <c r="AB93" s="586"/>
      <c r="AC93" s="586"/>
      <c r="AD93" s="586"/>
      <c r="AE93" s="586"/>
      <c r="AF93" s="586"/>
      <c r="AG93" s="586"/>
      <c r="AH93" s="586"/>
      <c r="AI93" s="586"/>
      <c r="AJ93" s="586"/>
      <c r="AK93" s="586"/>
      <c r="AL93" s="586"/>
      <c r="AM93" s="586"/>
      <c r="AN93" s="586"/>
      <c r="AO93" s="586"/>
      <c r="AP93" s="586"/>
      <c r="AQ93" s="586"/>
      <c r="AR93" s="586"/>
      <c r="AS93" s="586"/>
      <c r="AT93" s="586"/>
      <c r="AU93" s="586"/>
      <c r="AV93" s="586"/>
      <c r="AW93" s="586"/>
      <c r="AX93" s="586"/>
      <c r="AY93" s="586"/>
      <c r="AZ93" s="586"/>
      <c r="BA93" s="586"/>
      <c r="BB93" s="586"/>
      <c r="BC93" s="586"/>
      <c r="BD93" s="586"/>
      <c r="BE93" s="586"/>
      <c r="BF93" s="586"/>
      <c r="BG93" s="586"/>
      <c r="BH93" s="586"/>
      <c r="BI93" s="586"/>
      <c r="BJ93" s="586"/>
      <c r="BK93" s="586"/>
      <c r="BL93" s="586"/>
      <c r="BM93" s="586"/>
      <c r="BN93" s="586"/>
      <c r="BO93" s="586"/>
      <c r="BP93" s="617"/>
      <c r="BQ93" s="600">
        <f t="shared" si="16"/>
        <v>0</v>
      </c>
      <c r="BR93" s="618"/>
      <c r="BS93" s="619"/>
      <c r="BT93" s="619"/>
      <c r="BU93" s="619"/>
      <c r="BV93" s="619"/>
      <c r="BW93" s="619"/>
      <c r="BX93" s="619"/>
      <c r="BY93" s="619"/>
      <c r="BZ93" s="619"/>
      <c r="CA93" s="644"/>
      <c r="CB93" s="619"/>
      <c r="CC93" s="619"/>
      <c r="CD93" s="619"/>
      <c r="CE93" s="650"/>
      <c r="CF93" s="619"/>
      <c r="CG93" s="619"/>
      <c r="CH93" s="619"/>
      <c r="CI93" s="619"/>
      <c r="CJ93" s="619"/>
      <c r="CK93" s="619"/>
      <c r="CL93" s="619"/>
      <c r="CM93" s="619"/>
      <c r="CN93" s="619"/>
      <c r="CO93" s="619"/>
      <c r="CP93" s="619"/>
      <c r="CQ93" s="668">
        <f t="shared" si="6"/>
        <v>0</v>
      </c>
      <c r="CR93" s="619"/>
      <c r="CS93" s="690"/>
      <c r="CT93" s="690"/>
      <c r="CU93" s="690"/>
      <c r="CV93" s="690"/>
      <c r="CW93" s="619"/>
      <c r="CX93" s="619"/>
      <c r="CY93" s="619"/>
      <c r="CZ93" s="691"/>
      <c r="DA93" s="619"/>
      <c r="DB93" s="619"/>
      <c r="DC93" s="619"/>
      <c r="DD93" s="710"/>
      <c r="DE93" s="619"/>
      <c r="DF93" s="619"/>
      <c r="DG93" s="619"/>
      <c r="DH93" s="619"/>
      <c r="DI93" s="619"/>
      <c r="DJ93" s="619"/>
      <c r="DK93" s="619"/>
      <c r="DL93" s="619"/>
      <c r="DM93" s="619"/>
      <c r="DN93" s="619"/>
      <c r="DO93" s="619"/>
      <c r="DP93" s="565">
        <f t="shared" si="17"/>
        <v>0</v>
      </c>
      <c r="DQ93" s="741">
        <f t="shared" si="18"/>
        <v>0</v>
      </c>
      <c r="DR93" s="619"/>
      <c r="DS93" s="619"/>
      <c r="DT93" s="619"/>
      <c r="DU93" s="619"/>
      <c r="DV93" s="619"/>
      <c r="DW93" s="619"/>
      <c r="DX93" s="619"/>
      <c r="DY93" s="619"/>
      <c r="DZ93" s="619"/>
      <c r="EA93" s="619"/>
      <c r="EB93" s="619"/>
      <c r="EC93" s="619"/>
      <c r="ED93" s="619"/>
      <c r="EE93" s="619"/>
      <c r="EF93" s="619"/>
      <c r="EG93" s="619"/>
      <c r="EH93" s="619"/>
      <c r="EI93" s="619"/>
      <c r="EJ93" s="619"/>
      <c r="EK93" s="619"/>
      <c r="EL93" s="619"/>
      <c r="EM93" s="619"/>
      <c r="EN93" s="619"/>
      <c r="EO93" s="619"/>
      <c r="EP93" s="619"/>
      <c r="EQ93" s="619"/>
      <c r="ER93" s="619"/>
      <c r="ES93" s="619"/>
      <c r="ET93" s="619"/>
      <c r="EU93" s="619"/>
      <c r="EV93" s="619"/>
      <c r="EW93" s="619"/>
      <c r="EX93" s="619"/>
      <c r="EY93" s="619"/>
      <c r="EZ93" s="619"/>
      <c r="FA93" s="619"/>
      <c r="FB93" s="619"/>
      <c r="FC93" s="619"/>
      <c r="FD93" s="619"/>
      <c r="FE93" s="619"/>
      <c r="FF93" s="619"/>
      <c r="FG93" s="619"/>
      <c r="FH93" s="619"/>
      <c r="FI93" s="619"/>
      <c r="FJ93" s="619"/>
      <c r="FK93" s="619"/>
      <c r="FL93" s="619"/>
      <c r="FM93" s="762">
        <f t="shared" si="8"/>
        <v>0</v>
      </c>
      <c r="FN93" s="619"/>
      <c r="FO93" s="619"/>
      <c r="FP93" s="619"/>
      <c r="FQ93" s="619"/>
      <c r="FR93" s="619"/>
      <c r="FS93" s="619"/>
      <c r="FT93" s="619"/>
      <c r="FU93" s="619"/>
      <c r="FV93" s="619"/>
      <c r="FW93" s="619"/>
      <c r="FX93" s="619"/>
      <c r="FY93" s="619"/>
      <c r="FZ93" s="619"/>
      <c r="GA93" s="619"/>
      <c r="GB93" s="619"/>
      <c r="GC93" s="619"/>
      <c r="GD93" s="619"/>
      <c r="GE93" s="619"/>
      <c r="GF93" s="619"/>
      <c r="GG93" s="619"/>
      <c r="GH93" s="619"/>
      <c r="GI93" s="619"/>
      <c r="GJ93" s="619"/>
      <c r="GK93" s="619"/>
      <c r="GL93" s="619"/>
      <c r="GM93" s="619"/>
      <c r="GN93" s="619"/>
      <c r="GO93" s="619"/>
      <c r="GP93" s="619"/>
      <c r="GQ93" s="619"/>
      <c r="GR93" s="619"/>
      <c r="GS93" s="619"/>
      <c r="GT93" s="619"/>
      <c r="GU93" s="619"/>
      <c r="GV93" s="619"/>
      <c r="GW93" s="619"/>
      <c r="GX93" s="619"/>
      <c r="GY93" s="619"/>
      <c r="GZ93" s="619"/>
      <c r="HA93" s="619"/>
      <c r="HB93" s="619"/>
      <c r="HC93" s="619"/>
      <c r="HD93" s="619"/>
      <c r="HE93" s="619"/>
      <c r="HF93" s="619"/>
      <c r="HG93" s="619"/>
      <c r="HH93" s="741"/>
      <c r="HI93" s="939">
        <f t="shared" si="13"/>
        <v>0</v>
      </c>
      <c r="HJ93" s="940">
        <f t="shared" si="34"/>
        <v>0</v>
      </c>
      <c r="HK93" s="812">
        <f t="shared" si="35"/>
        <v>0</v>
      </c>
    </row>
    <row r="94" spans="2:219">
      <c r="B94" s="493" t="s">
        <v>382</v>
      </c>
      <c r="C94" s="843" t="s">
        <v>383</v>
      </c>
      <c r="D94" s="844"/>
      <c r="E94" s="543"/>
      <c r="F94" s="544"/>
      <c r="G94" s="544"/>
      <c r="H94" s="574"/>
      <c r="I94" s="574"/>
      <c r="J94" s="574"/>
      <c r="K94" s="574"/>
      <c r="L94" s="574"/>
      <c r="M94" s="574"/>
      <c r="N94" s="574"/>
      <c r="O94" s="574"/>
      <c r="P94" s="574"/>
      <c r="Q94" s="574"/>
      <c r="R94" s="574"/>
      <c r="S94" s="574"/>
      <c r="T94" s="574"/>
      <c r="U94" s="574"/>
      <c r="V94" s="574"/>
      <c r="W94" s="574"/>
      <c r="X94" s="574"/>
      <c r="Y94" s="587"/>
      <c r="Z94" s="587"/>
      <c r="AA94" s="587"/>
      <c r="AB94" s="587"/>
      <c r="AC94" s="587"/>
      <c r="AD94" s="587"/>
      <c r="AE94" s="587"/>
      <c r="AF94" s="587"/>
      <c r="AG94" s="587"/>
      <c r="AH94" s="587"/>
      <c r="AI94" s="587"/>
      <c r="AJ94" s="587"/>
      <c r="AK94" s="587"/>
      <c r="AL94" s="587"/>
      <c r="AM94" s="587"/>
      <c r="AN94" s="587"/>
      <c r="AO94" s="587"/>
      <c r="AP94" s="587"/>
      <c r="AQ94" s="587"/>
      <c r="AR94" s="587"/>
      <c r="AS94" s="587"/>
      <c r="AT94" s="587"/>
      <c r="AU94" s="587"/>
      <c r="AV94" s="587"/>
      <c r="AW94" s="587"/>
      <c r="AX94" s="587"/>
      <c r="AY94" s="587"/>
      <c r="AZ94" s="587"/>
      <c r="BA94" s="587"/>
      <c r="BB94" s="587"/>
      <c r="BC94" s="587"/>
      <c r="BD94" s="587"/>
      <c r="BE94" s="587"/>
      <c r="BF94" s="587"/>
      <c r="BG94" s="587"/>
      <c r="BH94" s="587"/>
      <c r="BI94" s="587"/>
      <c r="BJ94" s="587"/>
      <c r="BK94" s="587"/>
      <c r="BL94" s="587"/>
      <c r="BM94" s="587"/>
      <c r="BN94" s="587"/>
      <c r="BO94" s="587"/>
      <c r="BP94" s="620"/>
      <c r="BQ94" s="628">
        <f t="shared" si="16"/>
        <v>0</v>
      </c>
      <c r="BR94" s="621"/>
      <c r="BS94" s="622"/>
      <c r="BT94" s="622"/>
      <c r="BU94" s="622"/>
      <c r="BV94" s="622"/>
      <c r="BW94" s="622"/>
      <c r="BX94" s="622"/>
      <c r="BY94" s="622"/>
      <c r="BZ94" s="622"/>
      <c r="CA94" s="692"/>
      <c r="CB94" s="622"/>
      <c r="CC94" s="622"/>
      <c r="CD94" s="622"/>
      <c r="CE94" s="651"/>
      <c r="CF94" s="622"/>
      <c r="CG94" s="622"/>
      <c r="CH94" s="622"/>
      <c r="CI94" s="622"/>
      <c r="CJ94" s="622"/>
      <c r="CK94" s="622"/>
      <c r="CL94" s="622"/>
      <c r="CM94" s="622"/>
      <c r="CN94" s="622"/>
      <c r="CO94" s="622"/>
      <c r="CP94" s="622"/>
      <c r="CQ94" s="669">
        <f t="shared" si="6"/>
        <v>0</v>
      </c>
      <c r="CR94" s="622"/>
      <c r="CS94" s="692"/>
      <c r="CT94" s="692"/>
      <c r="CU94" s="692"/>
      <c r="CV94" s="692"/>
      <c r="CW94" s="622"/>
      <c r="CX94" s="622"/>
      <c r="CY94" s="622"/>
      <c r="CZ94" s="693"/>
      <c r="DA94" s="622"/>
      <c r="DB94" s="622"/>
      <c r="DC94" s="622"/>
      <c r="DD94" s="706"/>
      <c r="DE94" s="622"/>
      <c r="DF94" s="622"/>
      <c r="DG94" s="622"/>
      <c r="DH94" s="622"/>
      <c r="DI94" s="622"/>
      <c r="DJ94" s="622"/>
      <c r="DK94" s="622"/>
      <c r="DL94" s="622"/>
      <c r="DM94" s="622"/>
      <c r="DN94" s="622"/>
      <c r="DO94" s="622"/>
      <c r="DP94" s="561">
        <f t="shared" si="17"/>
        <v>0</v>
      </c>
      <c r="DQ94" s="743">
        <f t="shared" si="18"/>
        <v>0</v>
      </c>
      <c r="DR94" s="622"/>
      <c r="DS94" s="622"/>
      <c r="DT94" s="622"/>
      <c r="DU94" s="622"/>
      <c r="DV94" s="622"/>
      <c r="DW94" s="622"/>
      <c r="DX94" s="622"/>
      <c r="DY94" s="622"/>
      <c r="DZ94" s="622"/>
      <c r="EA94" s="622"/>
      <c r="EB94" s="622"/>
      <c r="EC94" s="622"/>
      <c r="ED94" s="622"/>
      <c r="EE94" s="622"/>
      <c r="EF94" s="622"/>
      <c r="EG94" s="622"/>
      <c r="EH94" s="622"/>
      <c r="EI94" s="622"/>
      <c r="EJ94" s="622"/>
      <c r="EK94" s="622"/>
      <c r="EL94" s="622"/>
      <c r="EM94" s="622"/>
      <c r="EN94" s="622"/>
      <c r="EO94" s="622"/>
      <c r="EP94" s="622"/>
      <c r="EQ94" s="622"/>
      <c r="ER94" s="622"/>
      <c r="ES94" s="622"/>
      <c r="ET94" s="622"/>
      <c r="EU94" s="622"/>
      <c r="EV94" s="622"/>
      <c r="EW94" s="622"/>
      <c r="EX94" s="622"/>
      <c r="EY94" s="622"/>
      <c r="EZ94" s="622"/>
      <c r="FA94" s="622"/>
      <c r="FB94" s="622"/>
      <c r="FC94" s="622"/>
      <c r="FD94" s="622"/>
      <c r="FE94" s="622"/>
      <c r="FF94" s="622"/>
      <c r="FG94" s="622"/>
      <c r="FH94" s="622"/>
      <c r="FI94" s="622"/>
      <c r="FJ94" s="622"/>
      <c r="FK94" s="622"/>
      <c r="FL94" s="622"/>
      <c r="FM94" s="763">
        <f t="shared" si="8"/>
        <v>0</v>
      </c>
      <c r="FN94" s="622"/>
      <c r="FO94" s="622"/>
      <c r="FP94" s="622"/>
      <c r="FQ94" s="622"/>
      <c r="FR94" s="622"/>
      <c r="FS94" s="622"/>
      <c r="FT94" s="622"/>
      <c r="FU94" s="622"/>
      <c r="FV94" s="622"/>
      <c r="FW94" s="622"/>
      <c r="FX94" s="622"/>
      <c r="FY94" s="622"/>
      <c r="FZ94" s="622"/>
      <c r="GA94" s="622"/>
      <c r="GB94" s="622"/>
      <c r="GC94" s="622">
        <f t="shared" si="2"/>
        <v>0</v>
      </c>
      <c r="GD94" s="622"/>
      <c r="GE94" s="622"/>
      <c r="GF94" s="622"/>
      <c r="GG94" s="622"/>
      <c r="GH94" s="622"/>
      <c r="GI94" s="622"/>
      <c r="GJ94" s="622"/>
      <c r="GK94" s="622"/>
      <c r="GL94" s="622"/>
      <c r="GM94" s="622"/>
      <c r="GN94" s="622"/>
      <c r="GO94" s="622"/>
      <c r="GP94" s="622"/>
      <c r="GQ94" s="622"/>
      <c r="GR94" s="622"/>
      <c r="GS94" s="622">
        <f t="shared" si="3"/>
        <v>0</v>
      </c>
      <c r="GT94" s="622"/>
      <c r="GU94" s="622"/>
      <c r="GV94" s="622"/>
      <c r="GW94" s="622"/>
      <c r="GX94" s="622"/>
      <c r="GY94" s="622"/>
      <c r="GZ94" s="622"/>
      <c r="HA94" s="622"/>
      <c r="HB94" s="622"/>
      <c r="HC94" s="622"/>
      <c r="HD94" s="622">
        <f t="shared" si="19"/>
        <v>0</v>
      </c>
      <c r="HE94" s="622">
        <f t="shared" si="36"/>
        <v>0</v>
      </c>
      <c r="HF94" s="622">
        <f t="shared" si="22"/>
        <v>0</v>
      </c>
      <c r="HG94" s="622">
        <f t="shared" si="4"/>
        <v>0</v>
      </c>
      <c r="HH94" s="743">
        <f>1.93+0.772+1.544+0.965+13.06+13.55</f>
        <v>31.821000000000002</v>
      </c>
      <c r="HI94" s="801">
        <f t="shared" si="13"/>
        <v>31.821000000000002</v>
      </c>
      <c r="HJ94" s="821">
        <f t="shared" si="34"/>
        <v>31.821000000000002</v>
      </c>
      <c r="HK94" s="931">
        <f t="shared" si="35"/>
        <v>1.3258750000000001</v>
      </c>
    </row>
    <row r="95" spans="2:219">
      <c r="B95" s="517" t="s">
        <v>384</v>
      </c>
      <c r="C95" s="832" t="s">
        <v>385</v>
      </c>
      <c r="D95" s="845"/>
      <c r="E95" s="549"/>
      <c r="F95" s="540"/>
      <c r="G95" s="540"/>
      <c r="H95" s="573"/>
      <c r="I95" s="573"/>
      <c r="J95" s="573"/>
      <c r="K95" s="573"/>
      <c r="L95" s="573"/>
      <c r="M95" s="573"/>
      <c r="N95" s="573"/>
      <c r="O95" s="573"/>
      <c r="P95" s="573"/>
      <c r="Q95" s="573"/>
      <c r="R95" s="573"/>
      <c r="S95" s="573"/>
      <c r="T95" s="573"/>
      <c r="U95" s="573"/>
      <c r="V95" s="573"/>
      <c r="W95" s="573"/>
      <c r="X95" s="573"/>
      <c r="Y95" s="586"/>
      <c r="Z95" s="586"/>
      <c r="AA95" s="586"/>
      <c r="AB95" s="586"/>
      <c r="AC95" s="586"/>
      <c r="AD95" s="586"/>
      <c r="AE95" s="586"/>
      <c r="AF95" s="586"/>
      <c r="AG95" s="586"/>
      <c r="AH95" s="586"/>
      <c r="AI95" s="586"/>
      <c r="AJ95" s="586"/>
      <c r="AK95" s="586"/>
      <c r="AL95" s="586"/>
      <c r="AM95" s="586"/>
      <c r="AN95" s="586"/>
      <c r="AO95" s="586"/>
      <c r="AP95" s="586"/>
      <c r="AQ95" s="586"/>
      <c r="AR95" s="586"/>
      <c r="AS95" s="586"/>
      <c r="AT95" s="586"/>
      <c r="AU95" s="586"/>
      <c r="AV95" s="586"/>
      <c r="AW95" s="586"/>
      <c r="AX95" s="586"/>
      <c r="AY95" s="586"/>
      <c r="AZ95" s="586"/>
      <c r="BA95" s="586"/>
      <c r="BB95" s="586"/>
      <c r="BC95" s="586"/>
      <c r="BD95" s="586"/>
      <c r="BE95" s="586"/>
      <c r="BF95" s="586"/>
      <c r="BG95" s="586"/>
      <c r="BH95" s="586"/>
      <c r="BI95" s="586"/>
      <c r="BJ95" s="586"/>
      <c r="BK95" s="586"/>
      <c r="BL95" s="586"/>
      <c r="BM95" s="586"/>
      <c r="BN95" s="586"/>
      <c r="BO95" s="586"/>
      <c r="BP95" s="617"/>
      <c r="BQ95" s="630">
        <f t="shared" si="16"/>
        <v>0</v>
      </c>
      <c r="BR95" s="618"/>
      <c r="BS95" s="619"/>
      <c r="BT95" s="619"/>
      <c r="BU95" s="619"/>
      <c r="BV95" s="619"/>
      <c r="BW95" s="619"/>
      <c r="BX95" s="619"/>
      <c r="BY95" s="619"/>
      <c r="BZ95" s="619"/>
      <c r="CA95" s="892"/>
      <c r="CB95" s="619"/>
      <c r="CC95" s="619"/>
      <c r="CD95" s="619"/>
      <c r="CE95" s="650"/>
      <c r="CF95" s="619"/>
      <c r="CG95" s="619"/>
      <c r="CH95" s="619"/>
      <c r="CI95" s="619"/>
      <c r="CJ95" s="619"/>
      <c r="CK95" s="619"/>
      <c r="CL95" s="619"/>
      <c r="CM95" s="619"/>
      <c r="CN95" s="619"/>
      <c r="CO95" s="619"/>
      <c r="CP95" s="619"/>
      <c r="CQ95" s="668">
        <f t="shared" si="6"/>
        <v>0</v>
      </c>
      <c r="CR95" s="619"/>
      <c r="CS95" s="690"/>
      <c r="CT95" s="690"/>
      <c r="CU95" s="690"/>
      <c r="CV95" s="690"/>
      <c r="CW95" s="619"/>
      <c r="CX95" s="619"/>
      <c r="CY95" s="619"/>
      <c r="CZ95" s="691"/>
      <c r="DA95" s="619"/>
      <c r="DB95" s="619"/>
      <c r="DC95" s="619"/>
      <c r="DD95" s="710"/>
      <c r="DE95" s="619"/>
      <c r="DF95" s="619"/>
      <c r="DG95" s="619"/>
      <c r="DH95" s="619"/>
      <c r="DI95" s="619"/>
      <c r="DJ95" s="619"/>
      <c r="DK95" s="619"/>
      <c r="DL95" s="619"/>
      <c r="DM95" s="619"/>
      <c r="DN95" s="619"/>
      <c r="DO95" s="619"/>
      <c r="DP95" s="565">
        <f t="shared" si="17"/>
        <v>0</v>
      </c>
      <c r="DQ95" s="741">
        <f t="shared" si="18"/>
        <v>0</v>
      </c>
      <c r="DR95" s="619"/>
      <c r="DS95" s="619"/>
      <c r="DT95" s="619"/>
      <c r="DU95" s="619"/>
      <c r="DV95" s="619"/>
      <c r="DW95" s="619"/>
      <c r="DX95" s="619"/>
      <c r="DY95" s="619"/>
      <c r="DZ95" s="619"/>
      <c r="EA95" s="923"/>
      <c r="EB95" s="619"/>
      <c r="EC95" s="619"/>
      <c r="ED95" s="619"/>
      <c r="EE95" s="619"/>
      <c r="EF95" s="619"/>
      <c r="EG95" s="619"/>
      <c r="EH95" s="619"/>
      <c r="EI95" s="619"/>
      <c r="EJ95" s="619"/>
      <c r="EK95" s="619"/>
      <c r="EL95" s="619"/>
      <c r="EM95" s="619"/>
      <c r="EN95" s="619"/>
      <c r="EO95" s="619"/>
      <c r="EP95" s="619"/>
      <c r="EQ95" s="619"/>
      <c r="ER95" s="619"/>
      <c r="ES95" s="619"/>
      <c r="ET95" s="619"/>
      <c r="EU95" s="619"/>
      <c r="EV95" s="619"/>
      <c r="EW95" s="619"/>
      <c r="EX95" s="619"/>
      <c r="EY95" s="619"/>
      <c r="EZ95" s="619"/>
      <c r="FA95" s="619"/>
      <c r="FB95" s="619"/>
      <c r="FC95" s="619"/>
      <c r="FD95" s="619"/>
      <c r="FE95" s="619"/>
      <c r="FF95" s="619"/>
      <c r="FG95" s="619"/>
      <c r="FH95" s="619"/>
      <c r="FI95" s="619"/>
      <c r="FJ95" s="619"/>
      <c r="FK95" s="619"/>
      <c r="FL95" s="619"/>
      <c r="FM95" s="762">
        <f t="shared" si="8"/>
        <v>0</v>
      </c>
      <c r="FN95" s="619"/>
      <c r="FO95" s="619"/>
      <c r="FP95" s="619"/>
      <c r="FQ95" s="619"/>
      <c r="FR95" s="619"/>
      <c r="FS95" s="619"/>
      <c r="FT95" s="619"/>
      <c r="FU95" s="619"/>
      <c r="FV95" s="619"/>
      <c r="FW95" s="619"/>
      <c r="FX95" s="619"/>
      <c r="FY95" s="619"/>
      <c r="FZ95" s="619"/>
      <c r="GA95" s="619"/>
      <c r="GB95" s="619"/>
      <c r="GC95" s="619">
        <f t="shared" si="2"/>
        <v>0</v>
      </c>
      <c r="GD95" s="619"/>
      <c r="GE95" s="619"/>
      <c r="GF95" s="619"/>
      <c r="GG95" s="619"/>
      <c r="GH95" s="619"/>
      <c r="GI95" s="619"/>
      <c r="GJ95" s="619"/>
      <c r="GK95" s="619"/>
      <c r="GL95" s="619"/>
      <c r="GM95" s="619"/>
      <c r="GN95" s="619"/>
      <c r="GO95" s="619"/>
      <c r="GP95" s="619"/>
      <c r="GQ95" s="619"/>
      <c r="GR95" s="619"/>
      <c r="GS95" s="619">
        <f t="shared" si="3"/>
        <v>0</v>
      </c>
      <c r="GT95" s="619"/>
      <c r="GU95" s="619"/>
      <c r="GV95" s="619"/>
      <c r="GW95" s="619"/>
      <c r="GX95" s="619"/>
      <c r="GY95" s="619"/>
      <c r="GZ95" s="619"/>
      <c r="HA95" s="619"/>
      <c r="HB95" s="619"/>
      <c r="HC95" s="619"/>
      <c r="HD95" s="619">
        <f t="shared" si="19"/>
        <v>0</v>
      </c>
      <c r="HE95" s="619">
        <f t="shared" si="36"/>
        <v>0</v>
      </c>
      <c r="HF95" s="619">
        <f t="shared" si="22"/>
        <v>0</v>
      </c>
      <c r="HG95" s="619">
        <f t="shared" si="4"/>
        <v>0</v>
      </c>
      <c r="HH95" s="741"/>
      <c r="HI95" s="806">
        <f t="shared" si="13"/>
        <v>0</v>
      </c>
      <c r="HJ95" s="820">
        <f t="shared" si="34"/>
        <v>0</v>
      </c>
      <c r="HK95" s="932">
        <f t="shared" si="35"/>
        <v>0</v>
      </c>
    </row>
    <row r="96" spans="2:219">
      <c r="B96" s="555" t="s">
        <v>386</v>
      </c>
      <c r="C96" s="830" t="s">
        <v>387</v>
      </c>
      <c r="D96" s="846"/>
      <c r="E96" s="566"/>
      <c r="F96" s="567"/>
      <c r="G96" s="567"/>
      <c r="H96" s="567"/>
      <c r="I96" s="580"/>
      <c r="J96" s="580"/>
      <c r="K96" s="580"/>
      <c r="L96" s="580"/>
      <c r="M96" s="580"/>
      <c r="N96" s="580"/>
      <c r="O96" s="580"/>
      <c r="P96" s="580"/>
      <c r="Q96" s="580"/>
      <c r="R96" s="580"/>
      <c r="S96" s="580"/>
      <c r="T96" s="580"/>
      <c r="U96" s="580"/>
      <c r="V96" s="580"/>
      <c r="W96" s="580"/>
      <c r="X96" s="580"/>
      <c r="Y96" s="590"/>
      <c r="Z96" s="590"/>
      <c r="AA96" s="590"/>
      <c r="AB96" s="590"/>
      <c r="AC96" s="590"/>
      <c r="AD96" s="590"/>
      <c r="AE96" s="590"/>
      <c r="AF96" s="590"/>
      <c r="AG96" s="590"/>
      <c r="AH96" s="590"/>
      <c r="AI96" s="590"/>
      <c r="AJ96" s="590"/>
      <c r="AK96" s="590"/>
      <c r="AL96" s="590"/>
      <c r="AM96" s="590"/>
      <c r="AN96" s="590"/>
      <c r="AO96" s="590"/>
      <c r="AP96" s="590"/>
      <c r="AQ96" s="590"/>
      <c r="AR96" s="590"/>
      <c r="AS96" s="590"/>
      <c r="AT96" s="590"/>
      <c r="AU96" s="590"/>
      <c r="AV96" s="590"/>
      <c r="AW96" s="590"/>
      <c r="AX96" s="590"/>
      <c r="AY96" s="590"/>
      <c r="AZ96" s="590"/>
      <c r="BA96" s="590"/>
      <c r="BB96" s="590"/>
      <c r="BC96" s="590"/>
      <c r="BD96" s="590"/>
      <c r="BE96" s="590"/>
      <c r="BF96" s="590"/>
      <c r="BG96" s="590"/>
      <c r="BH96" s="590"/>
      <c r="BI96" s="590"/>
      <c r="BJ96" s="590"/>
      <c r="BK96" s="590"/>
      <c r="BL96" s="590"/>
      <c r="BM96" s="590"/>
      <c r="BN96" s="590"/>
      <c r="BO96" s="590"/>
      <c r="BP96" s="641"/>
      <c r="BQ96" s="596">
        <f t="shared" si="16"/>
        <v>0</v>
      </c>
      <c r="BR96" s="613"/>
      <c r="BS96" s="614"/>
      <c r="BT96" s="614"/>
      <c r="BU96" s="614"/>
      <c r="BV96" s="614"/>
      <c r="BW96" s="614"/>
      <c r="BX96" s="614"/>
      <c r="BY96" s="614"/>
      <c r="BZ96" s="614"/>
      <c r="CA96" s="686"/>
      <c r="CB96" s="614"/>
      <c r="CC96" s="614"/>
      <c r="CD96" s="614"/>
      <c r="CE96" s="648"/>
      <c r="CF96" s="614"/>
      <c r="CG96" s="614"/>
      <c r="CH96" s="614"/>
      <c r="CI96" s="614"/>
      <c r="CJ96" s="614"/>
      <c r="CK96" s="614"/>
      <c r="CL96" s="614"/>
      <c r="CM96" s="614"/>
      <c r="CN96" s="614"/>
      <c r="CO96" s="614"/>
      <c r="CP96" s="614"/>
      <c r="CQ96" s="666">
        <f t="shared" si="6"/>
        <v>0</v>
      </c>
      <c r="CR96" s="614"/>
      <c r="CS96" s="686"/>
      <c r="CT96" s="686"/>
      <c r="CU96" s="686"/>
      <c r="CV96" s="686"/>
      <c r="CW96" s="614"/>
      <c r="CX96" s="614"/>
      <c r="CY96" s="614"/>
      <c r="CZ96" s="687"/>
      <c r="DA96" s="614"/>
      <c r="DB96" s="614"/>
      <c r="DC96" s="614"/>
      <c r="DD96" s="712"/>
      <c r="DE96" s="614"/>
      <c r="DF96" s="614"/>
      <c r="DG96" s="614"/>
      <c r="DH96" s="614"/>
      <c r="DI96" s="614"/>
      <c r="DJ96" s="614"/>
      <c r="DK96" s="614"/>
      <c r="DL96" s="614"/>
      <c r="DM96" s="614"/>
      <c r="DN96" s="614"/>
      <c r="DO96" s="614"/>
      <c r="DP96" s="724">
        <f t="shared" si="17"/>
        <v>0</v>
      </c>
      <c r="DQ96" s="738">
        <f t="shared" si="18"/>
        <v>0</v>
      </c>
      <c r="DR96" s="614"/>
      <c r="DS96" s="614"/>
      <c r="DT96" s="614"/>
      <c r="DU96" s="614"/>
      <c r="DV96" s="614"/>
      <c r="DW96" s="614"/>
      <c r="DX96" s="614"/>
      <c r="DY96" s="614"/>
      <c r="DZ96" s="614"/>
      <c r="EA96" s="614"/>
      <c r="EB96" s="614"/>
      <c r="EC96" s="614"/>
      <c r="ED96" s="614"/>
      <c r="EE96" s="614"/>
      <c r="EF96" s="614"/>
      <c r="EG96" s="614"/>
      <c r="EH96" s="614"/>
      <c r="EI96" s="614"/>
      <c r="EJ96" s="614"/>
      <c r="EK96" s="614"/>
      <c r="EL96" s="614"/>
      <c r="EM96" s="614"/>
      <c r="EN96" s="614"/>
      <c r="EO96" s="614"/>
      <c r="EP96" s="614"/>
      <c r="EQ96" s="614"/>
      <c r="ER96" s="614"/>
      <c r="ES96" s="614"/>
      <c r="ET96" s="614"/>
      <c r="EU96" s="614"/>
      <c r="EV96" s="614"/>
      <c r="EW96" s="614"/>
      <c r="EX96" s="614"/>
      <c r="EY96" s="614"/>
      <c r="EZ96" s="614"/>
      <c r="FA96" s="614"/>
      <c r="FB96" s="614"/>
      <c r="FC96" s="614"/>
      <c r="FD96" s="614"/>
      <c r="FE96" s="614"/>
      <c r="FF96" s="614"/>
      <c r="FG96" s="614"/>
      <c r="FH96" s="614"/>
      <c r="FI96" s="614"/>
      <c r="FJ96" s="614"/>
      <c r="FK96" s="614"/>
      <c r="FL96" s="614"/>
      <c r="FM96" s="760">
        <f t="shared" si="8"/>
        <v>0</v>
      </c>
      <c r="FN96" s="614"/>
      <c r="FO96" s="614"/>
      <c r="FP96" s="614"/>
      <c r="FQ96" s="614"/>
      <c r="FR96" s="614"/>
      <c r="FS96" s="614"/>
      <c r="FT96" s="614"/>
      <c r="FU96" s="614"/>
      <c r="FV96" s="614"/>
      <c r="FW96" s="614"/>
      <c r="FX96" s="614"/>
      <c r="FY96" s="614"/>
      <c r="FZ96" s="614"/>
      <c r="GA96" s="614"/>
      <c r="GB96" s="614"/>
      <c r="GC96" s="614">
        <f t="shared" si="2"/>
        <v>0</v>
      </c>
      <c r="GD96" s="614"/>
      <c r="GE96" s="614"/>
      <c r="GF96" s="614"/>
      <c r="GG96" s="614"/>
      <c r="GH96" s="614"/>
      <c r="GI96" s="614"/>
      <c r="GJ96" s="614"/>
      <c r="GK96" s="614"/>
      <c r="GL96" s="614"/>
      <c r="GM96" s="614"/>
      <c r="GN96" s="614"/>
      <c r="GO96" s="614"/>
      <c r="GP96" s="614"/>
      <c r="GQ96" s="614"/>
      <c r="GR96" s="614"/>
      <c r="GS96" s="614">
        <f t="shared" si="3"/>
        <v>0</v>
      </c>
      <c r="GT96" s="614"/>
      <c r="GU96" s="614"/>
      <c r="GV96" s="614"/>
      <c r="GW96" s="614"/>
      <c r="GX96" s="614"/>
      <c r="GY96" s="614"/>
      <c r="GZ96" s="614"/>
      <c r="HA96" s="614"/>
      <c r="HB96" s="614"/>
      <c r="HC96" s="614"/>
      <c r="HD96" s="614">
        <f t="shared" si="19"/>
        <v>0</v>
      </c>
      <c r="HE96" s="614">
        <f t="shared" si="36"/>
        <v>0</v>
      </c>
      <c r="HF96" s="614">
        <f t="shared" si="22"/>
        <v>0</v>
      </c>
      <c r="HG96" s="614">
        <f t="shared" si="4"/>
        <v>0</v>
      </c>
      <c r="HH96" s="738"/>
      <c r="HI96" s="816">
        <f t="shared" si="13"/>
        <v>0</v>
      </c>
      <c r="HJ96" s="817">
        <f t="shared" si="34"/>
        <v>0</v>
      </c>
      <c r="HK96" s="818">
        <f t="shared" si="35"/>
        <v>0</v>
      </c>
    </row>
    <row r="97" spans="2:237">
      <c r="B97" s="499" t="s">
        <v>388</v>
      </c>
      <c r="C97" s="831" t="s">
        <v>389</v>
      </c>
      <c r="D97" s="847"/>
      <c r="E97" s="550"/>
      <c r="F97" s="551"/>
      <c r="G97" s="551"/>
      <c r="H97" s="551"/>
      <c r="I97" s="576"/>
      <c r="J97" s="576"/>
      <c r="K97" s="576"/>
      <c r="L97" s="576"/>
      <c r="M97" s="576"/>
      <c r="N97" s="576"/>
      <c r="O97" s="576"/>
      <c r="P97" s="576"/>
      <c r="Q97" s="576"/>
      <c r="R97" s="576"/>
      <c r="S97" s="576"/>
      <c r="T97" s="576"/>
      <c r="U97" s="576"/>
      <c r="V97" s="576"/>
      <c r="W97" s="576"/>
      <c r="X97" s="576"/>
      <c r="Y97" s="589"/>
      <c r="Z97" s="589"/>
      <c r="AA97" s="589"/>
      <c r="AB97" s="589"/>
      <c r="AC97" s="589"/>
      <c r="AD97" s="589"/>
      <c r="AE97" s="589"/>
      <c r="AF97" s="589"/>
      <c r="AG97" s="589"/>
      <c r="AH97" s="589"/>
      <c r="AI97" s="589"/>
      <c r="AJ97" s="589"/>
      <c r="AK97" s="589"/>
      <c r="AL97" s="589"/>
      <c r="AM97" s="589"/>
      <c r="AN97" s="589"/>
      <c r="AO97" s="589"/>
      <c r="AP97" s="589"/>
      <c r="AQ97" s="589"/>
      <c r="AR97" s="589"/>
      <c r="AS97" s="589"/>
      <c r="AT97" s="589"/>
      <c r="AU97" s="589"/>
      <c r="AV97" s="589"/>
      <c r="AW97" s="589"/>
      <c r="AX97" s="589"/>
      <c r="AY97" s="589"/>
      <c r="AZ97" s="589"/>
      <c r="BA97" s="589"/>
      <c r="BB97" s="589"/>
      <c r="BC97" s="589"/>
      <c r="BD97" s="589"/>
      <c r="BE97" s="589"/>
      <c r="BF97" s="589"/>
      <c r="BG97" s="589"/>
      <c r="BH97" s="589"/>
      <c r="BI97" s="589"/>
      <c r="BJ97" s="589"/>
      <c r="BK97" s="589"/>
      <c r="BL97" s="589"/>
      <c r="BM97" s="589"/>
      <c r="BN97" s="589"/>
      <c r="BO97" s="589"/>
      <c r="BP97" s="626"/>
      <c r="BQ97" s="598">
        <f t="shared" si="16"/>
        <v>0</v>
      </c>
      <c r="BR97" s="615"/>
      <c r="BS97" s="616"/>
      <c r="BT97" s="616"/>
      <c r="BU97" s="622"/>
      <c r="BV97" s="622"/>
      <c r="BW97" s="622"/>
      <c r="BX97" s="622"/>
      <c r="BY97" s="893"/>
      <c r="BZ97" s="616"/>
      <c r="CA97" s="643"/>
      <c r="CB97" s="616"/>
      <c r="CC97" s="616"/>
      <c r="CD97" s="616"/>
      <c r="CE97" s="649"/>
      <c r="CF97" s="616"/>
      <c r="CG97" s="616"/>
      <c r="CH97" s="616"/>
      <c r="CI97" s="616"/>
      <c r="CJ97" s="616"/>
      <c r="CK97" s="616"/>
      <c r="CL97" s="616"/>
      <c r="CM97" s="616"/>
      <c r="CN97" s="616"/>
      <c r="CO97" s="616"/>
      <c r="CP97" s="616"/>
      <c r="CQ97" s="667">
        <f t="shared" si="6"/>
        <v>0</v>
      </c>
      <c r="CR97" s="616"/>
      <c r="CS97" s="688"/>
      <c r="CT97" s="688"/>
      <c r="CU97" s="688"/>
      <c r="CV97" s="688"/>
      <c r="CW97" s="616"/>
      <c r="CX97" s="616"/>
      <c r="CY97" s="616"/>
      <c r="CZ97" s="689"/>
      <c r="DA97" s="616"/>
      <c r="DB97" s="616"/>
      <c r="DC97" s="616"/>
      <c r="DD97" s="707"/>
      <c r="DE97" s="616"/>
      <c r="DF97" s="616"/>
      <c r="DG97" s="616"/>
      <c r="DH97" s="616"/>
      <c r="DI97" s="616"/>
      <c r="DJ97" s="616"/>
      <c r="DK97" s="616"/>
      <c r="DL97" s="616"/>
      <c r="DM97" s="616"/>
      <c r="DN97" s="616"/>
      <c r="DO97" s="616"/>
      <c r="DP97" s="563">
        <f t="shared" si="17"/>
        <v>0</v>
      </c>
      <c r="DQ97" s="739">
        <f t="shared" si="18"/>
        <v>0</v>
      </c>
      <c r="DR97" s="616"/>
      <c r="DS97" s="616"/>
      <c r="DT97" s="616"/>
      <c r="DU97" s="616"/>
      <c r="DV97" s="616"/>
      <c r="DW97" s="616"/>
      <c r="DX97" s="616"/>
      <c r="DY97" s="616"/>
      <c r="DZ97" s="616"/>
      <c r="EA97" s="616"/>
      <c r="EB97" s="616"/>
      <c r="EC97" s="616"/>
      <c r="ED97" s="616"/>
      <c r="EE97" s="616"/>
      <c r="EF97" s="616"/>
      <c r="EG97" s="616"/>
      <c r="EH97" s="616"/>
      <c r="EI97" s="616"/>
      <c r="EJ97" s="616"/>
      <c r="EK97" s="616"/>
      <c r="EL97" s="616"/>
      <c r="EM97" s="616"/>
      <c r="EN97" s="616"/>
      <c r="EO97" s="616"/>
      <c r="EP97" s="616"/>
      <c r="EQ97" s="616"/>
      <c r="ER97" s="616"/>
      <c r="ES97" s="616"/>
      <c r="ET97" s="616"/>
      <c r="EU97" s="616"/>
      <c r="EV97" s="616"/>
      <c r="EW97" s="616"/>
      <c r="EX97" s="616"/>
      <c r="EY97" s="616"/>
      <c r="EZ97" s="616"/>
      <c r="FA97" s="616"/>
      <c r="FB97" s="616"/>
      <c r="FC97" s="616"/>
      <c r="FD97" s="616"/>
      <c r="FE97" s="616"/>
      <c r="FF97" s="616"/>
      <c r="FG97" s="616"/>
      <c r="FH97" s="616"/>
      <c r="FI97" s="616"/>
      <c r="FJ97" s="616"/>
      <c r="FK97" s="616"/>
      <c r="FL97" s="616"/>
      <c r="FM97" s="761">
        <f t="shared" si="8"/>
        <v>0</v>
      </c>
      <c r="FN97" s="616"/>
      <c r="FO97" s="616"/>
      <c r="FP97" s="616"/>
      <c r="FQ97" s="616"/>
      <c r="FR97" s="616"/>
      <c r="FS97" s="616"/>
      <c r="FT97" s="616"/>
      <c r="FU97" s="616"/>
      <c r="FV97" s="616"/>
      <c r="FW97" s="616"/>
      <c r="FX97" s="616"/>
      <c r="FY97" s="616"/>
      <c r="FZ97" s="616"/>
      <c r="GA97" s="616"/>
      <c r="GB97" s="616"/>
      <c r="GC97" s="616">
        <f t="shared" si="2"/>
        <v>0</v>
      </c>
      <c r="GD97" s="616"/>
      <c r="GE97" s="616"/>
      <c r="GF97" s="616"/>
      <c r="GG97" s="616"/>
      <c r="GH97" s="616"/>
      <c r="GI97" s="616"/>
      <c r="GJ97" s="616"/>
      <c r="GK97" s="616"/>
      <c r="GL97" s="616"/>
      <c r="GM97" s="616"/>
      <c r="GN97" s="616"/>
      <c r="GO97" s="616"/>
      <c r="GP97" s="616"/>
      <c r="GQ97" s="616"/>
      <c r="GR97" s="616"/>
      <c r="GS97" s="616">
        <f t="shared" si="3"/>
        <v>0</v>
      </c>
      <c r="GT97" s="616"/>
      <c r="GU97" s="616"/>
      <c r="GV97" s="616"/>
      <c r="GW97" s="616"/>
      <c r="GX97" s="616"/>
      <c r="GY97" s="616"/>
      <c r="GZ97" s="616"/>
      <c r="HA97" s="616"/>
      <c r="HB97" s="616"/>
      <c r="HC97" s="616"/>
      <c r="HD97" s="616">
        <f t="shared" si="19"/>
        <v>0</v>
      </c>
      <c r="HE97" s="616">
        <f t="shared" si="36"/>
        <v>0</v>
      </c>
      <c r="HF97" s="616">
        <f t="shared" si="22"/>
        <v>0</v>
      </c>
      <c r="HG97" s="616">
        <f t="shared" si="4"/>
        <v>0</v>
      </c>
      <c r="HH97" s="739"/>
      <c r="HI97" s="804">
        <f t="shared" si="13"/>
        <v>0</v>
      </c>
      <c r="HJ97" s="821">
        <f t="shared" si="34"/>
        <v>0</v>
      </c>
      <c r="HK97" s="803">
        <f t="shared" si="35"/>
        <v>0</v>
      </c>
    </row>
    <row r="98" spans="2:237">
      <c r="B98" s="499" t="s">
        <v>390</v>
      </c>
      <c r="C98" s="831" t="s">
        <v>391</v>
      </c>
      <c r="D98" s="847"/>
      <c r="E98" s="550"/>
      <c r="F98" s="551"/>
      <c r="G98" s="551"/>
      <c r="H98" s="551"/>
      <c r="I98" s="576"/>
      <c r="J98" s="576"/>
      <c r="K98" s="576"/>
      <c r="L98" s="576"/>
      <c r="M98" s="576"/>
      <c r="N98" s="576"/>
      <c r="O98" s="576"/>
      <c r="P98" s="576"/>
      <c r="Q98" s="576"/>
      <c r="R98" s="576"/>
      <c r="S98" s="576"/>
      <c r="T98" s="576"/>
      <c r="U98" s="576"/>
      <c r="V98" s="576"/>
      <c r="W98" s="576"/>
      <c r="X98" s="576"/>
      <c r="Y98" s="589"/>
      <c r="Z98" s="589"/>
      <c r="AA98" s="589"/>
      <c r="AB98" s="589"/>
      <c r="AC98" s="589"/>
      <c r="AD98" s="589"/>
      <c r="AE98" s="589"/>
      <c r="AF98" s="589"/>
      <c r="AG98" s="589"/>
      <c r="AH98" s="589"/>
      <c r="AI98" s="589"/>
      <c r="AJ98" s="589"/>
      <c r="AK98" s="589"/>
      <c r="AL98" s="589"/>
      <c r="AM98" s="589"/>
      <c r="AN98" s="589"/>
      <c r="AO98" s="589"/>
      <c r="AP98" s="589"/>
      <c r="AQ98" s="589"/>
      <c r="AR98" s="589"/>
      <c r="AS98" s="589"/>
      <c r="AT98" s="589"/>
      <c r="AU98" s="589"/>
      <c r="AV98" s="589"/>
      <c r="AW98" s="589"/>
      <c r="AX98" s="589"/>
      <c r="AY98" s="589"/>
      <c r="AZ98" s="589"/>
      <c r="BA98" s="589"/>
      <c r="BB98" s="589"/>
      <c r="BC98" s="589"/>
      <c r="BD98" s="589"/>
      <c r="BE98" s="589"/>
      <c r="BF98" s="589"/>
      <c r="BG98" s="589"/>
      <c r="BH98" s="589"/>
      <c r="BI98" s="589"/>
      <c r="BJ98" s="589"/>
      <c r="BK98" s="589"/>
      <c r="BL98" s="589"/>
      <c r="BM98" s="589"/>
      <c r="BN98" s="589"/>
      <c r="BO98" s="589"/>
      <c r="BP98" s="626"/>
      <c r="BQ98" s="598">
        <f t="shared" si="16"/>
        <v>0</v>
      </c>
      <c r="BR98" s="615"/>
      <c r="BS98" s="616"/>
      <c r="BT98" s="616"/>
      <c r="BU98" s="616"/>
      <c r="BV98" s="622"/>
      <c r="BW98" s="616"/>
      <c r="BX98" s="616"/>
      <c r="BY98" s="616"/>
      <c r="BZ98" s="616"/>
      <c r="CA98" s="688"/>
      <c r="CB98" s="616"/>
      <c r="CC98" s="616"/>
      <c r="CD98" s="616"/>
      <c r="CE98" s="649"/>
      <c r="CF98" s="616"/>
      <c r="CG98" s="616"/>
      <c r="CH98" s="616"/>
      <c r="CI98" s="616"/>
      <c r="CJ98" s="616"/>
      <c r="CK98" s="616"/>
      <c r="CL98" s="616"/>
      <c r="CM98" s="616"/>
      <c r="CN98" s="616"/>
      <c r="CO98" s="616"/>
      <c r="CP98" s="616"/>
      <c r="CQ98" s="667">
        <f t="shared" si="6"/>
        <v>0</v>
      </c>
      <c r="CR98" s="616"/>
      <c r="CS98" s="688"/>
      <c r="CT98" s="688"/>
      <c r="CU98" s="688"/>
      <c r="CV98" s="688"/>
      <c r="CW98" s="616"/>
      <c r="CX98" s="616"/>
      <c r="CY98" s="616"/>
      <c r="CZ98" s="689"/>
      <c r="DA98" s="616"/>
      <c r="DB98" s="616"/>
      <c r="DC98" s="616"/>
      <c r="DD98" s="707"/>
      <c r="DE98" s="616"/>
      <c r="DF98" s="616"/>
      <c r="DG98" s="616"/>
      <c r="DH98" s="616"/>
      <c r="DI98" s="616"/>
      <c r="DJ98" s="616"/>
      <c r="DK98" s="616"/>
      <c r="DL98" s="616"/>
      <c r="DM98" s="616"/>
      <c r="DN98" s="616"/>
      <c r="DO98" s="616"/>
      <c r="DP98" s="563">
        <f t="shared" si="17"/>
        <v>0</v>
      </c>
      <c r="DQ98" s="739">
        <f t="shared" si="18"/>
        <v>0</v>
      </c>
      <c r="DR98" s="616"/>
      <c r="DS98" s="616"/>
      <c r="DT98" s="616"/>
      <c r="DU98" s="616"/>
      <c r="DV98" s="616"/>
      <c r="DW98" s="616"/>
      <c r="DX98" s="616"/>
      <c r="DY98" s="616"/>
      <c r="DZ98" s="616"/>
      <c r="EA98" s="616"/>
      <c r="EB98" s="616"/>
      <c r="EC98" s="616"/>
      <c r="ED98" s="616"/>
      <c r="EE98" s="616"/>
      <c r="EF98" s="616"/>
      <c r="EG98" s="616"/>
      <c r="EH98" s="616"/>
      <c r="EI98" s="616"/>
      <c r="EJ98" s="616"/>
      <c r="EK98" s="616"/>
      <c r="EL98" s="616"/>
      <c r="EM98" s="616"/>
      <c r="EN98" s="616"/>
      <c r="EO98" s="616"/>
      <c r="EP98" s="616"/>
      <c r="EQ98" s="616"/>
      <c r="ER98" s="616"/>
      <c r="ES98" s="616"/>
      <c r="ET98" s="616"/>
      <c r="EU98" s="616"/>
      <c r="EV98" s="616"/>
      <c r="EW98" s="616"/>
      <c r="EX98" s="616"/>
      <c r="EY98" s="616"/>
      <c r="EZ98" s="616"/>
      <c r="FA98" s="616"/>
      <c r="FB98" s="616"/>
      <c r="FC98" s="616"/>
      <c r="FD98" s="616"/>
      <c r="FE98" s="616"/>
      <c r="FF98" s="616"/>
      <c r="FG98" s="616"/>
      <c r="FH98" s="616"/>
      <c r="FI98" s="616"/>
      <c r="FJ98" s="616"/>
      <c r="FK98" s="616"/>
      <c r="FL98" s="616"/>
      <c r="FM98" s="761">
        <f t="shared" si="8"/>
        <v>0</v>
      </c>
      <c r="FN98" s="616"/>
      <c r="FO98" s="616"/>
      <c r="FP98" s="616"/>
      <c r="FQ98" s="616"/>
      <c r="FR98" s="616"/>
      <c r="FS98" s="616"/>
      <c r="FT98" s="616"/>
      <c r="FU98" s="616"/>
      <c r="FV98" s="616"/>
      <c r="FW98" s="616"/>
      <c r="FX98" s="616"/>
      <c r="FY98" s="616"/>
      <c r="FZ98" s="616"/>
      <c r="GA98" s="616"/>
      <c r="GB98" s="616"/>
      <c r="GC98" s="616">
        <f t="shared" si="2"/>
        <v>0</v>
      </c>
      <c r="GD98" s="616"/>
      <c r="GE98" s="616"/>
      <c r="GF98" s="616"/>
      <c r="GG98" s="616"/>
      <c r="GH98" s="616"/>
      <c r="GI98" s="616"/>
      <c r="GJ98" s="616"/>
      <c r="GK98" s="616"/>
      <c r="GL98" s="616"/>
      <c r="GM98" s="616"/>
      <c r="GN98" s="616"/>
      <c r="GO98" s="616"/>
      <c r="GP98" s="616"/>
      <c r="GQ98" s="616"/>
      <c r="GR98" s="616"/>
      <c r="GS98" s="616">
        <f t="shared" si="3"/>
        <v>0</v>
      </c>
      <c r="GT98" s="616"/>
      <c r="GU98" s="616"/>
      <c r="GV98" s="616"/>
      <c r="GW98" s="616"/>
      <c r="GX98" s="616"/>
      <c r="GY98" s="616"/>
      <c r="GZ98" s="616"/>
      <c r="HA98" s="616"/>
      <c r="HB98" s="616"/>
      <c r="HC98" s="616"/>
      <c r="HD98" s="616">
        <f t="shared" si="19"/>
        <v>0</v>
      </c>
      <c r="HE98" s="616">
        <f t="shared" si="36"/>
        <v>0</v>
      </c>
      <c r="HF98" s="616">
        <f t="shared" si="22"/>
        <v>0</v>
      </c>
      <c r="HG98" s="616">
        <f t="shared" si="4"/>
        <v>0</v>
      </c>
      <c r="HH98" s="739"/>
      <c r="HI98" s="804">
        <f t="shared" si="13"/>
        <v>0</v>
      </c>
      <c r="HJ98" s="821">
        <f t="shared" si="34"/>
        <v>0</v>
      </c>
      <c r="HK98" s="803">
        <f t="shared" si="35"/>
        <v>0</v>
      </c>
    </row>
    <row r="99" spans="2:237">
      <c r="B99" s="848"/>
      <c r="C99" s="849" t="s">
        <v>392</v>
      </c>
      <c r="D99" s="847"/>
      <c r="E99" s="850"/>
      <c r="F99" s="851"/>
      <c r="G99" s="707"/>
      <c r="H99" s="851"/>
      <c r="I99" s="864"/>
      <c r="J99" s="864"/>
      <c r="K99" s="864"/>
      <c r="L99" s="864"/>
      <c r="M99" s="864"/>
      <c r="N99" s="864"/>
      <c r="O99" s="864"/>
      <c r="P99" s="864"/>
      <c r="Q99" s="864"/>
      <c r="R99" s="864"/>
      <c r="S99" s="864"/>
      <c r="T99" s="864"/>
      <c r="U99" s="864"/>
      <c r="V99" s="864"/>
      <c r="W99" s="864"/>
      <c r="X99" s="864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L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81"/>
      <c r="BQ99" s="598">
        <f t="shared" si="16"/>
        <v>0</v>
      </c>
      <c r="BR99" s="882"/>
      <c r="BS99" s="883"/>
      <c r="BT99" s="883"/>
      <c r="BU99" s="883"/>
      <c r="BV99" s="883"/>
      <c r="BW99" s="883"/>
      <c r="BX99" s="883"/>
      <c r="BY99" s="883"/>
      <c r="BZ99" s="883"/>
      <c r="CA99" s="883"/>
      <c r="CB99" s="883"/>
      <c r="CC99" s="883"/>
      <c r="CD99" s="883"/>
      <c r="CE99" s="883"/>
      <c r="CF99" s="883"/>
      <c r="CG99" s="883"/>
      <c r="CH99" s="883"/>
      <c r="CI99" s="883"/>
      <c r="CJ99" s="883"/>
      <c r="CK99" s="883"/>
      <c r="CL99" s="883"/>
      <c r="CM99" s="883"/>
      <c r="CN99" s="883"/>
      <c r="CO99" s="883"/>
      <c r="CP99" s="883"/>
      <c r="CQ99" s="667">
        <f t="shared" si="6"/>
        <v>0</v>
      </c>
      <c r="CR99" s="883"/>
      <c r="CS99" s="883"/>
      <c r="CT99" s="883"/>
      <c r="CU99" s="883"/>
      <c r="CV99" s="883"/>
      <c r="CW99" s="883"/>
      <c r="CX99" s="883"/>
      <c r="CY99" s="883"/>
      <c r="CZ99" s="689"/>
      <c r="DA99" s="883"/>
      <c r="DB99" s="883"/>
      <c r="DC99" s="883"/>
      <c r="DD99" s="851"/>
      <c r="DE99" s="883"/>
      <c r="DF99" s="883"/>
      <c r="DG99" s="883"/>
      <c r="DH99" s="883"/>
      <c r="DI99" s="883"/>
      <c r="DJ99" s="883"/>
      <c r="DK99" s="883"/>
      <c r="DL99" s="883"/>
      <c r="DM99" s="883"/>
      <c r="DN99" s="883"/>
      <c r="DO99" s="883"/>
      <c r="DP99" s="563">
        <f t="shared" si="17"/>
        <v>0</v>
      </c>
      <c r="DQ99" s="739">
        <f t="shared" si="18"/>
        <v>0</v>
      </c>
      <c r="DR99" s="883"/>
      <c r="DS99" s="883"/>
      <c r="DT99" s="883"/>
      <c r="DU99" s="883"/>
      <c r="DV99" s="883"/>
      <c r="DW99" s="883"/>
      <c r="DX99" s="883"/>
      <c r="DY99" s="883"/>
      <c r="DZ99" s="883"/>
      <c r="EA99" s="883"/>
      <c r="EB99" s="883"/>
      <c r="EC99" s="883"/>
      <c r="ED99" s="883"/>
      <c r="EE99" s="883"/>
      <c r="EF99" s="883"/>
      <c r="EG99" s="883"/>
      <c r="EH99" s="883"/>
      <c r="EI99" s="883"/>
      <c r="EJ99" s="883"/>
      <c r="EK99" s="883"/>
      <c r="EL99" s="883"/>
      <c r="EM99" s="883"/>
      <c r="EN99" s="883"/>
      <c r="EO99" s="883"/>
      <c r="EP99" s="883"/>
      <c r="EQ99" s="883"/>
      <c r="ER99" s="883"/>
      <c r="ES99" s="883"/>
      <c r="ET99" s="883"/>
      <c r="EU99" s="883"/>
      <c r="EV99" s="883"/>
      <c r="EW99" s="883"/>
      <c r="EX99" s="883"/>
      <c r="EY99" s="883"/>
      <c r="EZ99" s="883"/>
      <c r="FA99" s="883"/>
      <c r="FB99" s="883"/>
      <c r="FC99" s="883"/>
      <c r="FD99" s="883"/>
      <c r="FE99" s="883"/>
      <c r="FF99" s="883"/>
      <c r="FG99" s="883"/>
      <c r="FH99" s="883"/>
      <c r="FI99" s="883"/>
      <c r="FJ99" s="883"/>
      <c r="FK99" s="883"/>
      <c r="FL99" s="883"/>
      <c r="FM99" s="761">
        <f t="shared" si="8"/>
        <v>0</v>
      </c>
      <c r="FN99" s="616"/>
      <c r="FO99" s="616"/>
      <c r="FP99" s="616"/>
      <c r="FQ99" s="616"/>
      <c r="FR99" s="616"/>
      <c r="FS99" s="616"/>
      <c r="FT99" s="616"/>
      <c r="FU99" s="616"/>
      <c r="FV99" s="616"/>
      <c r="FW99" s="616"/>
      <c r="FX99" s="616"/>
      <c r="FY99" s="616"/>
      <c r="FZ99" s="616"/>
      <c r="GA99" s="616"/>
      <c r="GB99" s="616"/>
      <c r="GC99" s="616">
        <f t="shared" si="2"/>
        <v>0</v>
      </c>
      <c r="GD99" s="616"/>
      <c r="GE99" s="616"/>
      <c r="GF99" s="616"/>
      <c r="GG99" s="616"/>
      <c r="GH99" s="616"/>
      <c r="GI99" s="616"/>
      <c r="GJ99" s="616"/>
      <c r="GK99" s="616"/>
      <c r="GL99" s="616"/>
      <c r="GM99" s="616"/>
      <c r="GN99" s="616"/>
      <c r="GO99" s="616"/>
      <c r="GP99" s="616"/>
      <c r="GQ99" s="616"/>
      <c r="GR99" s="616"/>
      <c r="GS99" s="616">
        <f t="shared" si="3"/>
        <v>0</v>
      </c>
      <c r="GT99" s="616">
        <f t="shared" ref="GS99:HA100" si="37">+FP99+FQ99+FR99+FS99+FT99+FU99+FV99+FW99+FX99+FY99+FZ99+GA99+GB99+GC99+GD99+GE99+GF99+GG99+GH99+GI99+GJ99+GK99+GL99+GM99+GN99+GO99+GP99+GQ99+GR99+GS99</f>
        <v>0</v>
      </c>
      <c r="GU99" s="616">
        <f t="shared" si="37"/>
        <v>0</v>
      </c>
      <c r="GV99" s="616">
        <f t="shared" si="37"/>
        <v>0</v>
      </c>
      <c r="GW99" s="616">
        <f t="shared" si="37"/>
        <v>0</v>
      </c>
      <c r="GX99" s="616">
        <f t="shared" si="37"/>
        <v>0</v>
      </c>
      <c r="GY99" s="616">
        <f t="shared" si="37"/>
        <v>0</v>
      </c>
      <c r="GZ99" s="616">
        <f t="shared" si="37"/>
        <v>0</v>
      </c>
      <c r="HA99" s="616">
        <f t="shared" si="37"/>
        <v>0</v>
      </c>
      <c r="HB99" s="616">
        <f t="shared" ref="HB99:HB110" si="38">+FX99+FY99+FZ99+GA99+GB99+GC99+GD99+GE99+GF99+GG99+GH99+GI99+GJ99+GK99+GL99+GM99+GN99+GO99+GP99+GQ99+GR99+GS99+GT99+GU99+GV99+GW99+GX99+GY99+GZ99+HA99</f>
        <v>0</v>
      </c>
      <c r="HC99" s="616">
        <f t="shared" ref="HC99:HC110" si="39">+FY99+FZ99+GA99+GB99+GC99+GD99+GE99+GF99+GG99+GH99+GI99+GJ99+GK99+GL99+GM99+GN99+GO99+GP99+GQ99+GR99+GS99+GT99+GU99+GV99+GW99+GX99+GY99+GZ99+HA99+HB99</f>
        <v>0</v>
      </c>
      <c r="HD99" s="616">
        <f t="shared" si="19"/>
        <v>0</v>
      </c>
      <c r="HE99" s="616">
        <f t="shared" si="36"/>
        <v>0</v>
      </c>
      <c r="HF99" s="616">
        <f t="shared" si="22"/>
        <v>0</v>
      </c>
      <c r="HG99" s="616">
        <f t="shared" si="4"/>
        <v>0</v>
      </c>
      <c r="HH99" s="739"/>
      <c r="HI99" s="804">
        <f t="shared" si="13"/>
        <v>0</v>
      </c>
      <c r="HJ99" s="821">
        <f t="shared" si="34"/>
        <v>0</v>
      </c>
      <c r="HK99" s="803">
        <f t="shared" si="35"/>
        <v>0</v>
      </c>
    </row>
    <row r="100" spans="2:237" s="475" customFormat="1">
      <c r="B100" s="852" t="s">
        <v>393</v>
      </c>
      <c r="C100" s="853" t="s">
        <v>394</v>
      </c>
      <c r="D100" s="854"/>
      <c r="E100" s="553"/>
      <c r="F100" s="601"/>
      <c r="G100" s="601"/>
      <c r="H100" s="601"/>
      <c r="I100" s="732"/>
      <c r="J100" s="732"/>
      <c r="K100" s="732"/>
      <c r="L100" s="732"/>
      <c r="M100" s="732"/>
      <c r="N100" s="732"/>
      <c r="O100" s="732"/>
      <c r="P100" s="732"/>
      <c r="Q100" s="732"/>
      <c r="R100" s="732"/>
      <c r="S100" s="732"/>
      <c r="T100" s="732"/>
      <c r="U100" s="865"/>
      <c r="V100" s="732"/>
      <c r="W100" s="732"/>
      <c r="X100" s="732"/>
      <c r="Y100" s="870"/>
      <c r="Z100" s="871"/>
      <c r="AA100" s="870"/>
      <c r="AB100" s="870"/>
      <c r="AC100" s="870"/>
      <c r="AD100" s="870"/>
      <c r="AE100" s="870"/>
      <c r="AF100" s="870"/>
      <c r="AG100" s="870"/>
      <c r="AH100" s="870"/>
      <c r="AI100" s="870"/>
      <c r="AJ100" s="870"/>
      <c r="AK100" s="870"/>
      <c r="AL100" s="870"/>
      <c r="AM100" s="870"/>
      <c r="AN100" s="870"/>
      <c r="AO100" s="870"/>
      <c r="AP100" s="870"/>
      <c r="AQ100" s="732"/>
      <c r="AR100" s="732"/>
      <c r="AS100" s="732"/>
      <c r="AT100" s="732"/>
      <c r="AU100" s="732"/>
      <c r="AV100" s="732"/>
      <c r="AW100" s="732"/>
      <c r="AX100" s="732"/>
      <c r="AY100" s="732"/>
      <c r="AZ100" s="732"/>
      <c r="BA100" s="732"/>
      <c r="BB100" s="732"/>
      <c r="BC100" s="732"/>
      <c r="BD100" s="732"/>
      <c r="BE100" s="732"/>
      <c r="BF100" s="732"/>
      <c r="BG100" s="732"/>
      <c r="BH100" s="732"/>
      <c r="BI100" s="732"/>
      <c r="BJ100" s="732"/>
      <c r="BK100" s="732"/>
      <c r="BL100" s="732"/>
      <c r="BM100" s="732"/>
      <c r="BN100" s="732"/>
      <c r="BO100" s="732"/>
      <c r="BP100" s="884"/>
      <c r="BQ100" s="885">
        <f t="shared" si="16"/>
        <v>0</v>
      </c>
      <c r="BR100" s="553"/>
      <c r="BS100" s="601"/>
      <c r="BT100" s="601"/>
      <c r="BU100" s="601"/>
      <c r="BV100" s="601"/>
      <c r="BW100" s="601"/>
      <c r="BX100" s="601"/>
      <c r="BY100" s="601"/>
      <c r="BZ100" s="894"/>
      <c r="CA100" s="601"/>
      <c r="CB100" s="601"/>
      <c r="CC100" s="601"/>
      <c r="CD100" s="601"/>
      <c r="CE100" s="601"/>
      <c r="CF100" s="601"/>
      <c r="CG100" s="601"/>
      <c r="CH100" s="601"/>
      <c r="CI100" s="601"/>
      <c r="CJ100" s="601"/>
      <c r="CK100" s="601"/>
      <c r="CL100" s="601"/>
      <c r="CM100" s="601"/>
      <c r="CN100" s="601"/>
      <c r="CO100" s="601"/>
      <c r="CP100" s="601"/>
      <c r="CQ100" s="662">
        <f t="shared" si="6"/>
        <v>0</v>
      </c>
      <c r="CR100" s="900"/>
      <c r="CS100" s="900"/>
      <c r="CT100" s="900"/>
      <c r="CU100" s="900"/>
      <c r="CV100" s="909"/>
      <c r="CW100" s="909"/>
      <c r="CX100" s="909"/>
      <c r="CY100" s="900"/>
      <c r="CZ100" s="679"/>
      <c r="DA100" s="900"/>
      <c r="DB100" s="900"/>
      <c r="DC100" s="900"/>
      <c r="DD100" s="900"/>
      <c r="DE100" s="900"/>
      <c r="DF100" s="900"/>
      <c r="DG100" s="900"/>
      <c r="DH100" s="900"/>
      <c r="DI100" s="900"/>
      <c r="DJ100" s="900"/>
      <c r="DK100" s="900"/>
      <c r="DL100" s="900"/>
      <c r="DM100" s="900"/>
      <c r="DN100" s="900"/>
      <c r="DO100" s="900"/>
      <c r="DP100" s="915">
        <f t="shared" si="17"/>
        <v>0</v>
      </c>
      <c r="DQ100" s="920">
        <f t="shared" si="18"/>
        <v>0</v>
      </c>
      <c r="DR100" s="900"/>
      <c r="DS100" s="900"/>
      <c r="DT100" s="900"/>
      <c r="DU100" s="900"/>
      <c r="DV100" s="900"/>
      <c r="DW100" s="900"/>
      <c r="DX100" s="900"/>
      <c r="DY100" s="900"/>
      <c r="DZ100" s="900"/>
      <c r="EA100" s="900"/>
      <c r="EB100" s="900"/>
      <c r="EC100" s="900"/>
      <c r="ED100" s="900"/>
      <c r="EE100" s="900"/>
      <c r="EF100" s="900"/>
      <c r="EG100" s="900"/>
      <c r="EH100" s="900"/>
      <c r="EI100" s="900"/>
      <c r="EJ100" s="900"/>
      <c r="EK100" s="900"/>
      <c r="EL100" s="900"/>
      <c r="EM100" s="900"/>
      <c r="EN100" s="900"/>
      <c r="EO100" s="900"/>
      <c r="EP100" s="900"/>
      <c r="EQ100" s="900"/>
      <c r="ER100" s="900"/>
      <c r="ES100" s="900"/>
      <c r="ET100" s="900"/>
      <c r="EU100" s="900"/>
      <c r="EV100" s="900"/>
      <c r="EW100" s="900"/>
      <c r="EX100" s="900"/>
      <c r="EY100" s="900"/>
      <c r="EZ100" s="900"/>
      <c r="FA100" s="900"/>
      <c r="FB100" s="900"/>
      <c r="FC100" s="900"/>
      <c r="FD100" s="900"/>
      <c r="FE100" s="900"/>
      <c r="FF100" s="900"/>
      <c r="FG100" s="900"/>
      <c r="FH100" s="900"/>
      <c r="FI100" s="900"/>
      <c r="FJ100" s="900"/>
      <c r="FK100" s="900"/>
      <c r="FL100" s="900"/>
      <c r="FM100" s="925">
        <f t="shared" si="8"/>
        <v>0</v>
      </c>
      <c r="FN100" s="601"/>
      <c r="FO100" s="601"/>
      <c r="FP100" s="601"/>
      <c r="FQ100" s="601"/>
      <c r="FR100" s="601"/>
      <c r="FS100" s="601"/>
      <c r="FT100" s="601"/>
      <c r="FU100" s="601"/>
      <c r="FV100" s="601"/>
      <c r="FW100" s="601"/>
      <c r="FX100" s="601"/>
      <c r="FY100" s="601"/>
      <c r="FZ100" s="601"/>
      <c r="GA100" s="601"/>
      <c r="GB100" s="601"/>
      <c r="GC100" s="601">
        <f t="shared" si="2"/>
        <v>0</v>
      </c>
      <c r="GD100" s="601"/>
      <c r="GE100" s="601"/>
      <c r="GF100" s="601"/>
      <c r="GG100" s="601"/>
      <c r="GH100" s="601"/>
      <c r="GI100" s="601"/>
      <c r="GJ100" s="601"/>
      <c r="GK100" s="601"/>
      <c r="GL100" s="601"/>
      <c r="GM100" s="601"/>
      <c r="GN100" s="601"/>
      <c r="GO100" s="601"/>
      <c r="GP100" s="601"/>
      <c r="GQ100" s="601"/>
      <c r="GR100" s="601"/>
      <c r="GS100" s="601">
        <f t="shared" si="37"/>
        <v>0</v>
      </c>
      <c r="GT100" s="601">
        <f t="shared" si="37"/>
        <v>0</v>
      </c>
      <c r="GU100" s="601">
        <f t="shared" si="37"/>
        <v>0</v>
      </c>
      <c r="GV100" s="601">
        <f t="shared" si="37"/>
        <v>0</v>
      </c>
      <c r="GW100" s="601">
        <f t="shared" si="37"/>
        <v>0</v>
      </c>
      <c r="GX100" s="601">
        <f t="shared" si="37"/>
        <v>0</v>
      </c>
      <c r="GY100" s="601">
        <f t="shared" si="37"/>
        <v>0</v>
      </c>
      <c r="GZ100" s="601">
        <f t="shared" si="37"/>
        <v>0</v>
      </c>
      <c r="HA100" s="601">
        <f t="shared" si="37"/>
        <v>0</v>
      </c>
      <c r="HB100" s="601">
        <f t="shared" si="38"/>
        <v>0</v>
      </c>
      <c r="HC100" s="601">
        <f t="shared" si="39"/>
        <v>0</v>
      </c>
      <c r="HD100" s="632">
        <f t="shared" si="19"/>
        <v>0</v>
      </c>
      <c r="HE100" s="632">
        <f t="shared" si="36"/>
        <v>0</v>
      </c>
      <c r="HF100" s="601">
        <f t="shared" si="22"/>
        <v>0</v>
      </c>
      <c r="HG100" s="601">
        <f t="shared" si="4"/>
        <v>0</v>
      </c>
      <c r="HH100" s="927"/>
      <c r="HI100" s="930">
        <f t="shared" si="13"/>
        <v>0</v>
      </c>
      <c r="HJ100" s="824">
        <f t="shared" si="34"/>
        <v>0</v>
      </c>
      <c r="HK100" s="808">
        <f t="shared" si="35"/>
        <v>0</v>
      </c>
    </row>
    <row r="101" spans="2:237" s="475" customFormat="1">
      <c r="B101" s="855"/>
      <c r="C101" s="856" t="s">
        <v>395</v>
      </c>
      <c r="D101" s="857"/>
      <c r="E101" s="543"/>
      <c r="F101" s="544"/>
      <c r="G101" s="544"/>
      <c r="H101" s="544"/>
      <c r="I101" s="574"/>
      <c r="J101" s="574"/>
      <c r="K101" s="574"/>
      <c r="L101" s="574"/>
      <c r="M101" s="574"/>
      <c r="N101" s="574"/>
      <c r="O101" s="574"/>
      <c r="P101" s="574"/>
      <c r="Q101" s="574"/>
      <c r="R101" s="574"/>
      <c r="S101" s="574"/>
      <c r="T101" s="574"/>
      <c r="U101" s="866"/>
      <c r="V101" s="574"/>
      <c r="W101" s="574"/>
      <c r="X101" s="574"/>
      <c r="Y101" s="872"/>
      <c r="Z101" s="873"/>
      <c r="AA101" s="872"/>
      <c r="AB101" s="872"/>
      <c r="AC101" s="872"/>
      <c r="AD101" s="872"/>
      <c r="AE101" s="872"/>
      <c r="AF101" s="872"/>
      <c r="AG101" s="872"/>
      <c r="AH101" s="872"/>
      <c r="AI101" s="872"/>
      <c r="AJ101" s="872"/>
      <c r="AK101" s="872"/>
      <c r="AL101" s="872"/>
      <c r="AM101" s="872"/>
      <c r="AN101" s="872"/>
      <c r="AO101" s="872"/>
      <c r="AP101" s="872"/>
      <c r="AQ101" s="574"/>
      <c r="AR101" s="574"/>
      <c r="AS101" s="574"/>
      <c r="AT101" s="574"/>
      <c r="AU101" s="574"/>
      <c r="AV101" s="574"/>
      <c r="AW101" s="574"/>
      <c r="AX101" s="574"/>
      <c r="AY101" s="574"/>
      <c r="AZ101" s="574"/>
      <c r="BA101" s="574"/>
      <c r="BB101" s="574"/>
      <c r="BC101" s="574"/>
      <c r="BD101" s="574"/>
      <c r="BE101" s="574"/>
      <c r="BF101" s="574"/>
      <c r="BG101" s="574"/>
      <c r="BH101" s="574"/>
      <c r="BI101" s="574"/>
      <c r="BJ101" s="574"/>
      <c r="BK101" s="574"/>
      <c r="BL101" s="574"/>
      <c r="BM101" s="574"/>
      <c r="BN101" s="574"/>
      <c r="BO101" s="574"/>
      <c r="BP101" s="638"/>
      <c r="BQ101" s="886">
        <f t="shared" si="16"/>
        <v>0</v>
      </c>
      <c r="BR101" s="543"/>
      <c r="BS101" s="544"/>
      <c r="BT101" s="544"/>
      <c r="BU101" s="544"/>
      <c r="BV101" s="544"/>
      <c r="BW101" s="544"/>
      <c r="BX101" s="544"/>
      <c r="BY101" s="544"/>
      <c r="BZ101" s="895"/>
      <c r="CA101" s="544"/>
      <c r="CB101" s="544"/>
      <c r="CC101" s="544"/>
      <c r="CD101" s="544"/>
      <c r="CE101" s="544"/>
      <c r="CF101" s="544"/>
      <c r="CG101" s="544"/>
      <c r="CH101" s="544"/>
      <c r="CI101" s="544"/>
      <c r="CJ101" s="544"/>
      <c r="CK101" s="544"/>
      <c r="CL101" s="544"/>
      <c r="CM101" s="544"/>
      <c r="CN101" s="544"/>
      <c r="CO101" s="544"/>
      <c r="CP101" s="544"/>
      <c r="CQ101" s="901">
        <f t="shared" si="6"/>
        <v>0</v>
      </c>
      <c r="CR101" s="902"/>
      <c r="CS101" s="910"/>
      <c r="CT101" s="910"/>
      <c r="CU101" s="910"/>
      <c r="CV101" s="911"/>
      <c r="CW101" s="911"/>
      <c r="CX101" s="911"/>
      <c r="CY101" s="910"/>
      <c r="CZ101" s="676"/>
      <c r="DA101" s="910"/>
      <c r="DB101" s="910"/>
      <c r="DC101" s="910"/>
      <c r="DD101" s="910"/>
      <c r="DE101" s="910"/>
      <c r="DF101" s="910"/>
      <c r="DG101" s="910"/>
      <c r="DH101" s="910"/>
      <c r="DI101" s="910"/>
      <c r="DJ101" s="910"/>
      <c r="DK101" s="910"/>
      <c r="DL101" s="910"/>
      <c r="DM101" s="910"/>
      <c r="DN101" s="910"/>
      <c r="DO101" s="910"/>
      <c r="DP101" s="916">
        <f t="shared" ref="DP101:DP110" si="40">+SUM(CR101:DO101)</f>
        <v>0</v>
      </c>
      <c r="DQ101" s="733">
        <f t="shared" ref="DQ101:DQ110" si="41">+CQ101+DP101</f>
        <v>0</v>
      </c>
      <c r="DR101" s="921"/>
      <c r="DS101" s="921"/>
      <c r="DT101" s="921"/>
      <c r="DU101" s="921"/>
      <c r="DV101" s="921"/>
      <c r="DW101" s="921"/>
      <c r="DX101" s="921"/>
      <c r="DY101" s="921"/>
      <c r="DZ101" s="921"/>
      <c r="EA101" s="921"/>
      <c r="EB101" s="921"/>
      <c r="EC101" s="921"/>
      <c r="ED101" s="921"/>
      <c r="EE101" s="921"/>
      <c r="EF101" s="921"/>
      <c r="EG101" s="921"/>
      <c r="EH101" s="921"/>
      <c r="EI101" s="921"/>
      <c r="EJ101" s="921"/>
      <c r="EK101" s="921"/>
      <c r="EL101" s="921"/>
      <c r="EM101" s="921"/>
      <c r="EN101" s="921"/>
      <c r="EO101" s="921"/>
      <c r="EP101" s="921"/>
      <c r="EQ101" s="921"/>
      <c r="ER101" s="921"/>
      <c r="ES101" s="921"/>
      <c r="ET101" s="921"/>
      <c r="EU101" s="921"/>
      <c r="EV101" s="921"/>
      <c r="EW101" s="921"/>
      <c r="EX101" s="921"/>
      <c r="EY101" s="921"/>
      <c r="EZ101" s="921"/>
      <c r="FA101" s="921"/>
      <c r="FB101" s="921"/>
      <c r="FC101" s="921"/>
      <c r="FD101" s="921"/>
      <c r="FE101" s="921"/>
      <c r="FF101" s="921"/>
      <c r="FG101" s="921"/>
      <c r="FH101" s="921"/>
      <c r="FI101" s="921"/>
      <c r="FJ101" s="921"/>
      <c r="FK101" s="921"/>
      <c r="FL101" s="921"/>
      <c r="FM101" s="757">
        <f t="shared" ref="FM101:FM110" si="42">SUM(DR101:FL101)</f>
        <v>0</v>
      </c>
      <c r="FN101" s="779"/>
      <c r="FO101" s="779"/>
      <c r="FP101" s="779"/>
      <c r="FQ101" s="779"/>
      <c r="FR101" s="779"/>
      <c r="FS101" s="779"/>
      <c r="FT101" s="779"/>
      <c r="FU101" s="779"/>
      <c r="FV101" s="779"/>
      <c r="FW101" s="779"/>
      <c r="FX101" s="779"/>
      <c r="FY101" s="779"/>
      <c r="FZ101" s="779"/>
      <c r="GA101" s="779"/>
      <c r="GB101" s="779"/>
      <c r="GC101" s="779">
        <f t="shared" ref="GC101:GC110" si="43">+FN101+FO101+FP101+FQ101+FR101+FS101+FT101+FU101+FV101+FW101+FX101+FY101+FZ101+GA101+GB101</f>
        <v>0</v>
      </c>
      <c r="GD101" s="779"/>
      <c r="GE101" s="779"/>
      <c r="GF101" s="779"/>
      <c r="GG101" s="779"/>
      <c r="GH101" s="779"/>
      <c r="GI101" s="779"/>
      <c r="GJ101" s="779"/>
      <c r="GK101" s="779"/>
      <c r="GL101" s="779"/>
      <c r="GM101" s="779"/>
      <c r="GN101" s="779"/>
      <c r="GO101" s="779"/>
      <c r="GP101" s="779"/>
      <c r="GQ101" s="779"/>
      <c r="GR101" s="779"/>
      <c r="GS101" s="779">
        <f t="shared" ref="GS101:GS110" si="44">+FO101+FP101+FQ101+FR101+FS101+FT101+FU101+FV101+FW101+FX101+FY101+FZ101+GA101+GB101+GC101+GD101+GE101+GF101+GG101+GH101+GI101+GJ101+GK101+GL101+GM101+GN101+GO101+GP101+GQ101+GR101</f>
        <v>0</v>
      </c>
      <c r="GT101" s="779">
        <f t="shared" ref="GT101:GT110" si="45">+FP101+FQ101+FR101+FS101+FT101+FU101+FV101+FW101+FX101+FY101+FZ101+GA101+GB101+GC101+GD101+GE101+GF101+GG101+GH101+GI101+GJ101+GK101+GL101+GM101+GN101+GO101+GP101+GQ101+GR101+GS101</f>
        <v>0</v>
      </c>
      <c r="GU101" s="779">
        <f t="shared" ref="GU101:GU110" si="46">+FQ101+FR101+FS101+FT101+FU101+FV101+FW101+FX101+FY101+FZ101+GA101+GB101+GC101+GD101+GE101+GF101+GG101+GH101+GI101+GJ101+GK101+GL101+GM101+GN101+GO101+GP101+GQ101+GR101+GS101+GT101</f>
        <v>0</v>
      </c>
      <c r="GV101" s="779">
        <f t="shared" ref="GV101:GV110" si="47">+FR101+FS101+FT101+FU101+FV101+FW101+FX101+FY101+FZ101+GA101+GB101+GC101+GD101+GE101+GF101+GG101+GH101+GI101+GJ101+GK101+GL101+GM101+GN101+GO101+GP101+GQ101+GR101+GS101+GT101+GU101</f>
        <v>0</v>
      </c>
      <c r="GW101" s="779">
        <f t="shared" ref="GW101:GW110" si="48">+FS101+FT101+FU101+FV101+FW101+FX101+FY101+FZ101+GA101+GB101+GC101+GD101+GE101+GF101+GG101+GH101+GI101+GJ101+GK101+GL101+GM101+GN101+GO101+GP101+GQ101+GR101+GS101+GT101+GU101+GV101</f>
        <v>0</v>
      </c>
      <c r="GX101" s="779">
        <f t="shared" ref="GX101:GX110" si="49">+FT101+FU101+FV101+FW101+FX101+FY101+FZ101+GA101+GB101+GC101+GD101+GE101+GF101+GG101+GH101+GI101+GJ101+GK101+GL101+GM101+GN101+GO101+GP101+GQ101+GR101+GS101+GT101+GU101+GV101+GW101</f>
        <v>0</v>
      </c>
      <c r="GY101" s="779">
        <f t="shared" ref="GY101:GY110" si="50">+FU101+FV101+FW101+FX101+FY101+FZ101+GA101+GB101+GC101+GD101+GE101+GF101+GG101+GH101+GI101+GJ101+GK101+GL101+GM101+GN101+GO101+GP101+GQ101+GR101+GS101+GT101+GU101+GV101+GW101+GX101</f>
        <v>0</v>
      </c>
      <c r="GZ101" s="779">
        <f t="shared" ref="GZ101:GZ110" si="51">+FV101+FW101+FX101+FY101+FZ101+GA101+GB101+GC101+GD101+GE101+GF101+GG101+GH101+GI101+GJ101+GK101+GL101+GM101+GN101+GO101+GP101+GQ101+GR101+GS101+GT101+GU101+GV101+GW101+GX101+GY101</f>
        <v>0</v>
      </c>
      <c r="HA101" s="779">
        <f t="shared" ref="HA101:HA110" si="52">+FW101+FX101+FY101+FZ101+GA101+GB101+GC101+GD101+GE101+GF101+GG101+GH101+GI101+GJ101+GK101+GL101+GM101+GN101+GO101+GP101+GQ101+GR101+GS101+GT101+GU101+GV101+GW101+GX101+GY101+GZ101</f>
        <v>0</v>
      </c>
      <c r="HB101" s="779">
        <f t="shared" si="38"/>
        <v>0</v>
      </c>
      <c r="HC101" s="779">
        <f t="shared" si="39"/>
        <v>0</v>
      </c>
      <c r="HD101" s="787">
        <f t="shared" ref="HD101:HD110" si="53">+GT101+GU101+GV101+GW101+GX101+GY101+GZ101+HA101+HB101+HC101</f>
        <v>0</v>
      </c>
      <c r="HE101" s="787">
        <f t="shared" ref="HE101:HE110" si="54">HD101+D101+BQ101-DQ101-FM101-GC101+GS101</f>
        <v>0</v>
      </c>
      <c r="HF101" s="779">
        <f t="shared" ref="HF101:HF110" si="55">+D101</f>
        <v>0</v>
      </c>
      <c r="HG101" s="779">
        <f t="shared" ref="HG101:HG110" si="56">-HE101+HF101</f>
        <v>0</v>
      </c>
      <c r="HH101" s="928"/>
      <c r="HI101" s="941">
        <f t="shared" ref="HI101:HI108" si="57">+HH101</f>
        <v>0</v>
      </c>
      <c r="HJ101" s="824">
        <f t="shared" ref="HJ101:HJ110" si="58">+HI101-HE101</f>
        <v>0</v>
      </c>
      <c r="HK101" s="810">
        <f t="shared" ref="HK101:HK110" si="59">+HI101/24</f>
        <v>0</v>
      </c>
    </row>
    <row r="102" spans="2:237" s="475" customFormat="1">
      <c r="B102" s="858"/>
      <c r="C102" s="859" t="s">
        <v>396</v>
      </c>
      <c r="D102" s="860"/>
      <c r="E102" s="550"/>
      <c r="F102" s="551"/>
      <c r="G102" s="551"/>
      <c r="H102" s="551"/>
      <c r="I102" s="576"/>
      <c r="J102" s="576"/>
      <c r="K102" s="576"/>
      <c r="L102" s="576"/>
      <c r="M102" s="576"/>
      <c r="N102" s="576"/>
      <c r="O102" s="576"/>
      <c r="P102" s="576"/>
      <c r="Q102" s="576"/>
      <c r="R102" s="576"/>
      <c r="S102" s="576"/>
      <c r="T102" s="576"/>
      <c r="U102" s="864"/>
      <c r="V102" s="576"/>
      <c r="W102" s="576"/>
      <c r="X102" s="576"/>
      <c r="Y102" s="874"/>
      <c r="Z102" s="875"/>
      <c r="AA102" s="874"/>
      <c r="AB102" s="874"/>
      <c r="AC102" s="874"/>
      <c r="AD102" s="874"/>
      <c r="AE102" s="874"/>
      <c r="AF102" s="874"/>
      <c r="AG102" s="874"/>
      <c r="AH102" s="874"/>
      <c r="AI102" s="874"/>
      <c r="AJ102" s="874"/>
      <c r="AK102" s="874"/>
      <c r="AL102" s="874"/>
      <c r="AM102" s="874"/>
      <c r="AN102" s="874"/>
      <c r="AO102" s="874"/>
      <c r="AP102" s="874"/>
      <c r="AQ102" s="576"/>
      <c r="AR102" s="576"/>
      <c r="AS102" s="576"/>
      <c r="AT102" s="576"/>
      <c r="AU102" s="576"/>
      <c r="AV102" s="576"/>
      <c r="AW102" s="576"/>
      <c r="AX102" s="576"/>
      <c r="AY102" s="576"/>
      <c r="AZ102" s="576"/>
      <c r="BA102" s="576"/>
      <c r="BB102" s="576"/>
      <c r="BC102" s="576"/>
      <c r="BD102" s="576"/>
      <c r="BE102" s="576"/>
      <c r="BF102" s="576"/>
      <c r="BG102" s="576"/>
      <c r="BH102" s="576"/>
      <c r="BI102" s="576"/>
      <c r="BJ102" s="576"/>
      <c r="BK102" s="576"/>
      <c r="BL102" s="576"/>
      <c r="BM102" s="576"/>
      <c r="BN102" s="576"/>
      <c r="BO102" s="576"/>
      <c r="BP102" s="639"/>
      <c r="BQ102" s="887">
        <f t="shared" si="16"/>
        <v>0</v>
      </c>
      <c r="BR102" s="550"/>
      <c r="BS102" s="551"/>
      <c r="BT102" s="551"/>
      <c r="BU102" s="551"/>
      <c r="BV102" s="551"/>
      <c r="BW102" s="551"/>
      <c r="BX102" s="551"/>
      <c r="BY102" s="551"/>
      <c r="BZ102" s="896"/>
      <c r="CA102" s="551"/>
      <c r="CB102" s="551"/>
      <c r="CC102" s="551"/>
      <c r="CD102" s="551"/>
      <c r="CE102" s="551"/>
      <c r="CF102" s="551"/>
      <c r="CG102" s="551"/>
      <c r="CH102" s="551"/>
      <c r="CI102" s="551"/>
      <c r="CJ102" s="551"/>
      <c r="CK102" s="551"/>
      <c r="CL102" s="551"/>
      <c r="CM102" s="551"/>
      <c r="CN102" s="551"/>
      <c r="CO102" s="551"/>
      <c r="CP102" s="551"/>
      <c r="CQ102" s="903">
        <f t="shared" si="6"/>
        <v>0</v>
      </c>
      <c r="CR102" s="850"/>
      <c r="CS102" s="851"/>
      <c r="CT102" s="851"/>
      <c r="CU102" s="851"/>
      <c r="CV102" s="912"/>
      <c r="CW102" s="912"/>
      <c r="CX102" s="912"/>
      <c r="CY102" s="851"/>
      <c r="CZ102" s="677"/>
      <c r="DA102" s="851"/>
      <c r="DB102" s="851"/>
      <c r="DC102" s="851"/>
      <c r="DD102" s="851"/>
      <c r="DE102" s="851"/>
      <c r="DF102" s="851"/>
      <c r="DG102" s="851"/>
      <c r="DH102" s="851"/>
      <c r="DI102" s="851"/>
      <c r="DJ102" s="851"/>
      <c r="DK102" s="851"/>
      <c r="DL102" s="851"/>
      <c r="DM102" s="851"/>
      <c r="DN102" s="851"/>
      <c r="DO102" s="851"/>
      <c r="DP102" s="915">
        <f t="shared" si="40"/>
        <v>0</v>
      </c>
      <c r="DQ102" s="920">
        <f t="shared" si="41"/>
        <v>0</v>
      </c>
      <c r="DR102" s="900"/>
      <c r="DS102" s="900"/>
      <c r="DT102" s="900"/>
      <c r="DU102" s="900"/>
      <c r="DV102" s="900"/>
      <c r="DW102" s="900"/>
      <c r="DX102" s="900"/>
      <c r="DY102" s="900"/>
      <c r="DZ102" s="900"/>
      <c r="EA102" s="900"/>
      <c r="EB102" s="900"/>
      <c r="EC102" s="900"/>
      <c r="ED102" s="900"/>
      <c r="EE102" s="900"/>
      <c r="EF102" s="900"/>
      <c r="EG102" s="900"/>
      <c r="EH102" s="900"/>
      <c r="EI102" s="900"/>
      <c r="EJ102" s="900"/>
      <c r="EK102" s="900"/>
      <c r="EL102" s="900"/>
      <c r="EM102" s="900"/>
      <c r="EN102" s="900"/>
      <c r="EO102" s="900"/>
      <c r="EP102" s="900"/>
      <c r="EQ102" s="900"/>
      <c r="ER102" s="900"/>
      <c r="ES102" s="900"/>
      <c r="ET102" s="900"/>
      <c r="EU102" s="900"/>
      <c r="EV102" s="900"/>
      <c r="EW102" s="900"/>
      <c r="EX102" s="900"/>
      <c r="EY102" s="900"/>
      <c r="EZ102" s="900"/>
      <c r="FA102" s="900"/>
      <c r="FB102" s="900"/>
      <c r="FC102" s="900"/>
      <c r="FD102" s="900"/>
      <c r="FE102" s="900"/>
      <c r="FF102" s="900"/>
      <c r="FG102" s="900"/>
      <c r="FH102" s="900"/>
      <c r="FI102" s="900"/>
      <c r="FJ102" s="900"/>
      <c r="FK102" s="900"/>
      <c r="FL102" s="900"/>
      <c r="FM102" s="925">
        <f t="shared" si="42"/>
        <v>0</v>
      </c>
      <c r="FN102" s="601"/>
      <c r="FO102" s="601"/>
      <c r="FP102" s="601"/>
      <c r="FQ102" s="601"/>
      <c r="FR102" s="601"/>
      <c r="FS102" s="601"/>
      <c r="FT102" s="601"/>
      <c r="FU102" s="601"/>
      <c r="FV102" s="601"/>
      <c r="FW102" s="601"/>
      <c r="FX102" s="601"/>
      <c r="FY102" s="601"/>
      <c r="FZ102" s="601"/>
      <c r="GA102" s="601"/>
      <c r="GB102" s="601"/>
      <c r="GC102" s="601">
        <f t="shared" si="43"/>
        <v>0</v>
      </c>
      <c r="GD102" s="601"/>
      <c r="GE102" s="601"/>
      <c r="GF102" s="601"/>
      <c r="GG102" s="601"/>
      <c r="GH102" s="601"/>
      <c r="GI102" s="601"/>
      <c r="GJ102" s="601"/>
      <c r="GK102" s="601"/>
      <c r="GL102" s="601"/>
      <c r="GM102" s="601"/>
      <c r="GN102" s="601"/>
      <c r="GO102" s="601"/>
      <c r="GP102" s="601"/>
      <c r="GQ102" s="601"/>
      <c r="GR102" s="601"/>
      <c r="GS102" s="601">
        <f t="shared" si="44"/>
        <v>0</v>
      </c>
      <c r="GT102" s="601">
        <f t="shared" si="45"/>
        <v>0</v>
      </c>
      <c r="GU102" s="601">
        <f t="shared" si="46"/>
        <v>0</v>
      </c>
      <c r="GV102" s="601">
        <f t="shared" si="47"/>
        <v>0</v>
      </c>
      <c r="GW102" s="601">
        <f t="shared" si="48"/>
        <v>0</v>
      </c>
      <c r="GX102" s="601">
        <f t="shared" si="49"/>
        <v>0</v>
      </c>
      <c r="GY102" s="601">
        <f t="shared" si="50"/>
        <v>0</v>
      </c>
      <c r="GZ102" s="601">
        <f t="shared" si="51"/>
        <v>0</v>
      </c>
      <c r="HA102" s="601">
        <f t="shared" si="52"/>
        <v>0</v>
      </c>
      <c r="HB102" s="601">
        <f t="shared" si="38"/>
        <v>0</v>
      </c>
      <c r="HC102" s="601">
        <f t="shared" si="39"/>
        <v>0</v>
      </c>
      <c r="HD102" s="632">
        <f t="shared" si="53"/>
        <v>0</v>
      </c>
      <c r="HE102" s="632">
        <f t="shared" si="54"/>
        <v>0</v>
      </c>
      <c r="HF102" s="601">
        <f t="shared" si="55"/>
        <v>0</v>
      </c>
      <c r="HG102" s="601">
        <f t="shared" si="56"/>
        <v>0</v>
      </c>
      <c r="HH102" s="927"/>
      <c r="HI102" s="930">
        <f t="shared" si="57"/>
        <v>0</v>
      </c>
      <c r="HJ102" s="824">
        <f t="shared" si="58"/>
        <v>0</v>
      </c>
      <c r="HK102" s="808">
        <f t="shared" si="59"/>
        <v>0</v>
      </c>
    </row>
    <row r="103" spans="2:237">
      <c r="B103" s="858"/>
      <c r="C103" s="859" t="s">
        <v>397</v>
      </c>
      <c r="D103" s="860"/>
      <c r="E103" s="550"/>
      <c r="F103" s="551"/>
      <c r="G103" s="551"/>
      <c r="H103" s="551"/>
      <c r="I103" s="576"/>
      <c r="J103" s="576"/>
      <c r="K103" s="576"/>
      <c r="L103" s="576"/>
      <c r="M103" s="576"/>
      <c r="N103" s="576"/>
      <c r="O103" s="576"/>
      <c r="P103" s="576"/>
      <c r="Q103" s="576"/>
      <c r="R103" s="576"/>
      <c r="S103" s="576"/>
      <c r="T103" s="576"/>
      <c r="U103" s="864"/>
      <c r="V103" s="576"/>
      <c r="W103" s="576"/>
      <c r="X103" s="576"/>
      <c r="Y103" s="874"/>
      <c r="Z103" s="875"/>
      <c r="AA103" s="874"/>
      <c r="AB103" s="874"/>
      <c r="AC103" s="874"/>
      <c r="AD103" s="874"/>
      <c r="AE103" s="874"/>
      <c r="AF103" s="874"/>
      <c r="AG103" s="874"/>
      <c r="AH103" s="874"/>
      <c r="AI103" s="874"/>
      <c r="AJ103" s="874"/>
      <c r="AK103" s="874"/>
      <c r="AL103" s="874"/>
      <c r="AM103" s="874"/>
      <c r="AN103" s="874"/>
      <c r="AO103" s="874"/>
      <c r="AP103" s="874"/>
      <c r="AQ103" s="576"/>
      <c r="AR103" s="576"/>
      <c r="AS103" s="576"/>
      <c r="AT103" s="576"/>
      <c r="AU103" s="576"/>
      <c r="AV103" s="576"/>
      <c r="AW103" s="576"/>
      <c r="AX103" s="576"/>
      <c r="AY103" s="576"/>
      <c r="AZ103" s="576"/>
      <c r="BA103" s="576"/>
      <c r="BB103" s="576"/>
      <c r="BC103" s="576"/>
      <c r="BD103" s="576"/>
      <c r="BE103" s="576"/>
      <c r="BF103" s="576"/>
      <c r="BG103" s="576"/>
      <c r="BH103" s="576"/>
      <c r="BI103" s="576"/>
      <c r="BJ103" s="576"/>
      <c r="BK103" s="576"/>
      <c r="BL103" s="576"/>
      <c r="BM103" s="576"/>
      <c r="BN103" s="576"/>
      <c r="BO103" s="576"/>
      <c r="BP103" s="639"/>
      <c r="BQ103" s="887">
        <f t="shared" si="16"/>
        <v>0</v>
      </c>
      <c r="BR103" s="550"/>
      <c r="BS103" s="551"/>
      <c r="BT103" s="551"/>
      <c r="BU103" s="551"/>
      <c r="BV103" s="551"/>
      <c r="BW103" s="551"/>
      <c r="BX103" s="551"/>
      <c r="BY103" s="551"/>
      <c r="BZ103" s="896"/>
      <c r="CA103" s="551"/>
      <c r="CB103" s="551"/>
      <c r="CC103" s="551"/>
      <c r="CD103" s="551"/>
      <c r="CE103" s="551"/>
      <c r="CF103" s="551"/>
      <c r="CG103" s="551"/>
      <c r="CH103" s="551"/>
      <c r="CI103" s="551"/>
      <c r="CJ103" s="551"/>
      <c r="CK103" s="551"/>
      <c r="CL103" s="551"/>
      <c r="CM103" s="551"/>
      <c r="CN103" s="551"/>
      <c r="CO103" s="551"/>
      <c r="CP103" s="551"/>
      <c r="CQ103" s="903">
        <f t="shared" ref="CQ103:CQ110" si="60">+SUM(BR103:CP103)</f>
        <v>0</v>
      </c>
      <c r="CR103" s="850"/>
      <c r="CS103" s="851"/>
      <c r="CT103" s="851"/>
      <c r="CU103" s="851"/>
      <c r="CV103" s="912"/>
      <c r="CW103" s="912"/>
      <c r="CX103" s="912"/>
      <c r="CY103" s="851"/>
      <c r="CZ103" s="677"/>
      <c r="DA103" s="851"/>
      <c r="DB103" s="851"/>
      <c r="DC103" s="851"/>
      <c r="DD103" s="851"/>
      <c r="DE103" s="851"/>
      <c r="DF103" s="851"/>
      <c r="DG103" s="851"/>
      <c r="DH103" s="851"/>
      <c r="DI103" s="851"/>
      <c r="DJ103" s="851"/>
      <c r="DK103" s="851"/>
      <c r="DL103" s="851"/>
      <c r="DM103" s="851"/>
      <c r="DN103" s="851"/>
      <c r="DO103" s="851"/>
      <c r="DP103" s="915">
        <f t="shared" si="40"/>
        <v>0</v>
      </c>
      <c r="DQ103" s="920">
        <f t="shared" si="41"/>
        <v>0</v>
      </c>
      <c r="DR103" s="900"/>
      <c r="DS103" s="900"/>
      <c r="DT103" s="900"/>
      <c r="DU103" s="900"/>
      <c r="DV103" s="900"/>
      <c r="DW103" s="900"/>
      <c r="DX103" s="900"/>
      <c r="DY103" s="900"/>
      <c r="DZ103" s="900"/>
      <c r="EA103" s="900"/>
      <c r="EB103" s="900"/>
      <c r="EC103" s="900"/>
      <c r="ED103" s="900"/>
      <c r="EE103" s="900"/>
      <c r="EF103" s="900"/>
      <c r="EG103" s="900"/>
      <c r="EH103" s="900"/>
      <c r="EI103" s="900"/>
      <c r="EJ103" s="900"/>
      <c r="EK103" s="900"/>
      <c r="EL103" s="900"/>
      <c r="EM103" s="900"/>
      <c r="EN103" s="900"/>
      <c r="EO103" s="900"/>
      <c r="EP103" s="900"/>
      <c r="EQ103" s="900"/>
      <c r="ER103" s="900"/>
      <c r="ES103" s="900"/>
      <c r="ET103" s="900"/>
      <c r="EU103" s="900"/>
      <c r="EV103" s="900"/>
      <c r="EW103" s="900"/>
      <c r="EX103" s="900"/>
      <c r="EY103" s="900"/>
      <c r="EZ103" s="900"/>
      <c r="FA103" s="900"/>
      <c r="FB103" s="900"/>
      <c r="FC103" s="900"/>
      <c r="FD103" s="900"/>
      <c r="FE103" s="900"/>
      <c r="FF103" s="900"/>
      <c r="FG103" s="900"/>
      <c r="FH103" s="900"/>
      <c r="FI103" s="900"/>
      <c r="FJ103" s="900"/>
      <c r="FK103" s="900"/>
      <c r="FL103" s="900"/>
      <c r="FM103" s="925">
        <f t="shared" si="42"/>
        <v>0</v>
      </c>
      <c r="FN103" s="601"/>
      <c r="FO103" s="601"/>
      <c r="FP103" s="601"/>
      <c r="FQ103" s="601"/>
      <c r="FR103" s="601"/>
      <c r="FS103" s="601"/>
      <c r="FT103" s="601"/>
      <c r="FU103" s="601"/>
      <c r="FV103" s="601"/>
      <c r="FW103" s="601"/>
      <c r="FX103" s="601"/>
      <c r="FY103" s="601"/>
      <c r="FZ103" s="601"/>
      <c r="GA103" s="601"/>
      <c r="GB103" s="601"/>
      <c r="GC103" s="601">
        <f t="shared" si="43"/>
        <v>0</v>
      </c>
      <c r="GD103" s="601"/>
      <c r="GE103" s="601"/>
      <c r="GF103" s="601"/>
      <c r="GG103" s="601"/>
      <c r="GH103" s="601"/>
      <c r="GI103" s="601"/>
      <c r="GJ103" s="601"/>
      <c r="GK103" s="601"/>
      <c r="GL103" s="601"/>
      <c r="GM103" s="601"/>
      <c r="GN103" s="601"/>
      <c r="GO103" s="601"/>
      <c r="GP103" s="601"/>
      <c r="GQ103" s="601"/>
      <c r="GR103" s="601"/>
      <c r="GS103" s="601">
        <f t="shared" si="44"/>
        <v>0</v>
      </c>
      <c r="GT103" s="601">
        <f t="shared" si="45"/>
        <v>0</v>
      </c>
      <c r="GU103" s="601">
        <f t="shared" si="46"/>
        <v>0</v>
      </c>
      <c r="GV103" s="601">
        <f t="shared" si="47"/>
        <v>0</v>
      </c>
      <c r="GW103" s="601">
        <f t="shared" si="48"/>
        <v>0</v>
      </c>
      <c r="GX103" s="601">
        <f t="shared" si="49"/>
        <v>0</v>
      </c>
      <c r="GY103" s="601">
        <f t="shared" si="50"/>
        <v>0</v>
      </c>
      <c r="GZ103" s="601">
        <f t="shared" si="51"/>
        <v>0</v>
      </c>
      <c r="HA103" s="601">
        <f t="shared" si="52"/>
        <v>0</v>
      </c>
      <c r="HB103" s="601">
        <f t="shared" si="38"/>
        <v>0</v>
      </c>
      <c r="HC103" s="601">
        <f t="shared" si="39"/>
        <v>0</v>
      </c>
      <c r="HD103" s="632">
        <f t="shared" si="53"/>
        <v>0</v>
      </c>
      <c r="HE103" s="632">
        <f t="shared" si="54"/>
        <v>0</v>
      </c>
      <c r="HF103" s="601">
        <f t="shared" si="55"/>
        <v>0</v>
      </c>
      <c r="HG103" s="601">
        <f t="shared" si="56"/>
        <v>0</v>
      </c>
      <c r="HH103" s="927"/>
      <c r="HI103" s="930">
        <f t="shared" si="57"/>
        <v>0</v>
      </c>
      <c r="HJ103" s="824">
        <f t="shared" si="58"/>
        <v>0</v>
      </c>
      <c r="HK103" s="808">
        <f t="shared" si="59"/>
        <v>0</v>
      </c>
      <c r="HL103" s="942"/>
      <c r="HM103" s="943"/>
      <c r="HN103" s="943"/>
      <c r="HO103" s="942"/>
      <c r="HP103" s="944"/>
      <c r="HQ103" s="942"/>
      <c r="HR103" s="942"/>
      <c r="HV103" s="942"/>
      <c r="HW103" s="943"/>
      <c r="HX103" s="943"/>
      <c r="HY103" s="942"/>
      <c r="HZ103" s="942"/>
      <c r="IA103" s="942"/>
      <c r="IB103" s="942"/>
      <c r="IC103" s="942"/>
    </row>
    <row r="104" spans="2:237" ht="15" customHeight="1">
      <c r="B104" s="858"/>
      <c r="C104" s="859" t="s">
        <v>398</v>
      </c>
      <c r="D104" s="860"/>
      <c r="E104" s="550"/>
      <c r="F104" s="551"/>
      <c r="G104" s="551"/>
      <c r="H104" s="551"/>
      <c r="I104" s="576"/>
      <c r="J104" s="576"/>
      <c r="K104" s="576"/>
      <c r="L104" s="576"/>
      <c r="M104" s="576"/>
      <c r="N104" s="576"/>
      <c r="O104" s="576"/>
      <c r="P104" s="576"/>
      <c r="Q104" s="576"/>
      <c r="R104" s="576"/>
      <c r="S104" s="576"/>
      <c r="T104" s="576"/>
      <c r="U104" s="864"/>
      <c r="V104" s="576"/>
      <c r="W104" s="576"/>
      <c r="X104" s="576"/>
      <c r="Y104" s="874"/>
      <c r="Z104" s="875"/>
      <c r="AA104" s="874"/>
      <c r="AB104" s="874"/>
      <c r="AC104" s="874"/>
      <c r="AD104" s="874"/>
      <c r="AE104" s="874"/>
      <c r="AF104" s="874"/>
      <c r="AG104" s="874"/>
      <c r="AH104" s="874"/>
      <c r="AI104" s="874"/>
      <c r="AJ104" s="874"/>
      <c r="AK104" s="874"/>
      <c r="AL104" s="874"/>
      <c r="AM104" s="874"/>
      <c r="AN104" s="874"/>
      <c r="AO104" s="874"/>
      <c r="AP104" s="874"/>
      <c r="AQ104" s="576"/>
      <c r="AR104" s="576"/>
      <c r="AS104" s="576"/>
      <c r="AT104" s="576"/>
      <c r="AU104" s="576"/>
      <c r="AV104" s="576"/>
      <c r="AW104" s="576"/>
      <c r="AX104" s="576"/>
      <c r="AY104" s="576"/>
      <c r="AZ104" s="576"/>
      <c r="BA104" s="576"/>
      <c r="BB104" s="576"/>
      <c r="BC104" s="576"/>
      <c r="BD104" s="576"/>
      <c r="BE104" s="576"/>
      <c r="BF104" s="576"/>
      <c r="BG104" s="576"/>
      <c r="BH104" s="576"/>
      <c r="BI104" s="576"/>
      <c r="BJ104" s="576"/>
      <c r="BK104" s="576"/>
      <c r="BL104" s="576"/>
      <c r="BM104" s="576"/>
      <c r="BN104" s="576"/>
      <c r="BO104" s="576"/>
      <c r="BP104" s="639"/>
      <c r="BQ104" s="887">
        <f t="shared" si="16"/>
        <v>0</v>
      </c>
      <c r="BR104" s="550"/>
      <c r="BS104" s="551"/>
      <c r="BT104" s="551"/>
      <c r="BU104" s="551"/>
      <c r="BV104" s="551"/>
      <c r="BW104" s="551"/>
      <c r="BX104" s="551"/>
      <c r="BY104" s="551"/>
      <c r="BZ104" s="896"/>
      <c r="CA104" s="551"/>
      <c r="CB104" s="551"/>
      <c r="CC104" s="551"/>
      <c r="CD104" s="551"/>
      <c r="CE104" s="551"/>
      <c r="CF104" s="551"/>
      <c r="CG104" s="551"/>
      <c r="CH104" s="551"/>
      <c r="CI104" s="551"/>
      <c r="CJ104" s="551"/>
      <c r="CK104" s="551"/>
      <c r="CL104" s="551"/>
      <c r="CM104" s="551"/>
      <c r="CN104" s="551"/>
      <c r="CO104" s="551"/>
      <c r="CP104" s="551"/>
      <c r="CQ104" s="903">
        <f t="shared" si="60"/>
        <v>0</v>
      </c>
      <c r="CR104" s="850"/>
      <c r="CS104" s="851"/>
      <c r="CT104" s="851"/>
      <c r="CU104" s="851"/>
      <c r="CV104" s="912"/>
      <c r="CW104" s="912"/>
      <c r="CX104" s="912"/>
      <c r="CY104" s="851"/>
      <c r="CZ104" s="677"/>
      <c r="DA104" s="851"/>
      <c r="DB104" s="851"/>
      <c r="DC104" s="851"/>
      <c r="DD104" s="851"/>
      <c r="DE104" s="851"/>
      <c r="DF104" s="851"/>
      <c r="DG104" s="851"/>
      <c r="DH104" s="851"/>
      <c r="DI104" s="851"/>
      <c r="DJ104" s="851"/>
      <c r="DK104" s="851"/>
      <c r="DL104" s="851"/>
      <c r="DM104" s="851"/>
      <c r="DN104" s="851"/>
      <c r="DO104" s="851"/>
      <c r="DP104" s="915">
        <f t="shared" si="40"/>
        <v>0</v>
      </c>
      <c r="DQ104" s="920">
        <f t="shared" si="41"/>
        <v>0</v>
      </c>
      <c r="DR104" s="900"/>
      <c r="DS104" s="900"/>
      <c r="DT104" s="900"/>
      <c r="DU104" s="900"/>
      <c r="DV104" s="900"/>
      <c r="DW104" s="900"/>
      <c r="DX104" s="900"/>
      <c r="DY104" s="900"/>
      <c r="DZ104" s="900"/>
      <c r="EA104" s="900"/>
      <c r="EB104" s="900"/>
      <c r="EC104" s="900"/>
      <c r="ED104" s="900"/>
      <c r="EE104" s="900"/>
      <c r="EF104" s="900"/>
      <c r="EG104" s="900"/>
      <c r="EH104" s="900"/>
      <c r="EI104" s="900"/>
      <c r="EJ104" s="900"/>
      <c r="EK104" s="900"/>
      <c r="EL104" s="900"/>
      <c r="EM104" s="900"/>
      <c r="EN104" s="900"/>
      <c r="EO104" s="900"/>
      <c r="EP104" s="900"/>
      <c r="EQ104" s="900"/>
      <c r="ER104" s="900"/>
      <c r="ES104" s="900"/>
      <c r="ET104" s="900"/>
      <c r="EU104" s="900"/>
      <c r="EV104" s="900"/>
      <c r="EW104" s="900"/>
      <c r="EX104" s="900"/>
      <c r="EY104" s="900"/>
      <c r="EZ104" s="900"/>
      <c r="FA104" s="900"/>
      <c r="FB104" s="900"/>
      <c r="FC104" s="900"/>
      <c r="FD104" s="900"/>
      <c r="FE104" s="900"/>
      <c r="FF104" s="900"/>
      <c r="FG104" s="900"/>
      <c r="FH104" s="900"/>
      <c r="FI104" s="900"/>
      <c r="FJ104" s="900"/>
      <c r="FK104" s="900"/>
      <c r="FL104" s="900"/>
      <c r="FM104" s="925">
        <f t="shared" si="42"/>
        <v>0</v>
      </c>
      <c r="FN104" s="601"/>
      <c r="FO104" s="601"/>
      <c r="FP104" s="601"/>
      <c r="FQ104" s="601"/>
      <c r="FR104" s="601"/>
      <c r="FS104" s="601"/>
      <c r="FT104" s="601"/>
      <c r="FU104" s="601"/>
      <c r="FV104" s="601"/>
      <c r="FW104" s="601"/>
      <c r="FX104" s="601"/>
      <c r="FY104" s="601"/>
      <c r="FZ104" s="601"/>
      <c r="GA104" s="601"/>
      <c r="GB104" s="601"/>
      <c r="GC104" s="601">
        <f t="shared" si="43"/>
        <v>0</v>
      </c>
      <c r="GD104" s="601"/>
      <c r="GE104" s="601"/>
      <c r="GF104" s="601"/>
      <c r="GG104" s="601"/>
      <c r="GH104" s="601"/>
      <c r="GI104" s="601"/>
      <c r="GJ104" s="601"/>
      <c r="GK104" s="601"/>
      <c r="GL104" s="601"/>
      <c r="GM104" s="601"/>
      <c r="GN104" s="601"/>
      <c r="GO104" s="601"/>
      <c r="GP104" s="601"/>
      <c r="GQ104" s="601"/>
      <c r="GR104" s="601"/>
      <c r="GS104" s="601">
        <f t="shared" si="44"/>
        <v>0</v>
      </c>
      <c r="GT104" s="601">
        <f t="shared" si="45"/>
        <v>0</v>
      </c>
      <c r="GU104" s="601">
        <f t="shared" si="46"/>
        <v>0</v>
      </c>
      <c r="GV104" s="601">
        <f t="shared" si="47"/>
        <v>0</v>
      </c>
      <c r="GW104" s="601">
        <f t="shared" si="48"/>
        <v>0</v>
      </c>
      <c r="GX104" s="601">
        <f t="shared" si="49"/>
        <v>0</v>
      </c>
      <c r="GY104" s="601">
        <f t="shared" si="50"/>
        <v>0</v>
      </c>
      <c r="GZ104" s="601">
        <f t="shared" si="51"/>
        <v>0</v>
      </c>
      <c r="HA104" s="601">
        <f t="shared" si="52"/>
        <v>0</v>
      </c>
      <c r="HB104" s="601">
        <f t="shared" si="38"/>
        <v>0</v>
      </c>
      <c r="HC104" s="601">
        <f t="shared" si="39"/>
        <v>0</v>
      </c>
      <c r="HD104" s="632">
        <f t="shared" si="53"/>
        <v>0</v>
      </c>
      <c r="HE104" s="632">
        <f t="shared" si="54"/>
        <v>0</v>
      </c>
      <c r="HF104" s="601">
        <f t="shared" si="55"/>
        <v>0</v>
      </c>
      <c r="HG104" s="601">
        <f t="shared" si="56"/>
        <v>0</v>
      </c>
      <c r="HH104" s="927"/>
      <c r="HI104" s="930">
        <f t="shared" si="57"/>
        <v>0</v>
      </c>
      <c r="HJ104" s="824">
        <f t="shared" si="58"/>
        <v>0</v>
      </c>
      <c r="HK104" s="808">
        <f t="shared" si="59"/>
        <v>0</v>
      </c>
      <c r="HN104" s="945"/>
      <c r="HX104" s="945"/>
    </row>
    <row r="105" spans="2:237" ht="12" customHeight="1">
      <c r="B105" s="858"/>
      <c r="C105" s="859" t="s">
        <v>399</v>
      </c>
      <c r="D105" s="860"/>
      <c r="E105" s="550"/>
      <c r="F105" s="551"/>
      <c r="G105" s="551"/>
      <c r="H105" s="551"/>
      <c r="I105" s="576"/>
      <c r="J105" s="576"/>
      <c r="K105" s="576"/>
      <c r="L105" s="576"/>
      <c r="M105" s="576"/>
      <c r="N105" s="576"/>
      <c r="O105" s="576"/>
      <c r="P105" s="576"/>
      <c r="Q105" s="576"/>
      <c r="R105" s="576"/>
      <c r="S105" s="576"/>
      <c r="T105" s="576"/>
      <c r="U105" s="864"/>
      <c r="V105" s="576"/>
      <c r="W105" s="576"/>
      <c r="X105" s="576"/>
      <c r="Y105" s="874"/>
      <c r="Z105" s="875"/>
      <c r="AA105" s="874"/>
      <c r="AB105" s="874"/>
      <c r="AC105" s="874"/>
      <c r="AD105" s="874"/>
      <c r="AE105" s="874"/>
      <c r="AF105" s="874"/>
      <c r="AG105" s="874"/>
      <c r="AH105" s="874"/>
      <c r="AI105" s="874"/>
      <c r="AJ105" s="874"/>
      <c r="AK105" s="874"/>
      <c r="AL105" s="874"/>
      <c r="AM105" s="874"/>
      <c r="AN105" s="874"/>
      <c r="AO105" s="874"/>
      <c r="AP105" s="874"/>
      <c r="AQ105" s="576"/>
      <c r="AR105" s="576"/>
      <c r="AS105" s="576"/>
      <c r="AT105" s="576"/>
      <c r="AU105" s="576"/>
      <c r="AV105" s="576"/>
      <c r="AW105" s="576"/>
      <c r="AX105" s="576"/>
      <c r="AY105" s="576"/>
      <c r="AZ105" s="576"/>
      <c r="BA105" s="576"/>
      <c r="BB105" s="576"/>
      <c r="BC105" s="576"/>
      <c r="BD105" s="576"/>
      <c r="BE105" s="576"/>
      <c r="BF105" s="576"/>
      <c r="BG105" s="576"/>
      <c r="BH105" s="576"/>
      <c r="BI105" s="576"/>
      <c r="BJ105" s="576"/>
      <c r="BK105" s="576"/>
      <c r="BL105" s="576"/>
      <c r="BM105" s="576"/>
      <c r="BN105" s="576"/>
      <c r="BO105" s="576"/>
      <c r="BP105" s="639"/>
      <c r="BQ105" s="887">
        <f t="shared" si="16"/>
        <v>0</v>
      </c>
      <c r="BR105" s="550"/>
      <c r="BS105" s="551"/>
      <c r="BT105" s="551"/>
      <c r="BU105" s="551"/>
      <c r="BV105" s="551"/>
      <c r="BW105" s="551"/>
      <c r="BX105" s="551"/>
      <c r="BY105" s="551"/>
      <c r="BZ105" s="896"/>
      <c r="CA105" s="551"/>
      <c r="CB105" s="551"/>
      <c r="CC105" s="551"/>
      <c r="CD105" s="551"/>
      <c r="CE105" s="551"/>
      <c r="CF105" s="551"/>
      <c r="CG105" s="551"/>
      <c r="CH105" s="551"/>
      <c r="CI105" s="551"/>
      <c r="CJ105" s="551"/>
      <c r="CK105" s="551"/>
      <c r="CL105" s="551"/>
      <c r="CM105" s="551"/>
      <c r="CN105" s="551"/>
      <c r="CO105" s="551"/>
      <c r="CP105" s="551"/>
      <c r="CQ105" s="903">
        <f t="shared" si="60"/>
        <v>0</v>
      </c>
      <c r="CR105" s="850"/>
      <c r="CS105" s="851"/>
      <c r="CT105" s="851"/>
      <c r="CU105" s="851"/>
      <c r="CV105" s="912"/>
      <c r="CW105" s="912"/>
      <c r="CX105" s="912"/>
      <c r="CY105" s="851"/>
      <c r="CZ105" s="677"/>
      <c r="DA105" s="851"/>
      <c r="DB105" s="851"/>
      <c r="DC105" s="851"/>
      <c r="DD105" s="851"/>
      <c r="DE105" s="851"/>
      <c r="DF105" s="851"/>
      <c r="DG105" s="851"/>
      <c r="DH105" s="851"/>
      <c r="DI105" s="851"/>
      <c r="DJ105" s="851"/>
      <c r="DK105" s="851"/>
      <c r="DL105" s="851"/>
      <c r="DM105" s="851"/>
      <c r="DN105" s="851"/>
      <c r="DO105" s="851"/>
      <c r="DP105" s="915">
        <f t="shared" si="40"/>
        <v>0</v>
      </c>
      <c r="DQ105" s="920">
        <f t="shared" si="41"/>
        <v>0</v>
      </c>
      <c r="DR105" s="900"/>
      <c r="DS105" s="900"/>
      <c r="DT105" s="900"/>
      <c r="DU105" s="900"/>
      <c r="DV105" s="900"/>
      <c r="DW105" s="900"/>
      <c r="DX105" s="900"/>
      <c r="DY105" s="900"/>
      <c r="DZ105" s="900"/>
      <c r="EA105" s="900"/>
      <c r="EB105" s="900"/>
      <c r="EC105" s="900"/>
      <c r="ED105" s="900"/>
      <c r="EE105" s="900"/>
      <c r="EF105" s="900"/>
      <c r="EG105" s="900"/>
      <c r="EH105" s="900"/>
      <c r="EI105" s="900"/>
      <c r="EJ105" s="900"/>
      <c r="EK105" s="900"/>
      <c r="EL105" s="900"/>
      <c r="EM105" s="900"/>
      <c r="EN105" s="900"/>
      <c r="EO105" s="900"/>
      <c r="EP105" s="900"/>
      <c r="EQ105" s="900"/>
      <c r="ER105" s="900"/>
      <c r="ES105" s="900"/>
      <c r="ET105" s="900"/>
      <c r="EU105" s="900"/>
      <c r="EV105" s="900"/>
      <c r="EW105" s="900"/>
      <c r="EX105" s="900"/>
      <c r="EY105" s="900"/>
      <c r="EZ105" s="900"/>
      <c r="FA105" s="900"/>
      <c r="FB105" s="900"/>
      <c r="FC105" s="900"/>
      <c r="FD105" s="900"/>
      <c r="FE105" s="900"/>
      <c r="FF105" s="900"/>
      <c r="FG105" s="900"/>
      <c r="FH105" s="900"/>
      <c r="FI105" s="900"/>
      <c r="FJ105" s="900"/>
      <c r="FK105" s="900"/>
      <c r="FL105" s="900"/>
      <c r="FM105" s="925">
        <f t="shared" si="42"/>
        <v>0</v>
      </c>
      <c r="FN105" s="601"/>
      <c r="FO105" s="601"/>
      <c r="FP105" s="601"/>
      <c r="FQ105" s="601"/>
      <c r="FR105" s="601"/>
      <c r="FS105" s="601"/>
      <c r="FT105" s="601"/>
      <c r="FU105" s="601"/>
      <c r="FV105" s="601"/>
      <c r="FW105" s="601"/>
      <c r="FX105" s="601"/>
      <c r="FY105" s="601"/>
      <c r="FZ105" s="601"/>
      <c r="GA105" s="601"/>
      <c r="GB105" s="601"/>
      <c r="GC105" s="601">
        <f t="shared" si="43"/>
        <v>0</v>
      </c>
      <c r="GD105" s="601"/>
      <c r="GE105" s="601"/>
      <c r="GF105" s="601"/>
      <c r="GG105" s="601"/>
      <c r="GH105" s="601"/>
      <c r="GI105" s="601"/>
      <c r="GJ105" s="601"/>
      <c r="GK105" s="601"/>
      <c r="GL105" s="601"/>
      <c r="GM105" s="601"/>
      <c r="GN105" s="601"/>
      <c r="GO105" s="601"/>
      <c r="GP105" s="601"/>
      <c r="GQ105" s="601"/>
      <c r="GR105" s="601"/>
      <c r="GS105" s="601">
        <f t="shared" si="44"/>
        <v>0</v>
      </c>
      <c r="GT105" s="601">
        <f t="shared" si="45"/>
        <v>0</v>
      </c>
      <c r="GU105" s="601">
        <f t="shared" si="46"/>
        <v>0</v>
      </c>
      <c r="GV105" s="601">
        <f t="shared" si="47"/>
        <v>0</v>
      </c>
      <c r="GW105" s="601">
        <f t="shared" si="48"/>
        <v>0</v>
      </c>
      <c r="GX105" s="601">
        <f t="shared" si="49"/>
        <v>0</v>
      </c>
      <c r="GY105" s="601">
        <f t="shared" si="50"/>
        <v>0</v>
      </c>
      <c r="GZ105" s="601">
        <f t="shared" si="51"/>
        <v>0</v>
      </c>
      <c r="HA105" s="601">
        <f t="shared" si="52"/>
        <v>0</v>
      </c>
      <c r="HB105" s="601">
        <f t="shared" si="38"/>
        <v>0</v>
      </c>
      <c r="HC105" s="601">
        <f t="shared" si="39"/>
        <v>0</v>
      </c>
      <c r="HD105" s="632">
        <f t="shared" si="53"/>
        <v>0</v>
      </c>
      <c r="HE105" s="632">
        <f t="shared" si="54"/>
        <v>0</v>
      </c>
      <c r="HF105" s="601">
        <f t="shared" si="55"/>
        <v>0</v>
      </c>
      <c r="HG105" s="601">
        <f t="shared" si="56"/>
        <v>0</v>
      </c>
      <c r="HH105" s="927"/>
      <c r="HI105" s="930">
        <f t="shared" si="57"/>
        <v>0</v>
      </c>
      <c r="HJ105" s="824">
        <f t="shared" si="58"/>
        <v>0</v>
      </c>
      <c r="HK105" s="808">
        <f t="shared" si="59"/>
        <v>0</v>
      </c>
    </row>
    <row r="106" spans="2:237">
      <c r="B106" s="858"/>
      <c r="C106" s="859" t="s">
        <v>400</v>
      </c>
      <c r="D106" s="860"/>
      <c r="E106" s="550"/>
      <c r="F106" s="551"/>
      <c r="G106" s="551"/>
      <c r="H106" s="551"/>
      <c r="I106" s="576"/>
      <c r="J106" s="576"/>
      <c r="K106" s="576"/>
      <c r="L106" s="576"/>
      <c r="M106" s="576"/>
      <c r="N106" s="576"/>
      <c r="O106" s="576"/>
      <c r="P106" s="576"/>
      <c r="Q106" s="576"/>
      <c r="R106" s="576"/>
      <c r="S106" s="576"/>
      <c r="T106" s="576"/>
      <c r="U106" s="864"/>
      <c r="V106" s="576"/>
      <c r="W106" s="576"/>
      <c r="X106" s="576"/>
      <c r="Y106" s="874"/>
      <c r="Z106" s="875"/>
      <c r="AA106" s="874"/>
      <c r="AB106" s="874"/>
      <c r="AC106" s="874"/>
      <c r="AD106" s="874"/>
      <c r="AE106" s="874"/>
      <c r="AF106" s="874"/>
      <c r="AG106" s="874"/>
      <c r="AH106" s="874"/>
      <c r="AI106" s="874"/>
      <c r="AJ106" s="874"/>
      <c r="AK106" s="874"/>
      <c r="AL106" s="874"/>
      <c r="AM106" s="874"/>
      <c r="AN106" s="874"/>
      <c r="AO106" s="874"/>
      <c r="AP106" s="874"/>
      <c r="AQ106" s="576"/>
      <c r="AR106" s="576"/>
      <c r="AS106" s="576"/>
      <c r="AT106" s="576"/>
      <c r="AU106" s="576"/>
      <c r="AV106" s="576"/>
      <c r="AW106" s="576"/>
      <c r="AX106" s="576"/>
      <c r="AY106" s="576"/>
      <c r="AZ106" s="576"/>
      <c r="BA106" s="576"/>
      <c r="BB106" s="576"/>
      <c r="BC106" s="576"/>
      <c r="BD106" s="576"/>
      <c r="BE106" s="576"/>
      <c r="BF106" s="576"/>
      <c r="BG106" s="576"/>
      <c r="BH106" s="576"/>
      <c r="BI106" s="576"/>
      <c r="BJ106" s="576"/>
      <c r="BK106" s="576"/>
      <c r="BL106" s="576"/>
      <c r="BM106" s="576"/>
      <c r="BN106" s="576"/>
      <c r="BO106" s="576"/>
      <c r="BP106" s="639"/>
      <c r="BQ106" s="887">
        <f t="shared" si="16"/>
        <v>0</v>
      </c>
      <c r="BR106" s="550"/>
      <c r="BS106" s="551"/>
      <c r="BT106" s="551"/>
      <c r="BU106" s="551"/>
      <c r="BV106" s="551"/>
      <c r="BW106" s="551"/>
      <c r="BX106" s="551"/>
      <c r="BY106" s="551"/>
      <c r="BZ106" s="896"/>
      <c r="CA106" s="551"/>
      <c r="CB106" s="551"/>
      <c r="CC106" s="551"/>
      <c r="CD106" s="551"/>
      <c r="CE106" s="551"/>
      <c r="CF106" s="551"/>
      <c r="CG106" s="551"/>
      <c r="CH106" s="551"/>
      <c r="CI106" s="551"/>
      <c r="CJ106" s="551"/>
      <c r="CK106" s="551"/>
      <c r="CL106" s="551"/>
      <c r="CM106" s="551"/>
      <c r="CN106" s="551"/>
      <c r="CO106" s="551"/>
      <c r="CP106" s="551"/>
      <c r="CQ106" s="903">
        <f t="shared" si="60"/>
        <v>0</v>
      </c>
      <c r="CR106" s="850"/>
      <c r="CS106" s="851"/>
      <c r="CT106" s="851"/>
      <c r="CU106" s="851"/>
      <c r="CV106" s="912"/>
      <c r="CW106" s="912"/>
      <c r="CX106" s="912"/>
      <c r="CY106" s="851"/>
      <c r="CZ106" s="677"/>
      <c r="DA106" s="851"/>
      <c r="DB106" s="851"/>
      <c r="DC106" s="851"/>
      <c r="DD106" s="851"/>
      <c r="DE106" s="851"/>
      <c r="DF106" s="851"/>
      <c r="DG106" s="851"/>
      <c r="DH106" s="851"/>
      <c r="DI106" s="851"/>
      <c r="DJ106" s="851"/>
      <c r="DK106" s="851"/>
      <c r="DL106" s="851"/>
      <c r="DM106" s="851"/>
      <c r="DN106" s="851"/>
      <c r="DO106" s="851"/>
      <c r="DP106" s="915">
        <f t="shared" si="40"/>
        <v>0</v>
      </c>
      <c r="DQ106" s="920">
        <f t="shared" si="41"/>
        <v>0</v>
      </c>
      <c r="DR106" s="900"/>
      <c r="DS106" s="900"/>
      <c r="DT106" s="900"/>
      <c r="DU106" s="900"/>
      <c r="DV106" s="900"/>
      <c r="DW106" s="900"/>
      <c r="DX106" s="900"/>
      <c r="DY106" s="900"/>
      <c r="DZ106" s="900"/>
      <c r="EA106" s="900"/>
      <c r="EB106" s="900"/>
      <c r="EC106" s="900"/>
      <c r="ED106" s="900"/>
      <c r="EE106" s="900"/>
      <c r="EF106" s="900"/>
      <c r="EG106" s="900"/>
      <c r="EH106" s="900"/>
      <c r="EI106" s="900"/>
      <c r="EJ106" s="900"/>
      <c r="EK106" s="900"/>
      <c r="EL106" s="900"/>
      <c r="EM106" s="900"/>
      <c r="EN106" s="900"/>
      <c r="EO106" s="900"/>
      <c r="EP106" s="900"/>
      <c r="EQ106" s="900"/>
      <c r="ER106" s="900"/>
      <c r="ES106" s="900"/>
      <c r="ET106" s="900"/>
      <c r="EU106" s="900"/>
      <c r="EV106" s="900"/>
      <c r="EW106" s="900"/>
      <c r="EX106" s="900"/>
      <c r="EY106" s="900"/>
      <c r="EZ106" s="900"/>
      <c r="FA106" s="900"/>
      <c r="FB106" s="900"/>
      <c r="FC106" s="900"/>
      <c r="FD106" s="900"/>
      <c r="FE106" s="900"/>
      <c r="FF106" s="900"/>
      <c r="FG106" s="900"/>
      <c r="FH106" s="900"/>
      <c r="FI106" s="900"/>
      <c r="FJ106" s="900"/>
      <c r="FK106" s="900"/>
      <c r="FL106" s="900"/>
      <c r="FM106" s="925">
        <f t="shared" si="42"/>
        <v>0</v>
      </c>
      <c r="FN106" s="601"/>
      <c r="FO106" s="601"/>
      <c r="FP106" s="601"/>
      <c r="FQ106" s="601"/>
      <c r="FR106" s="601"/>
      <c r="FS106" s="601"/>
      <c r="FT106" s="601"/>
      <c r="FU106" s="601"/>
      <c r="FV106" s="601"/>
      <c r="FW106" s="601"/>
      <c r="FX106" s="601"/>
      <c r="FY106" s="601"/>
      <c r="FZ106" s="601"/>
      <c r="GA106" s="601"/>
      <c r="GB106" s="601"/>
      <c r="GC106" s="601">
        <f t="shared" si="43"/>
        <v>0</v>
      </c>
      <c r="GD106" s="601"/>
      <c r="GE106" s="601"/>
      <c r="GF106" s="601"/>
      <c r="GG106" s="601"/>
      <c r="GH106" s="601"/>
      <c r="GI106" s="601"/>
      <c r="GJ106" s="601"/>
      <c r="GK106" s="601"/>
      <c r="GL106" s="601"/>
      <c r="GM106" s="601"/>
      <c r="GN106" s="601"/>
      <c r="GO106" s="601"/>
      <c r="GP106" s="601"/>
      <c r="GQ106" s="601"/>
      <c r="GR106" s="601"/>
      <c r="GS106" s="601">
        <f t="shared" si="44"/>
        <v>0</v>
      </c>
      <c r="GT106" s="601">
        <f t="shared" si="45"/>
        <v>0</v>
      </c>
      <c r="GU106" s="601">
        <f t="shared" si="46"/>
        <v>0</v>
      </c>
      <c r="GV106" s="601">
        <f t="shared" si="47"/>
        <v>0</v>
      </c>
      <c r="GW106" s="601">
        <f t="shared" si="48"/>
        <v>0</v>
      </c>
      <c r="GX106" s="601">
        <f t="shared" si="49"/>
        <v>0</v>
      </c>
      <c r="GY106" s="601">
        <f t="shared" si="50"/>
        <v>0</v>
      </c>
      <c r="GZ106" s="601">
        <f t="shared" si="51"/>
        <v>0</v>
      </c>
      <c r="HA106" s="601">
        <f t="shared" si="52"/>
        <v>0</v>
      </c>
      <c r="HB106" s="601">
        <f t="shared" si="38"/>
        <v>0</v>
      </c>
      <c r="HC106" s="601">
        <f t="shared" si="39"/>
        <v>0</v>
      </c>
      <c r="HD106" s="632">
        <f t="shared" si="53"/>
        <v>0</v>
      </c>
      <c r="HE106" s="632">
        <f t="shared" si="54"/>
        <v>0</v>
      </c>
      <c r="HF106" s="601">
        <f t="shared" si="55"/>
        <v>0</v>
      </c>
      <c r="HG106" s="601">
        <f t="shared" si="56"/>
        <v>0</v>
      </c>
      <c r="HH106" s="927"/>
      <c r="HI106" s="930">
        <f t="shared" si="57"/>
        <v>0</v>
      </c>
      <c r="HJ106" s="824">
        <f t="shared" si="58"/>
        <v>0</v>
      </c>
      <c r="HK106" s="808">
        <f t="shared" si="59"/>
        <v>0</v>
      </c>
    </row>
    <row r="107" spans="2:237">
      <c r="B107" s="858"/>
      <c r="C107" s="859" t="s">
        <v>401</v>
      </c>
      <c r="D107" s="860"/>
      <c r="E107" s="550"/>
      <c r="F107" s="551"/>
      <c r="G107" s="551"/>
      <c r="H107" s="551"/>
      <c r="I107" s="576"/>
      <c r="J107" s="576"/>
      <c r="K107" s="576"/>
      <c r="L107" s="576"/>
      <c r="M107" s="576"/>
      <c r="N107" s="576"/>
      <c r="O107" s="576"/>
      <c r="P107" s="576"/>
      <c r="Q107" s="576"/>
      <c r="R107" s="576"/>
      <c r="S107" s="576"/>
      <c r="T107" s="576"/>
      <c r="U107" s="864"/>
      <c r="V107" s="576"/>
      <c r="W107" s="576"/>
      <c r="X107" s="576"/>
      <c r="Y107" s="874"/>
      <c r="Z107" s="875"/>
      <c r="AA107" s="874"/>
      <c r="AB107" s="874"/>
      <c r="AC107" s="874"/>
      <c r="AD107" s="874"/>
      <c r="AE107" s="874"/>
      <c r="AF107" s="874"/>
      <c r="AG107" s="874"/>
      <c r="AH107" s="874"/>
      <c r="AI107" s="874"/>
      <c r="AJ107" s="874"/>
      <c r="AK107" s="874"/>
      <c r="AL107" s="874"/>
      <c r="AM107" s="874"/>
      <c r="AN107" s="874"/>
      <c r="AO107" s="874"/>
      <c r="AP107" s="874"/>
      <c r="AQ107" s="576"/>
      <c r="AR107" s="576"/>
      <c r="AS107" s="576"/>
      <c r="AT107" s="576"/>
      <c r="AU107" s="576"/>
      <c r="AV107" s="576"/>
      <c r="AW107" s="576"/>
      <c r="AX107" s="576"/>
      <c r="AY107" s="576"/>
      <c r="AZ107" s="576"/>
      <c r="BA107" s="576"/>
      <c r="BB107" s="576"/>
      <c r="BC107" s="576"/>
      <c r="BD107" s="576"/>
      <c r="BE107" s="576"/>
      <c r="BF107" s="576"/>
      <c r="BG107" s="576"/>
      <c r="BH107" s="576"/>
      <c r="BI107" s="576"/>
      <c r="BJ107" s="576"/>
      <c r="BK107" s="576"/>
      <c r="BL107" s="576"/>
      <c r="BM107" s="576"/>
      <c r="BN107" s="576"/>
      <c r="BO107" s="576"/>
      <c r="BP107" s="639"/>
      <c r="BQ107" s="887">
        <f t="shared" si="16"/>
        <v>0</v>
      </c>
      <c r="BR107" s="550"/>
      <c r="BS107" s="551"/>
      <c r="BT107" s="551"/>
      <c r="BU107" s="551"/>
      <c r="BV107" s="551"/>
      <c r="BW107" s="551"/>
      <c r="BX107" s="551"/>
      <c r="BY107" s="551"/>
      <c r="BZ107" s="896"/>
      <c r="CA107" s="551"/>
      <c r="CB107" s="551"/>
      <c r="CC107" s="551"/>
      <c r="CD107" s="551"/>
      <c r="CE107" s="551"/>
      <c r="CF107" s="551"/>
      <c r="CG107" s="551"/>
      <c r="CH107" s="551"/>
      <c r="CI107" s="551"/>
      <c r="CJ107" s="551"/>
      <c r="CK107" s="551"/>
      <c r="CL107" s="551"/>
      <c r="CM107" s="551"/>
      <c r="CN107" s="551"/>
      <c r="CO107" s="551"/>
      <c r="CP107" s="551"/>
      <c r="CQ107" s="903">
        <f t="shared" si="60"/>
        <v>0</v>
      </c>
      <c r="CR107" s="850"/>
      <c r="CS107" s="851"/>
      <c r="CT107" s="851"/>
      <c r="CU107" s="851"/>
      <c r="CV107" s="912"/>
      <c r="CW107" s="912"/>
      <c r="CX107" s="912"/>
      <c r="CY107" s="851"/>
      <c r="CZ107" s="677"/>
      <c r="DA107" s="851"/>
      <c r="DB107" s="851"/>
      <c r="DC107" s="851"/>
      <c r="DD107" s="851"/>
      <c r="DE107" s="851"/>
      <c r="DF107" s="851"/>
      <c r="DG107" s="851"/>
      <c r="DH107" s="851"/>
      <c r="DI107" s="851"/>
      <c r="DJ107" s="851"/>
      <c r="DK107" s="851"/>
      <c r="DL107" s="851"/>
      <c r="DM107" s="851"/>
      <c r="DN107" s="851"/>
      <c r="DO107" s="851"/>
      <c r="DP107" s="915">
        <f t="shared" si="40"/>
        <v>0</v>
      </c>
      <c r="DQ107" s="920">
        <f t="shared" si="41"/>
        <v>0</v>
      </c>
      <c r="DR107" s="900"/>
      <c r="DS107" s="900"/>
      <c r="DT107" s="900"/>
      <c r="DU107" s="900"/>
      <c r="DV107" s="900"/>
      <c r="DW107" s="900"/>
      <c r="DX107" s="900"/>
      <c r="DY107" s="900"/>
      <c r="DZ107" s="900"/>
      <c r="EA107" s="900"/>
      <c r="EB107" s="900"/>
      <c r="EC107" s="900"/>
      <c r="ED107" s="900"/>
      <c r="EE107" s="900"/>
      <c r="EF107" s="900"/>
      <c r="EG107" s="900"/>
      <c r="EH107" s="900"/>
      <c r="EI107" s="900"/>
      <c r="EJ107" s="900"/>
      <c r="EK107" s="900"/>
      <c r="EL107" s="900"/>
      <c r="EM107" s="900"/>
      <c r="EN107" s="900"/>
      <c r="EO107" s="900"/>
      <c r="EP107" s="900"/>
      <c r="EQ107" s="900"/>
      <c r="ER107" s="900"/>
      <c r="ES107" s="900"/>
      <c r="ET107" s="900"/>
      <c r="EU107" s="900"/>
      <c r="EV107" s="900"/>
      <c r="EW107" s="900"/>
      <c r="EX107" s="900"/>
      <c r="EY107" s="900"/>
      <c r="EZ107" s="900"/>
      <c r="FA107" s="900"/>
      <c r="FB107" s="900"/>
      <c r="FC107" s="900"/>
      <c r="FD107" s="900"/>
      <c r="FE107" s="900"/>
      <c r="FF107" s="900"/>
      <c r="FG107" s="900"/>
      <c r="FH107" s="900"/>
      <c r="FI107" s="900"/>
      <c r="FJ107" s="900"/>
      <c r="FK107" s="900"/>
      <c r="FL107" s="900"/>
      <c r="FM107" s="925">
        <f t="shared" si="42"/>
        <v>0</v>
      </c>
      <c r="FN107" s="601"/>
      <c r="FO107" s="601"/>
      <c r="FP107" s="601"/>
      <c r="FQ107" s="601"/>
      <c r="FR107" s="601"/>
      <c r="FS107" s="601"/>
      <c r="FT107" s="601"/>
      <c r="FU107" s="601"/>
      <c r="FV107" s="601"/>
      <c r="FW107" s="601"/>
      <c r="FX107" s="601"/>
      <c r="FY107" s="601"/>
      <c r="FZ107" s="601"/>
      <c r="GA107" s="601"/>
      <c r="GB107" s="601"/>
      <c r="GC107" s="601">
        <f t="shared" si="43"/>
        <v>0</v>
      </c>
      <c r="GD107" s="601"/>
      <c r="GE107" s="601"/>
      <c r="GF107" s="601"/>
      <c r="GG107" s="601"/>
      <c r="GH107" s="601"/>
      <c r="GI107" s="601"/>
      <c r="GJ107" s="601"/>
      <c r="GK107" s="601"/>
      <c r="GL107" s="601"/>
      <c r="GM107" s="601"/>
      <c r="GN107" s="601"/>
      <c r="GO107" s="601"/>
      <c r="GP107" s="601"/>
      <c r="GQ107" s="601"/>
      <c r="GR107" s="601"/>
      <c r="GS107" s="601">
        <f t="shared" si="44"/>
        <v>0</v>
      </c>
      <c r="GT107" s="601">
        <f t="shared" si="45"/>
        <v>0</v>
      </c>
      <c r="GU107" s="601">
        <f t="shared" si="46"/>
        <v>0</v>
      </c>
      <c r="GV107" s="601">
        <f t="shared" si="47"/>
        <v>0</v>
      </c>
      <c r="GW107" s="601">
        <f t="shared" si="48"/>
        <v>0</v>
      </c>
      <c r="GX107" s="601">
        <f t="shared" si="49"/>
        <v>0</v>
      </c>
      <c r="GY107" s="601">
        <f t="shared" si="50"/>
        <v>0</v>
      </c>
      <c r="GZ107" s="601">
        <f t="shared" si="51"/>
        <v>0</v>
      </c>
      <c r="HA107" s="601">
        <f t="shared" si="52"/>
        <v>0</v>
      </c>
      <c r="HB107" s="601">
        <f t="shared" si="38"/>
        <v>0</v>
      </c>
      <c r="HC107" s="601">
        <f t="shared" si="39"/>
        <v>0</v>
      </c>
      <c r="HD107" s="632">
        <f t="shared" si="53"/>
        <v>0</v>
      </c>
      <c r="HE107" s="632">
        <f t="shared" si="54"/>
        <v>0</v>
      </c>
      <c r="HF107" s="601">
        <f t="shared" si="55"/>
        <v>0</v>
      </c>
      <c r="HG107" s="601">
        <f t="shared" si="56"/>
        <v>0</v>
      </c>
      <c r="HH107" s="927"/>
      <c r="HI107" s="930">
        <f t="shared" si="57"/>
        <v>0</v>
      </c>
      <c r="HJ107" s="824">
        <f t="shared" si="58"/>
        <v>0</v>
      </c>
      <c r="HK107" s="808">
        <f t="shared" si="59"/>
        <v>0</v>
      </c>
      <c r="HL107" s="324"/>
      <c r="HM107" s="324"/>
    </row>
    <row r="108" spans="2:237">
      <c r="B108" s="858"/>
      <c r="C108" s="859" t="s">
        <v>402</v>
      </c>
      <c r="D108" s="860"/>
      <c r="E108" s="550"/>
      <c r="F108" s="551"/>
      <c r="G108" s="551"/>
      <c r="H108" s="551"/>
      <c r="I108" s="576"/>
      <c r="J108" s="576"/>
      <c r="K108" s="576"/>
      <c r="L108" s="576"/>
      <c r="M108" s="576"/>
      <c r="N108" s="576"/>
      <c r="O108" s="576"/>
      <c r="P108" s="576"/>
      <c r="Q108" s="576"/>
      <c r="R108" s="576"/>
      <c r="S108" s="576"/>
      <c r="T108" s="576"/>
      <c r="U108" s="864"/>
      <c r="V108" s="576"/>
      <c r="W108" s="576"/>
      <c r="X108" s="576"/>
      <c r="Y108" s="874"/>
      <c r="Z108" s="875"/>
      <c r="AA108" s="874"/>
      <c r="AB108" s="874"/>
      <c r="AC108" s="874"/>
      <c r="AD108" s="874"/>
      <c r="AE108" s="874"/>
      <c r="AF108" s="874"/>
      <c r="AG108" s="874"/>
      <c r="AH108" s="874"/>
      <c r="AI108" s="874"/>
      <c r="AJ108" s="874"/>
      <c r="AK108" s="874"/>
      <c r="AL108" s="874"/>
      <c r="AM108" s="874"/>
      <c r="AN108" s="874"/>
      <c r="AO108" s="874"/>
      <c r="AP108" s="874"/>
      <c r="AQ108" s="576"/>
      <c r="AR108" s="576"/>
      <c r="AS108" s="576"/>
      <c r="AT108" s="576"/>
      <c r="AU108" s="576"/>
      <c r="AV108" s="576"/>
      <c r="AW108" s="576"/>
      <c r="AX108" s="576"/>
      <c r="AY108" s="576"/>
      <c r="AZ108" s="576"/>
      <c r="BA108" s="576"/>
      <c r="BB108" s="576"/>
      <c r="BC108" s="576"/>
      <c r="BD108" s="576"/>
      <c r="BE108" s="576"/>
      <c r="BF108" s="576"/>
      <c r="BG108" s="576"/>
      <c r="BH108" s="576"/>
      <c r="BI108" s="576"/>
      <c r="BJ108" s="576"/>
      <c r="BK108" s="576"/>
      <c r="BL108" s="576"/>
      <c r="BM108" s="576"/>
      <c r="BN108" s="576"/>
      <c r="BO108" s="576"/>
      <c r="BP108" s="639"/>
      <c r="BQ108" s="887">
        <f t="shared" si="16"/>
        <v>0</v>
      </c>
      <c r="BR108" s="550"/>
      <c r="BS108" s="551"/>
      <c r="BT108" s="551"/>
      <c r="BU108" s="551"/>
      <c r="BV108" s="551"/>
      <c r="BW108" s="551"/>
      <c r="BX108" s="551"/>
      <c r="BY108" s="551"/>
      <c r="BZ108" s="896"/>
      <c r="CA108" s="551"/>
      <c r="CB108" s="551"/>
      <c r="CC108" s="551"/>
      <c r="CD108" s="551"/>
      <c r="CE108" s="551"/>
      <c r="CF108" s="551"/>
      <c r="CG108" s="551"/>
      <c r="CH108" s="551"/>
      <c r="CI108" s="551"/>
      <c r="CJ108" s="551"/>
      <c r="CK108" s="551"/>
      <c r="CL108" s="551"/>
      <c r="CM108" s="551"/>
      <c r="CN108" s="551"/>
      <c r="CO108" s="551"/>
      <c r="CP108" s="551"/>
      <c r="CQ108" s="903">
        <f t="shared" si="60"/>
        <v>0</v>
      </c>
      <c r="CR108" s="850"/>
      <c r="CS108" s="851"/>
      <c r="CT108" s="851"/>
      <c r="CU108" s="851"/>
      <c r="CV108" s="912"/>
      <c r="CW108" s="912"/>
      <c r="CX108" s="912"/>
      <c r="CY108" s="851"/>
      <c r="CZ108" s="677"/>
      <c r="DA108" s="851"/>
      <c r="DB108" s="851"/>
      <c r="DC108" s="851"/>
      <c r="DD108" s="851"/>
      <c r="DE108" s="851"/>
      <c r="DF108" s="851"/>
      <c r="DG108" s="851"/>
      <c r="DH108" s="851"/>
      <c r="DI108" s="851"/>
      <c r="DJ108" s="851"/>
      <c r="DK108" s="851"/>
      <c r="DL108" s="851"/>
      <c r="DM108" s="851"/>
      <c r="DN108" s="851"/>
      <c r="DO108" s="851"/>
      <c r="DP108" s="915">
        <f t="shared" si="40"/>
        <v>0</v>
      </c>
      <c r="DQ108" s="920">
        <f t="shared" si="41"/>
        <v>0</v>
      </c>
      <c r="DR108" s="900"/>
      <c r="DS108" s="900"/>
      <c r="DT108" s="900"/>
      <c r="DU108" s="900"/>
      <c r="DV108" s="900"/>
      <c r="DW108" s="900"/>
      <c r="DX108" s="900"/>
      <c r="DY108" s="900"/>
      <c r="DZ108" s="900"/>
      <c r="EA108" s="900"/>
      <c r="EB108" s="900"/>
      <c r="EC108" s="900"/>
      <c r="ED108" s="900"/>
      <c r="EE108" s="900"/>
      <c r="EF108" s="900"/>
      <c r="EG108" s="900"/>
      <c r="EH108" s="900"/>
      <c r="EI108" s="900"/>
      <c r="EJ108" s="900"/>
      <c r="EK108" s="900"/>
      <c r="EL108" s="900"/>
      <c r="EM108" s="900"/>
      <c r="EN108" s="900"/>
      <c r="EO108" s="900"/>
      <c r="EP108" s="900"/>
      <c r="EQ108" s="900"/>
      <c r="ER108" s="900"/>
      <c r="ES108" s="900"/>
      <c r="ET108" s="900"/>
      <c r="EU108" s="900"/>
      <c r="EV108" s="900"/>
      <c r="EW108" s="900"/>
      <c r="EX108" s="900"/>
      <c r="EY108" s="900"/>
      <c r="EZ108" s="900"/>
      <c r="FA108" s="900"/>
      <c r="FB108" s="900"/>
      <c r="FC108" s="900"/>
      <c r="FD108" s="900"/>
      <c r="FE108" s="900"/>
      <c r="FF108" s="900"/>
      <c r="FG108" s="900"/>
      <c r="FH108" s="900"/>
      <c r="FI108" s="900"/>
      <c r="FJ108" s="900"/>
      <c r="FK108" s="900"/>
      <c r="FL108" s="900"/>
      <c r="FM108" s="925">
        <f t="shared" si="42"/>
        <v>0</v>
      </c>
      <c r="FN108" s="601"/>
      <c r="FO108" s="601"/>
      <c r="FP108" s="601"/>
      <c r="FQ108" s="601"/>
      <c r="FR108" s="601"/>
      <c r="FS108" s="601"/>
      <c r="FT108" s="601"/>
      <c r="FU108" s="601"/>
      <c r="FV108" s="601"/>
      <c r="FW108" s="601"/>
      <c r="FX108" s="601"/>
      <c r="FY108" s="601"/>
      <c r="FZ108" s="601"/>
      <c r="GA108" s="601"/>
      <c r="GB108" s="601"/>
      <c r="GC108" s="601">
        <f t="shared" si="43"/>
        <v>0</v>
      </c>
      <c r="GD108" s="601"/>
      <c r="GE108" s="601"/>
      <c r="GF108" s="601"/>
      <c r="GG108" s="601"/>
      <c r="GH108" s="601"/>
      <c r="GI108" s="601"/>
      <c r="GJ108" s="601"/>
      <c r="GK108" s="601"/>
      <c r="GL108" s="601"/>
      <c r="GM108" s="601"/>
      <c r="GN108" s="601"/>
      <c r="GO108" s="601"/>
      <c r="GP108" s="601"/>
      <c r="GQ108" s="601"/>
      <c r="GR108" s="601"/>
      <c r="GS108" s="601">
        <f t="shared" si="44"/>
        <v>0</v>
      </c>
      <c r="GT108" s="601">
        <f t="shared" si="45"/>
        <v>0</v>
      </c>
      <c r="GU108" s="601">
        <f t="shared" si="46"/>
        <v>0</v>
      </c>
      <c r="GV108" s="601">
        <f t="shared" si="47"/>
        <v>0</v>
      </c>
      <c r="GW108" s="601">
        <f t="shared" si="48"/>
        <v>0</v>
      </c>
      <c r="GX108" s="601">
        <f t="shared" si="49"/>
        <v>0</v>
      </c>
      <c r="GY108" s="601">
        <f t="shared" si="50"/>
        <v>0</v>
      </c>
      <c r="GZ108" s="601">
        <f t="shared" si="51"/>
        <v>0</v>
      </c>
      <c r="HA108" s="601">
        <f t="shared" si="52"/>
        <v>0</v>
      </c>
      <c r="HB108" s="601">
        <f t="shared" si="38"/>
        <v>0</v>
      </c>
      <c r="HC108" s="601">
        <f t="shared" si="39"/>
        <v>0</v>
      </c>
      <c r="HD108" s="632">
        <f t="shared" si="53"/>
        <v>0</v>
      </c>
      <c r="HE108" s="632">
        <f t="shared" si="54"/>
        <v>0</v>
      </c>
      <c r="HF108" s="601">
        <f t="shared" si="55"/>
        <v>0</v>
      </c>
      <c r="HG108" s="601">
        <f t="shared" si="56"/>
        <v>0</v>
      </c>
      <c r="HH108" s="927"/>
      <c r="HI108" s="930">
        <f t="shared" si="57"/>
        <v>0</v>
      </c>
      <c r="HJ108" s="824">
        <f t="shared" si="58"/>
        <v>0</v>
      </c>
      <c r="HK108" s="808">
        <f t="shared" si="59"/>
        <v>0</v>
      </c>
      <c r="HL108" s="946"/>
      <c r="HM108" s="946"/>
    </row>
    <row r="109" spans="2:237">
      <c r="B109" s="858"/>
      <c r="C109" s="859" t="s">
        <v>403</v>
      </c>
      <c r="D109" s="860"/>
      <c r="E109" s="550"/>
      <c r="F109" s="551"/>
      <c r="G109" s="551"/>
      <c r="H109" s="551"/>
      <c r="I109" s="576"/>
      <c r="J109" s="576"/>
      <c r="K109" s="576"/>
      <c r="L109" s="576"/>
      <c r="M109" s="576"/>
      <c r="N109" s="576"/>
      <c r="O109" s="576"/>
      <c r="P109" s="576"/>
      <c r="Q109" s="576"/>
      <c r="R109" s="576"/>
      <c r="S109" s="576"/>
      <c r="T109" s="576"/>
      <c r="U109" s="864"/>
      <c r="V109" s="576"/>
      <c r="W109" s="576"/>
      <c r="X109" s="576"/>
      <c r="Y109" s="874"/>
      <c r="Z109" s="875"/>
      <c r="AA109" s="874"/>
      <c r="AB109" s="874"/>
      <c r="AC109" s="874"/>
      <c r="AD109" s="874"/>
      <c r="AE109" s="874"/>
      <c r="AF109" s="874"/>
      <c r="AG109" s="874"/>
      <c r="AH109" s="874"/>
      <c r="AI109" s="874"/>
      <c r="AJ109" s="874"/>
      <c r="AK109" s="874"/>
      <c r="AL109" s="874"/>
      <c r="AM109" s="874"/>
      <c r="AN109" s="874"/>
      <c r="AO109" s="874"/>
      <c r="AP109" s="874"/>
      <c r="AQ109" s="576"/>
      <c r="AR109" s="576"/>
      <c r="AS109" s="576"/>
      <c r="AT109" s="576"/>
      <c r="AU109" s="576"/>
      <c r="AV109" s="576"/>
      <c r="AW109" s="576"/>
      <c r="AX109" s="576"/>
      <c r="AY109" s="576"/>
      <c r="AZ109" s="576"/>
      <c r="BA109" s="576"/>
      <c r="BB109" s="576"/>
      <c r="BC109" s="576"/>
      <c r="BD109" s="576"/>
      <c r="BE109" s="576"/>
      <c r="BF109" s="576"/>
      <c r="BG109" s="576"/>
      <c r="BH109" s="576"/>
      <c r="BI109" s="576"/>
      <c r="BJ109" s="576"/>
      <c r="BK109" s="576"/>
      <c r="BL109" s="576"/>
      <c r="BM109" s="576"/>
      <c r="BN109" s="576"/>
      <c r="BO109" s="576"/>
      <c r="BP109" s="639"/>
      <c r="BQ109" s="887">
        <f t="shared" si="16"/>
        <v>0</v>
      </c>
      <c r="BR109" s="550"/>
      <c r="BS109" s="551"/>
      <c r="BT109" s="551"/>
      <c r="BU109" s="551"/>
      <c r="BV109" s="551"/>
      <c r="BW109" s="551"/>
      <c r="BX109" s="551"/>
      <c r="BY109" s="551"/>
      <c r="BZ109" s="896"/>
      <c r="CA109" s="551"/>
      <c r="CB109" s="551"/>
      <c r="CC109" s="551"/>
      <c r="CD109" s="551"/>
      <c r="CE109" s="551"/>
      <c r="CF109" s="551"/>
      <c r="CG109" s="551"/>
      <c r="CH109" s="551"/>
      <c r="CI109" s="551"/>
      <c r="CJ109" s="551"/>
      <c r="CK109" s="551"/>
      <c r="CL109" s="551"/>
      <c r="CM109" s="551"/>
      <c r="CN109" s="551"/>
      <c r="CO109" s="551"/>
      <c r="CP109" s="551"/>
      <c r="CQ109" s="903">
        <f t="shared" si="60"/>
        <v>0</v>
      </c>
      <c r="CR109" s="850"/>
      <c r="CS109" s="851"/>
      <c r="CT109" s="851"/>
      <c r="CU109" s="851"/>
      <c r="CV109" s="912"/>
      <c r="CW109" s="912"/>
      <c r="CX109" s="912"/>
      <c r="CY109" s="851"/>
      <c r="CZ109" s="677"/>
      <c r="DA109" s="851"/>
      <c r="DB109" s="851"/>
      <c r="DC109" s="851"/>
      <c r="DD109" s="851"/>
      <c r="DE109" s="851"/>
      <c r="DF109" s="851"/>
      <c r="DG109" s="851"/>
      <c r="DH109" s="851"/>
      <c r="DI109" s="851"/>
      <c r="DJ109" s="851"/>
      <c r="DK109" s="851"/>
      <c r="DL109" s="851"/>
      <c r="DM109" s="851"/>
      <c r="DN109" s="851"/>
      <c r="DO109" s="851"/>
      <c r="DP109" s="915">
        <f t="shared" si="40"/>
        <v>0</v>
      </c>
      <c r="DQ109" s="920">
        <f t="shared" si="41"/>
        <v>0</v>
      </c>
      <c r="DR109" s="900"/>
      <c r="DS109" s="900"/>
      <c r="DT109" s="900"/>
      <c r="DU109" s="900"/>
      <c r="DV109" s="900"/>
      <c r="DW109" s="900"/>
      <c r="DX109" s="900"/>
      <c r="DY109" s="900"/>
      <c r="DZ109" s="900"/>
      <c r="EA109" s="900"/>
      <c r="EB109" s="900"/>
      <c r="EC109" s="900"/>
      <c r="ED109" s="900"/>
      <c r="EE109" s="900"/>
      <c r="EF109" s="900"/>
      <c r="EG109" s="900"/>
      <c r="EH109" s="900"/>
      <c r="EI109" s="900"/>
      <c r="EJ109" s="900"/>
      <c r="EK109" s="900"/>
      <c r="EL109" s="900"/>
      <c r="EM109" s="900"/>
      <c r="EN109" s="900"/>
      <c r="EO109" s="900"/>
      <c r="EP109" s="900"/>
      <c r="EQ109" s="900"/>
      <c r="ER109" s="900"/>
      <c r="ES109" s="900"/>
      <c r="ET109" s="900"/>
      <c r="EU109" s="900"/>
      <c r="EV109" s="900"/>
      <c r="EW109" s="900"/>
      <c r="EX109" s="900"/>
      <c r="EY109" s="900"/>
      <c r="EZ109" s="900"/>
      <c r="FA109" s="900"/>
      <c r="FB109" s="900"/>
      <c r="FC109" s="900"/>
      <c r="FD109" s="900"/>
      <c r="FE109" s="900"/>
      <c r="FF109" s="900"/>
      <c r="FG109" s="900"/>
      <c r="FH109" s="900"/>
      <c r="FI109" s="900"/>
      <c r="FJ109" s="900"/>
      <c r="FK109" s="900"/>
      <c r="FL109" s="900"/>
      <c r="FM109" s="925">
        <f t="shared" si="42"/>
        <v>0</v>
      </c>
      <c r="FN109" s="601"/>
      <c r="FO109" s="601"/>
      <c r="FP109" s="601"/>
      <c r="FQ109" s="601"/>
      <c r="FR109" s="601"/>
      <c r="FS109" s="601"/>
      <c r="FT109" s="601"/>
      <c r="FU109" s="601"/>
      <c r="FV109" s="601"/>
      <c r="FW109" s="601"/>
      <c r="FX109" s="601"/>
      <c r="FY109" s="601"/>
      <c r="FZ109" s="601"/>
      <c r="GA109" s="601"/>
      <c r="GB109" s="601"/>
      <c r="GC109" s="601">
        <f t="shared" si="43"/>
        <v>0</v>
      </c>
      <c r="GD109" s="601"/>
      <c r="GE109" s="601"/>
      <c r="GF109" s="601"/>
      <c r="GG109" s="601"/>
      <c r="GH109" s="601"/>
      <c r="GI109" s="601"/>
      <c r="GJ109" s="601"/>
      <c r="GK109" s="601"/>
      <c r="GL109" s="601"/>
      <c r="GM109" s="601"/>
      <c r="GN109" s="601"/>
      <c r="GO109" s="601"/>
      <c r="GP109" s="601"/>
      <c r="GQ109" s="601"/>
      <c r="GR109" s="601"/>
      <c r="GS109" s="601">
        <f t="shared" si="44"/>
        <v>0</v>
      </c>
      <c r="GT109" s="601">
        <f t="shared" si="45"/>
        <v>0</v>
      </c>
      <c r="GU109" s="601">
        <f t="shared" si="46"/>
        <v>0</v>
      </c>
      <c r="GV109" s="601">
        <f t="shared" si="47"/>
        <v>0</v>
      </c>
      <c r="GW109" s="601">
        <f t="shared" si="48"/>
        <v>0</v>
      </c>
      <c r="GX109" s="601">
        <f t="shared" si="49"/>
        <v>0</v>
      </c>
      <c r="GY109" s="601">
        <f t="shared" si="50"/>
        <v>0</v>
      </c>
      <c r="GZ109" s="601">
        <f t="shared" si="51"/>
        <v>0</v>
      </c>
      <c r="HA109" s="601">
        <f t="shared" si="52"/>
        <v>0</v>
      </c>
      <c r="HB109" s="601">
        <f t="shared" si="38"/>
        <v>0</v>
      </c>
      <c r="HC109" s="601">
        <f t="shared" si="39"/>
        <v>0</v>
      </c>
      <c r="HD109" s="632">
        <f t="shared" si="53"/>
        <v>0</v>
      </c>
      <c r="HE109" s="632">
        <f t="shared" si="54"/>
        <v>0</v>
      </c>
      <c r="HF109" s="601">
        <f t="shared" si="55"/>
        <v>0</v>
      </c>
      <c r="HG109" s="601">
        <f t="shared" si="56"/>
        <v>0</v>
      </c>
      <c r="HH109" s="927"/>
      <c r="HI109" s="930">
        <v>20</v>
      </c>
      <c r="HJ109" s="824">
        <f t="shared" si="58"/>
        <v>20</v>
      </c>
      <c r="HK109" s="808">
        <f t="shared" si="59"/>
        <v>0.83333333333333337</v>
      </c>
      <c r="HL109" s="946"/>
      <c r="HM109" s="946"/>
    </row>
    <row r="110" spans="2:237">
      <c r="B110" s="861"/>
      <c r="C110" s="862" t="s">
        <v>404</v>
      </c>
      <c r="D110" s="863"/>
      <c r="E110" s="549"/>
      <c r="F110" s="540"/>
      <c r="G110" s="540"/>
      <c r="H110" s="540"/>
      <c r="I110" s="573"/>
      <c r="J110" s="573"/>
      <c r="K110" s="573"/>
      <c r="L110" s="573"/>
      <c r="M110" s="573"/>
      <c r="N110" s="573"/>
      <c r="O110" s="573"/>
      <c r="P110" s="573"/>
      <c r="Q110" s="573"/>
      <c r="R110" s="573"/>
      <c r="S110" s="573"/>
      <c r="T110" s="573"/>
      <c r="U110" s="867"/>
      <c r="V110" s="573"/>
      <c r="W110" s="573"/>
      <c r="X110" s="573"/>
      <c r="Y110" s="584"/>
      <c r="Z110" s="876"/>
      <c r="AA110" s="584"/>
      <c r="AB110" s="584"/>
      <c r="AC110" s="584"/>
      <c r="AD110" s="584"/>
      <c r="AE110" s="584"/>
      <c r="AF110" s="584"/>
      <c r="AG110" s="584"/>
      <c r="AH110" s="584"/>
      <c r="AI110" s="584"/>
      <c r="AJ110" s="584"/>
      <c r="AK110" s="584"/>
      <c r="AL110" s="584"/>
      <c r="AM110" s="584"/>
      <c r="AN110" s="584"/>
      <c r="AO110" s="584"/>
      <c r="AP110" s="584"/>
      <c r="AQ110" s="573"/>
      <c r="AR110" s="573"/>
      <c r="AS110" s="573"/>
      <c r="AT110" s="573"/>
      <c r="AU110" s="573"/>
      <c r="AV110" s="573"/>
      <c r="AW110" s="573"/>
      <c r="AX110" s="573"/>
      <c r="AY110" s="573"/>
      <c r="AZ110" s="573"/>
      <c r="BA110" s="573"/>
      <c r="BB110" s="573"/>
      <c r="BC110" s="573"/>
      <c r="BD110" s="573"/>
      <c r="BE110" s="573"/>
      <c r="BF110" s="573"/>
      <c r="BG110" s="573"/>
      <c r="BH110" s="573"/>
      <c r="BI110" s="573"/>
      <c r="BJ110" s="573"/>
      <c r="BK110" s="573"/>
      <c r="BL110" s="573"/>
      <c r="BM110" s="573"/>
      <c r="BN110" s="573"/>
      <c r="BO110" s="573"/>
      <c r="BP110" s="640"/>
      <c r="BQ110" s="885">
        <f t="shared" si="16"/>
        <v>0</v>
      </c>
      <c r="BR110" s="549"/>
      <c r="BS110" s="540"/>
      <c r="BT110" s="540"/>
      <c r="BU110" s="540"/>
      <c r="BV110" s="540"/>
      <c r="BW110" s="540"/>
      <c r="BX110" s="540"/>
      <c r="BY110" s="540"/>
      <c r="BZ110" s="897"/>
      <c r="CA110" s="540"/>
      <c r="CB110" s="540"/>
      <c r="CC110" s="540"/>
      <c r="CD110" s="540"/>
      <c r="CE110" s="540"/>
      <c r="CF110" s="540"/>
      <c r="CG110" s="540"/>
      <c r="CH110" s="540"/>
      <c r="CI110" s="540"/>
      <c r="CJ110" s="540"/>
      <c r="CK110" s="540"/>
      <c r="CL110" s="540"/>
      <c r="CM110" s="540"/>
      <c r="CN110" s="540"/>
      <c r="CO110" s="540"/>
      <c r="CP110" s="540"/>
      <c r="CQ110" s="904">
        <f t="shared" si="60"/>
        <v>0</v>
      </c>
      <c r="CR110" s="905"/>
      <c r="CS110" s="913"/>
      <c r="CT110" s="913"/>
      <c r="CU110" s="913"/>
      <c r="CV110" s="914"/>
      <c r="CW110" s="914"/>
      <c r="CX110" s="914"/>
      <c r="CY110" s="913"/>
      <c r="CZ110" s="683"/>
      <c r="DA110" s="913"/>
      <c r="DB110" s="913"/>
      <c r="DC110" s="913"/>
      <c r="DD110" s="913"/>
      <c r="DE110" s="913"/>
      <c r="DF110" s="913"/>
      <c r="DG110" s="913"/>
      <c r="DH110" s="913"/>
      <c r="DI110" s="913"/>
      <c r="DJ110" s="913"/>
      <c r="DK110" s="913"/>
      <c r="DL110" s="913"/>
      <c r="DM110" s="913"/>
      <c r="DN110" s="913"/>
      <c r="DO110" s="913"/>
      <c r="DP110" s="917">
        <f t="shared" si="40"/>
        <v>0</v>
      </c>
      <c r="DQ110" s="735">
        <f t="shared" si="41"/>
        <v>0</v>
      </c>
      <c r="DR110" s="913"/>
      <c r="DS110" s="913"/>
      <c r="DT110" s="913"/>
      <c r="DU110" s="913"/>
      <c r="DV110" s="913"/>
      <c r="DW110" s="913"/>
      <c r="DX110" s="913"/>
      <c r="DY110" s="913"/>
      <c r="DZ110" s="913"/>
      <c r="EA110" s="913"/>
      <c r="EB110" s="913"/>
      <c r="EC110" s="913"/>
      <c r="ED110" s="913"/>
      <c r="EE110" s="913"/>
      <c r="EF110" s="913"/>
      <c r="EG110" s="913"/>
      <c r="EH110" s="913"/>
      <c r="EI110" s="913"/>
      <c r="EJ110" s="913"/>
      <c r="EK110" s="913"/>
      <c r="EL110" s="913"/>
      <c r="EM110" s="913"/>
      <c r="EN110" s="913"/>
      <c r="EO110" s="913"/>
      <c r="EP110" s="913"/>
      <c r="EQ110" s="913"/>
      <c r="ER110" s="913"/>
      <c r="ES110" s="913"/>
      <c r="ET110" s="913"/>
      <c r="EU110" s="913"/>
      <c r="EV110" s="913"/>
      <c r="EW110" s="913"/>
      <c r="EX110" s="913"/>
      <c r="EY110" s="913"/>
      <c r="EZ110" s="913"/>
      <c r="FA110" s="913"/>
      <c r="FB110" s="913"/>
      <c r="FC110" s="913"/>
      <c r="FD110" s="913"/>
      <c r="FE110" s="913"/>
      <c r="FF110" s="913"/>
      <c r="FG110" s="913"/>
      <c r="FH110" s="913"/>
      <c r="FI110" s="913"/>
      <c r="FJ110" s="913"/>
      <c r="FK110" s="913"/>
      <c r="FL110" s="913"/>
      <c r="FM110" s="758">
        <f t="shared" si="42"/>
        <v>0</v>
      </c>
      <c r="FN110" s="540"/>
      <c r="FO110" s="540"/>
      <c r="FP110" s="540"/>
      <c r="FQ110" s="540"/>
      <c r="FR110" s="540"/>
      <c r="FS110" s="540"/>
      <c r="FT110" s="540"/>
      <c r="FU110" s="540"/>
      <c r="FV110" s="540"/>
      <c r="FW110" s="540"/>
      <c r="FX110" s="540"/>
      <c r="FY110" s="540"/>
      <c r="FZ110" s="540"/>
      <c r="GA110" s="540"/>
      <c r="GB110" s="540"/>
      <c r="GC110" s="540">
        <f t="shared" si="43"/>
        <v>0</v>
      </c>
      <c r="GD110" s="540"/>
      <c r="GE110" s="540"/>
      <c r="GF110" s="540"/>
      <c r="GG110" s="540"/>
      <c r="GH110" s="540"/>
      <c r="GI110" s="540"/>
      <c r="GJ110" s="540"/>
      <c r="GK110" s="540"/>
      <c r="GL110" s="540"/>
      <c r="GM110" s="540"/>
      <c r="GN110" s="540"/>
      <c r="GO110" s="540"/>
      <c r="GP110" s="540"/>
      <c r="GQ110" s="540"/>
      <c r="GR110" s="540"/>
      <c r="GS110" s="540">
        <f t="shared" si="44"/>
        <v>0</v>
      </c>
      <c r="GT110" s="540">
        <f t="shared" si="45"/>
        <v>0</v>
      </c>
      <c r="GU110" s="540">
        <f t="shared" si="46"/>
        <v>0</v>
      </c>
      <c r="GV110" s="540">
        <f t="shared" si="47"/>
        <v>0</v>
      </c>
      <c r="GW110" s="540">
        <f t="shared" si="48"/>
        <v>0</v>
      </c>
      <c r="GX110" s="540">
        <f t="shared" si="49"/>
        <v>0</v>
      </c>
      <c r="GY110" s="540">
        <f t="shared" si="50"/>
        <v>0</v>
      </c>
      <c r="GZ110" s="540">
        <f t="shared" si="51"/>
        <v>0</v>
      </c>
      <c r="HA110" s="540">
        <f t="shared" si="52"/>
        <v>0</v>
      </c>
      <c r="HB110" s="540">
        <f t="shared" si="38"/>
        <v>0</v>
      </c>
      <c r="HC110" s="540">
        <f t="shared" si="39"/>
        <v>0</v>
      </c>
      <c r="HD110" s="619">
        <f t="shared" si="53"/>
        <v>0</v>
      </c>
      <c r="HE110" s="619">
        <f t="shared" si="54"/>
        <v>0</v>
      </c>
      <c r="HF110" s="540">
        <f t="shared" si="55"/>
        <v>0</v>
      </c>
      <c r="HG110" s="540">
        <f t="shared" si="56"/>
        <v>0</v>
      </c>
      <c r="HH110" s="929"/>
      <c r="HI110" s="806">
        <f>5*60</f>
        <v>300</v>
      </c>
      <c r="HJ110" s="947">
        <f t="shared" si="58"/>
        <v>300</v>
      </c>
      <c r="HK110" s="932">
        <f t="shared" si="59"/>
        <v>12.5</v>
      </c>
      <c r="HL110" s="946"/>
      <c r="HM110" s="946"/>
    </row>
    <row r="111" spans="2:237">
      <c r="Y111" s="877"/>
      <c r="Z111" s="877"/>
      <c r="AA111" s="877"/>
      <c r="AB111" s="877"/>
      <c r="AC111" s="877"/>
      <c r="AD111" s="877"/>
      <c r="AE111" s="877"/>
      <c r="AF111" s="877"/>
      <c r="AG111" s="877"/>
      <c r="AH111" s="877"/>
      <c r="AI111" s="877"/>
      <c r="AJ111" s="877"/>
      <c r="AK111" s="877"/>
      <c r="AL111" s="877"/>
      <c r="AM111" s="877"/>
      <c r="AN111" s="877"/>
      <c r="AO111" s="877"/>
      <c r="AP111" s="877"/>
      <c r="HK111" s="948"/>
      <c r="HL111" s="946"/>
      <c r="HM111" s="946"/>
    </row>
    <row r="112" spans="2:237">
      <c r="Y112" s="877"/>
      <c r="Z112" s="877"/>
      <c r="AA112" s="877"/>
      <c r="AB112" s="877"/>
      <c r="AC112" s="877"/>
      <c r="AD112" s="877"/>
      <c r="AE112" s="877"/>
      <c r="AF112" s="877"/>
      <c r="AG112" s="877"/>
      <c r="AH112" s="877"/>
      <c r="AI112" s="877"/>
      <c r="AJ112" s="877"/>
      <c r="AK112" s="877"/>
      <c r="AL112" s="877"/>
      <c r="AM112" s="877"/>
      <c r="AN112" s="877"/>
      <c r="AO112" s="877"/>
      <c r="AP112" s="877"/>
      <c r="HK112" s="949"/>
      <c r="HL112" s="946"/>
      <c r="HM112" s="946"/>
    </row>
    <row r="113" spans="25:237">
      <c r="Y113" s="877"/>
      <c r="Z113" s="877"/>
      <c r="AA113" s="877"/>
      <c r="AB113" s="877"/>
      <c r="AC113" s="877"/>
      <c r="AD113" s="877"/>
      <c r="AE113" s="877"/>
      <c r="AF113" s="877"/>
      <c r="AG113" s="877"/>
      <c r="AH113" s="877"/>
      <c r="AI113" s="877"/>
      <c r="AJ113" s="877"/>
      <c r="AK113" s="877"/>
      <c r="AL113" s="877"/>
      <c r="AM113" s="877"/>
      <c r="AN113" s="877"/>
      <c r="AO113" s="877"/>
      <c r="AP113" s="877"/>
    </row>
    <row r="114" spans="25:237" ht="18.75">
      <c r="Y114" s="877"/>
      <c r="Z114" s="877"/>
      <c r="AA114" s="877"/>
      <c r="AB114" s="877"/>
      <c r="AC114" s="877"/>
      <c r="AD114" s="877"/>
      <c r="AE114" s="877"/>
      <c r="AF114" s="877"/>
      <c r="AG114" s="877"/>
      <c r="AH114" s="877"/>
      <c r="AI114" s="877"/>
      <c r="AJ114" s="877"/>
      <c r="AK114" s="877"/>
      <c r="AL114" s="877"/>
      <c r="AM114" s="877"/>
      <c r="AN114" s="877"/>
      <c r="AO114" s="877"/>
      <c r="AP114" s="877"/>
      <c r="HK114" s="1958"/>
      <c r="HL114" s="1958"/>
      <c r="HM114" s="1958"/>
      <c r="HN114" s="1958"/>
      <c r="HO114" s="1958"/>
      <c r="HP114" s="1958"/>
      <c r="HQ114" s="1958"/>
      <c r="HR114" s="1958"/>
      <c r="HS114" s="1958"/>
      <c r="HU114" s="1958"/>
      <c r="HV114" s="1958"/>
      <c r="HW114" s="1958"/>
      <c r="HX114" s="1958"/>
      <c r="HY114" s="1958"/>
      <c r="HZ114" s="1958"/>
      <c r="IA114" s="1958"/>
      <c r="IB114" s="1958"/>
      <c r="IC114" s="354"/>
    </row>
    <row r="115" spans="25:237">
      <c r="Y115" s="877"/>
      <c r="Z115" s="877"/>
      <c r="AA115" s="877"/>
      <c r="AB115" s="877"/>
      <c r="AC115" s="877"/>
      <c r="AD115" s="877"/>
      <c r="AE115" s="877"/>
      <c r="AF115" s="877"/>
      <c r="AG115" s="877"/>
      <c r="AH115" s="877"/>
      <c r="AI115" s="877"/>
      <c r="AJ115" s="877"/>
      <c r="AK115" s="877"/>
      <c r="AL115" s="877"/>
      <c r="AM115" s="877"/>
      <c r="AN115" s="877"/>
      <c r="AO115" s="877"/>
      <c r="AP115" s="877"/>
      <c r="HK115" s="1957"/>
      <c r="HL115" s="1957"/>
      <c r="HM115" s="1959"/>
      <c r="HN115" s="1959"/>
      <c r="HO115" s="1959"/>
      <c r="HP115" s="1959"/>
      <c r="HQ115" s="1959"/>
      <c r="HR115" s="1959"/>
      <c r="HS115" s="1959"/>
      <c r="HU115" s="1957"/>
      <c r="HV115" s="1960"/>
      <c r="HW115" s="1959"/>
      <c r="HX115" s="1959"/>
      <c r="HY115" s="1959"/>
      <c r="HZ115" s="1959"/>
      <c r="IA115" s="1959"/>
      <c r="IB115" s="1959"/>
      <c r="IC115" s="943"/>
    </row>
    <row r="116" spans="25:237">
      <c r="HK116" s="1957"/>
      <c r="HL116" s="1957"/>
      <c r="HM116" s="942"/>
      <c r="HN116" s="943"/>
      <c r="HO116" s="943"/>
      <c r="HP116" s="942"/>
      <c r="HQ116" s="944"/>
      <c r="HR116" s="942"/>
      <c r="HS116" s="942"/>
      <c r="HU116" s="1957"/>
      <c r="HV116" s="1960"/>
      <c r="HW116" s="942"/>
      <c r="HX116" s="943"/>
      <c r="HY116" s="943"/>
      <c r="HZ116" s="942"/>
      <c r="IA116" s="942"/>
      <c r="IB116" s="942"/>
      <c r="IC116" s="942"/>
    </row>
    <row r="117" spans="25:237">
      <c r="HK117" s="478"/>
      <c r="HL117" s="950"/>
      <c r="HM117" s="950"/>
      <c r="HN117" s="950"/>
      <c r="HO117" s="950"/>
      <c r="HP117" s="825"/>
      <c r="HQ117" s="825"/>
      <c r="HR117" s="825"/>
      <c r="HS117" s="825"/>
      <c r="HU117" s="950"/>
      <c r="HV117" s="950"/>
      <c r="HW117" s="950"/>
      <c r="HX117" s="950"/>
      <c r="HY117" s="950"/>
      <c r="HZ117" s="825"/>
      <c r="IA117" s="825"/>
      <c r="IB117" s="955"/>
      <c r="IC117" s="955"/>
    </row>
    <row r="118" spans="25:237">
      <c r="HK118" s="478"/>
      <c r="HL118" s="951"/>
      <c r="HM118" s="825"/>
      <c r="HN118" s="825"/>
      <c r="HO118" s="825"/>
      <c r="HP118" s="825"/>
      <c r="HQ118" s="825"/>
      <c r="HR118" s="825"/>
      <c r="HS118" s="825"/>
      <c r="HU118" s="950"/>
      <c r="HV118" s="950"/>
      <c r="HW118" s="825"/>
      <c r="HX118" s="954"/>
      <c r="HY118" s="825"/>
      <c r="HZ118" s="825"/>
      <c r="IA118" s="825"/>
      <c r="IB118" s="825"/>
      <c r="IC118" s="825"/>
    </row>
    <row r="119" spans="25:237">
      <c r="HK119" s="478"/>
      <c r="HL119" s="951"/>
      <c r="HM119" s="952"/>
      <c r="HN119" s="952"/>
      <c r="HO119" s="952"/>
      <c r="HP119" s="952"/>
      <c r="HQ119" s="952"/>
      <c r="HR119" s="952"/>
      <c r="HS119" s="952"/>
      <c r="HU119" s="950"/>
      <c r="HV119" s="950"/>
      <c r="HW119" s="952"/>
      <c r="HX119" s="952"/>
      <c r="HY119" s="952"/>
      <c r="HZ119" s="952"/>
      <c r="IA119" s="952"/>
      <c r="IB119" s="952"/>
      <c r="IC119" s="952"/>
    </row>
    <row r="130" spans="95:95">
      <c r="CQ130" s="479"/>
    </row>
  </sheetData>
  <sheetProtection algorithmName="SHA-512" hashValue="QAtoVgTpEHGX3GlgcTGXQSywbkr/5UbAoJbmwCgCsdL4chiBpK1ckPd/xzkZvX8fhoKAf6utjd2JU174lxOpCg==" saltValue="600fLwY6aHYUZR/mlS2gSA==" spinCount="100000" sheet="1" objects="1" scenarios="1"/>
  <sortState xmlns:xlrd2="http://schemas.microsoft.com/office/spreadsheetml/2017/richdata2" ref="B11:HM550">
    <sortCondition ref="B11:B550"/>
  </sortState>
  <mergeCells count="37">
    <mergeCell ref="BR6:BS6"/>
    <mergeCell ref="BT6:BV6"/>
    <mergeCell ref="BW6:BY6"/>
    <mergeCell ref="BZ6:CA6"/>
    <mergeCell ref="CB6:CE6"/>
    <mergeCell ref="CR6:CS6"/>
    <mergeCell ref="CU6:CV6"/>
    <mergeCell ref="CW6:DC6"/>
    <mergeCell ref="DP6:EU6"/>
    <mergeCell ref="HK114:HS114"/>
    <mergeCell ref="DP7:DP10"/>
    <mergeCell ref="DQ7:DQ10"/>
    <mergeCell ref="FM7:FM10"/>
    <mergeCell ref="GC7:GC10"/>
    <mergeCell ref="GS7:GS10"/>
    <mergeCell ref="HD7:HD10"/>
    <mergeCell ref="HE7:HE10"/>
    <mergeCell ref="HF7:HF10"/>
    <mergeCell ref="HG7:HG10"/>
    <mergeCell ref="HH7:HH10"/>
    <mergeCell ref="HI7:HI10"/>
    <mergeCell ref="B7:B10"/>
    <mergeCell ref="C7:C10"/>
    <mergeCell ref="D7:D10"/>
    <mergeCell ref="BQ7:BQ10"/>
    <mergeCell ref="CQ7:CQ10"/>
    <mergeCell ref="HJ7:HJ10"/>
    <mergeCell ref="HK7:HK10"/>
    <mergeCell ref="HK115:HK116"/>
    <mergeCell ref="HL115:HL116"/>
    <mergeCell ref="HU115:HU116"/>
    <mergeCell ref="HU114:IB114"/>
    <mergeCell ref="HM115:HO115"/>
    <mergeCell ref="HP115:HS115"/>
    <mergeCell ref="HW115:HY115"/>
    <mergeCell ref="HZ115:IB115"/>
    <mergeCell ref="HV115:HV116"/>
  </mergeCells>
  <pageMargins left="0.7" right="0.7" top="0.75" bottom="0.75" header="0.3" footer="0.3"/>
  <pageSetup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BB61"/>
  <sheetViews>
    <sheetView topLeftCell="E48" zoomScale="87" zoomScaleNormal="87" workbookViewId="0">
      <selection activeCell="L54" sqref="L54"/>
    </sheetView>
  </sheetViews>
  <sheetFormatPr baseColWidth="10" defaultColWidth="11" defaultRowHeight="15"/>
  <cols>
    <col min="1" max="1" width="1.28515625" customWidth="1"/>
    <col min="2" max="2" width="38.5703125" customWidth="1"/>
    <col min="3" max="4" width="10" customWidth="1"/>
    <col min="5" max="5" width="11.42578125" customWidth="1"/>
    <col min="6" max="7" width="12.42578125" customWidth="1"/>
    <col min="8" max="8" width="3.85546875" customWidth="1"/>
    <col min="9" max="9" width="18.85546875" customWidth="1"/>
    <col min="10" max="10" width="12.140625" style="310" customWidth="1"/>
    <col min="11" max="11" width="46.42578125" customWidth="1"/>
    <col min="12" max="12" width="10.85546875" customWidth="1"/>
    <col min="13" max="13" width="23.85546875" style="305" customWidth="1"/>
    <col min="14" max="14" width="10.85546875" customWidth="1"/>
    <col min="15" max="15" width="14.28515625" customWidth="1"/>
    <col min="16" max="16" width="18.140625" customWidth="1"/>
    <col min="18" max="18" width="21.28515625" style="311" customWidth="1"/>
  </cols>
  <sheetData>
    <row r="1" spans="1:54">
      <c r="M1" s="335"/>
      <c r="AM1" t="s">
        <v>405</v>
      </c>
      <c r="AN1" t="s">
        <v>406</v>
      </c>
      <c r="AO1" t="s">
        <v>407</v>
      </c>
      <c r="BB1" s="171" t="s">
        <v>408</v>
      </c>
    </row>
    <row r="2" spans="1:54" ht="16.5" customHeight="1">
      <c r="B2" s="2007" t="s">
        <v>222</v>
      </c>
      <c r="C2" s="1995" t="s">
        <v>409</v>
      </c>
      <c r="D2" s="1996"/>
      <c r="E2" s="1996"/>
      <c r="F2" s="1996"/>
      <c r="G2" s="1997"/>
      <c r="I2" s="320" t="s">
        <v>410</v>
      </c>
      <c r="J2" s="366" t="s">
        <v>411</v>
      </c>
      <c r="K2" s="337" t="s">
        <v>167</v>
      </c>
      <c r="L2" s="320" t="s">
        <v>63</v>
      </c>
      <c r="M2" s="367" t="s">
        <v>412</v>
      </c>
      <c r="N2" s="321" t="s">
        <v>134</v>
      </c>
      <c r="O2" s="323" t="s">
        <v>413</v>
      </c>
      <c r="AM2">
        <f>108+80+170*2+120+168+170*2+170*2+150+3*120+85+4*170+120*4+150+170+120*3+135+170</f>
        <v>4236</v>
      </c>
      <c r="AN2">
        <v>3233</v>
      </c>
      <c r="AO2">
        <f>150+4*150+3*150+99+2*150+8*140</f>
        <v>2719</v>
      </c>
      <c r="BB2" s="171" t="s">
        <v>52</v>
      </c>
    </row>
    <row r="3" spans="1:54" ht="15.75" customHeight="1">
      <c r="B3" s="2008"/>
      <c r="C3" s="312" t="s">
        <v>414</v>
      </c>
      <c r="D3" s="313" t="s">
        <v>415</v>
      </c>
      <c r="E3" s="313" t="s">
        <v>416</v>
      </c>
      <c r="F3" s="313" t="s">
        <v>417</v>
      </c>
      <c r="G3" s="314" t="s">
        <v>418</v>
      </c>
      <c r="I3" s="2009" t="s">
        <v>419</v>
      </c>
      <c r="J3" s="368" t="str">
        <f>VLOOKUP($B$4,$I$36:$J$49,2,FALSE)</f>
        <v>B0510002</v>
      </c>
      <c r="K3" s="369" t="str">
        <f>VLOOKUP($B$4,$I$36:$K$49,3,FALSE)</f>
        <v>ENVASE DURAZNO NATULAC 250 cc UHT</v>
      </c>
      <c r="L3" s="370">
        <f>-SUMIF('PRODUCCION ASEPTICO'!B:B,J3,'PRODUCCION ASEPTICO'!HJ:HJ)</f>
        <v>0</v>
      </c>
      <c r="M3" s="371">
        <f>+C4*24</f>
        <v>24000</v>
      </c>
      <c r="N3" s="372">
        <f>+IF(M3&gt;L3,0,L3-M3)</f>
        <v>0</v>
      </c>
      <c r="O3" s="373">
        <f t="shared" ref="O3:O9" si="0">+IF(N3&gt;0,N3/L3,0)</f>
        <v>0</v>
      </c>
      <c r="U3">
        <v>400</v>
      </c>
      <c r="V3">
        <v>5250</v>
      </c>
      <c r="W3">
        <f>+R3+S3+T3+U3+V3</f>
        <v>5650</v>
      </c>
      <c r="BB3" s="171" t="s">
        <v>54</v>
      </c>
    </row>
    <row r="4" spans="1:54">
      <c r="B4" s="315" t="s">
        <v>408</v>
      </c>
      <c r="C4" s="316">
        <v>1000</v>
      </c>
      <c r="D4" s="317">
        <v>0</v>
      </c>
      <c r="E4" s="317"/>
      <c r="F4" s="317"/>
      <c r="G4" s="318"/>
      <c r="H4" t="s">
        <v>147</v>
      </c>
      <c r="I4" s="2010"/>
      <c r="J4" s="374" t="s">
        <v>354</v>
      </c>
      <c r="K4" s="349" t="s">
        <v>355</v>
      </c>
      <c r="L4" s="375">
        <f>-SUMIF('PRODUCCION ASEPTICO'!B:B,J4,'PRODUCCION ASEPTICO'!HJ:HJ)</f>
        <v>0</v>
      </c>
      <c r="M4" s="376">
        <f>+C4*24</f>
        <v>24000</v>
      </c>
      <c r="N4" s="377">
        <f t="shared" ref="N4:N9" si="1">+IF(M4&gt;L4,0,L4-M4)</f>
        <v>0</v>
      </c>
      <c r="O4" s="378">
        <f t="shared" si="0"/>
        <v>0</v>
      </c>
      <c r="V4">
        <v>75</v>
      </c>
      <c r="BB4" s="171" t="s">
        <v>420</v>
      </c>
    </row>
    <row r="5" spans="1:54">
      <c r="C5" t="s">
        <v>147</v>
      </c>
      <c r="I5" s="2010"/>
      <c r="J5" s="374" t="s">
        <v>370</v>
      </c>
      <c r="K5" s="349" t="s">
        <v>371</v>
      </c>
      <c r="L5" s="375">
        <f>-SUMIF('PRODUCCION ASEPTICO'!B:B,J5,'PRODUCCION ASEPTICO'!HJ:HJ)</f>
        <v>-10682</v>
      </c>
      <c r="M5" s="376">
        <f>+C4</f>
        <v>1000</v>
      </c>
      <c r="N5" s="377">
        <f t="shared" si="1"/>
        <v>0</v>
      </c>
      <c r="O5" s="378">
        <f t="shared" si="0"/>
        <v>0</v>
      </c>
      <c r="BB5" s="171" t="s">
        <v>421</v>
      </c>
    </row>
    <row r="6" spans="1:54" ht="18.75">
      <c r="B6" s="1998" t="s">
        <v>422</v>
      </c>
      <c r="C6" s="1999"/>
      <c r="D6" s="1999"/>
      <c r="E6" s="1999"/>
      <c r="F6" s="2000"/>
      <c r="G6" s="319"/>
      <c r="I6" s="2010"/>
      <c r="J6" s="379" t="s">
        <v>382</v>
      </c>
      <c r="K6" s="380" t="s">
        <v>383</v>
      </c>
      <c r="L6" s="381">
        <f>ROUND(IF($C$4&gt;0,M6/(1-F8)),2)</f>
        <v>2.4</v>
      </c>
      <c r="M6" s="382">
        <f>ROUND(C4*C12/1000,2)</f>
        <v>2.4</v>
      </c>
      <c r="N6" s="383">
        <f t="shared" si="1"/>
        <v>0</v>
      </c>
      <c r="O6" s="384">
        <f t="shared" si="0"/>
        <v>0</v>
      </c>
      <c r="BB6" s="171" t="s">
        <v>423</v>
      </c>
    </row>
    <row r="7" spans="1:54" ht="15" customHeight="1">
      <c r="B7" s="320" t="s">
        <v>424</v>
      </c>
      <c r="C7" s="321" t="s">
        <v>425</v>
      </c>
      <c r="D7" s="321" t="s">
        <v>426</v>
      </c>
      <c r="E7" s="322"/>
      <c r="F7" s="323" t="s">
        <v>427</v>
      </c>
      <c r="G7" s="324"/>
      <c r="I7" s="2010"/>
      <c r="J7" s="379" t="s">
        <v>384</v>
      </c>
      <c r="K7" s="380" t="s">
        <v>385</v>
      </c>
      <c r="L7" s="381">
        <f>-SUMIF('PRODUCCION ASEPTICO'!B:B,J7,'PRODUCCION ASEPTICO'!HJ:HJ)</f>
        <v>0</v>
      </c>
      <c r="M7" s="382">
        <f>ROUND(C4*C13/1000,2)</f>
        <v>15.6</v>
      </c>
      <c r="N7" s="383">
        <f t="shared" si="1"/>
        <v>0</v>
      </c>
      <c r="O7" s="384">
        <f t="shared" si="0"/>
        <v>0</v>
      </c>
      <c r="BB7" s="472" t="s">
        <v>428</v>
      </c>
    </row>
    <row r="8" spans="1:54">
      <c r="B8" s="325" t="s">
        <v>383</v>
      </c>
      <c r="C8" s="326">
        <f>-SUMIF('PRODUCCION ASEPTICO'!C:C,B8,'PRODUCCION ASEPTICO'!HJ:HJ)</f>
        <v>-31.821000000000002</v>
      </c>
      <c r="D8" s="326">
        <f>ROUND((C4*C12+D4*D12+F4*F12)/1000,2)</f>
        <v>2.4</v>
      </c>
      <c r="E8" s="327"/>
      <c r="F8" s="328">
        <f>IF(C8&gt;0,(C8-D8)/C8,0)</f>
        <v>0</v>
      </c>
      <c r="G8" s="329"/>
      <c r="H8" s="330"/>
      <c r="I8" s="2010"/>
      <c r="J8" s="379" t="s">
        <v>386</v>
      </c>
      <c r="K8" s="380" t="s">
        <v>387</v>
      </c>
      <c r="L8" s="381">
        <f>-SUMIF('PRODUCCION ASEPTICO'!B:B,J8,'PRODUCCION ASEPTICO'!HJ:HJ)</f>
        <v>0</v>
      </c>
      <c r="M8" s="382">
        <f>ROUND(C4*C14/1000,2)</f>
        <v>0.8</v>
      </c>
      <c r="N8" s="383">
        <f t="shared" si="1"/>
        <v>0</v>
      </c>
      <c r="O8" s="384">
        <f t="shared" si="0"/>
        <v>0</v>
      </c>
      <c r="BB8" s="472" t="s">
        <v>429</v>
      </c>
    </row>
    <row r="9" spans="1:54">
      <c r="B9" s="331" t="s">
        <v>391</v>
      </c>
      <c r="C9" s="332">
        <f>-SUMIF('PRODUCCION ASEPTICO'!C:C,B9,'PRODUCCION ASEPTICO'!HJ:HJ)</f>
        <v>0</v>
      </c>
      <c r="D9" s="332">
        <f>ROUND((C4*C16+D4*D16)/1000,2)</f>
        <v>1.2</v>
      </c>
      <c r="E9" s="333"/>
      <c r="F9" s="334">
        <f>IF(C9&gt;0,(C9-D9)/C9,0)</f>
        <v>0</v>
      </c>
      <c r="G9" s="329"/>
      <c r="I9" s="2011"/>
      <c r="J9" s="385" t="s">
        <v>390</v>
      </c>
      <c r="K9" s="353" t="s">
        <v>391</v>
      </c>
      <c r="L9" s="386">
        <f>ROUND(IF($C$4&gt;0,M9/(1-F9)),2)</f>
        <v>1.2</v>
      </c>
      <c r="M9" s="387">
        <f>ROUND(C4*C16/1000,2)</f>
        <v>1.2</v>
      </c>
      <c r="N9" s="388">
        <f t="shared" si="1"/>
        <v>0</v>
      </c>
      <c r="O9" s="389">
        <f t="shared" si="0"/>
        <v>0</v>
      </c>
      <c r="Q9" s="365"/>
    </row>
    <row r="10" spans="1:54">
      <c r="G10" s="335"/>
      <c r="I10" s="390"/>
      <c r="J10" s="391"/>
      <c r="L10" s="392"/>
      <c r="M10" s="393"/>
      <c r="N10" s="392"/>
      <c r="O10" s="394"/>
    </row>
    <row r="11" spans="1:54" ht="15" customHeight="1">
      <c r="B11" s="336" t="s">
        <v>430</v>
      </c>
      <c r="C11" s="337" t="s">
        <v>414</v>
      </c>
      <c r="D11" s="338" t="s">
        <v>431</v>
      </c>
      <c r="E11" s="338"/>
      <c r="F11" s="338" t="s">
        <v>417</v>
      </c>
      <c r="G11" s="324"/>
      <c r="I11" s="2009" t="s">
        <v>432</v>
      </c>
      <c r="J11" s="368" t="str">
        <f>VLOOKUP($B$4,$I$36:$M$57,4,FALSE)</f>
        <v>B0510018</v>
      </c>
      <c r="K11" s="369" t="str">
        <f>VLOOKUP($B$4,$I$36:$P$56,5,FALSE)</f>
        <v>ENVASE DURAZNO NATULAC 1000 cc UHT</v>
      </c>
      <c r="L11" s="395">
        <f>-SUMIF('PRODUCCION ASEPTICO'!B:B,J11,'PRODUCCION ASEPTICO'!HJ:HJ)</f>
        <v>0</v>
      </c>
      <c r="M11" s="396">
        <f>+D4*12</f>
        <v>0</v>
      </c>
      <c r="N11" s="397">
        <f t="shared" ref="N11:N16" si="2">+IF(M11&gt;L11,0,L11-M11)</f>
        <v>0</v>
      </c>
      <c r="O11" s="398">
        <f t="shared" ref="O11:O16" si="3">+IF(N11&gt;0,N11/L11,0)</f>
        <v>0</v>
      </c>
      <c r="P11" s="330">
        <f>+M12-L12</f>
        <v>0</v>
      </c>
    </row>
    <row r="12" spans="1:54">
      <c r="B12" s="339" t="s">
        <v>383</v>
      </c>
      <c r="C12" s="340">
        <v>2.4</v>
      </c>
      <c r="D12" s="340">
        <v>1.85</v>
      </c>
      <c r="E12" s="341"/>
      <c r="F12" s="342">
        <v>1.38</v>
      </c>
      <c r="G12" s="343"/>
      <c r="I12" s="2010"/>
      <c r="J12" s="374" t="s">
        <v>360</v>
      </c>
      <c r="K12" s="349" t="s">
        <v>433</v>
      </c>
      <c r="L12" s="375">
        <f>-SUMIF('PRODUCCION ASEPTICO'!B:B,J12,'PRODUCCION ASEPTICO'!HJ:HJ)</f>
        <v>0</v>
      </c>
      <c r="M12" s="376">
        <f>+(D4+F4)*12</f>
        <v>0</v>
      </c>
      <c r="N12" s="377">
        <f t="shared" si="2"/>
        <v>0</v>
      </c>
      <c r="O12" s="378">
        <f t="shared" si="3"/>
        <v>0</v>
      </c>
      <c r="P12" s="330"/>
    </row>
    <row r="13" spans="1:54">
      <c r="B13" s="344" t="s">
        <v>385</v>
      </c>
      <c r="C13" s="345">
        <v>15.6</v>
      </c>
      <c r="D13" s="345" t="s">
        <v>79</v>
      </c>
      <c r="E13" s="346"/>
      <c r="F13" s="347"/>
      <c r="G13" s="343"/>
      <c r="I13" s="2010"/>
      <c r="J13" s="374" t="s">
        <v>378</v>
      </c>
      <c r="K13" s="349" t="s">
        <v>379</v>
      </c>
      <c r="L13" s="375">
        <f>-SUMIF('PRODUCCION ASEPTICO'!B:B,J13,'PRODUCCION ASEPTICO'!HJ:HJ)</f>
        <v>-10319</v>
      </c>
      <c r="M13" s="376">
        <f>+D4</f>
        <v>0</v>
      </c>
      <c r="N13" s="377">
        <f t="shared" si="2"/>
        <v>0</v>
      </c>
      <c r="O13" s="378">
        <f t="shared" si="3"/>
        <v>0</v>
      </c>
    </row>
    <row r="14" spans="1:54">
      <c r="B14" s="344" t="s">
        <v>387</v>
      </c>
      <c r="C14" s="345">
        <v>0.8</v>
      </c>
      <c r="D14" s="345" t="s">
        <v>79</v>
      </c>
      <c r="E14" s="346"/>
      <c r="F14" s="347"/>
      <c r="G14" s="343"/>
      <c r="I14" s="2010"/>
      <c r="J14" s="379" t="s">
        <v>382</v>
      </c>
      <c r="K14" s="380" t="s">
        <v>383</v>
      </c>
      <c r="L14" s="381">
        <f>ROUND(IF($D$4&gt;0,M14/(1-F8)),2)</f>
        <v>0</v>
      </c>
      <c r="M14" s="382">
        <f>ROUND(D4*D12/1000,2)</f>
        <v>0</v>
      </c>
      <c r="N14" s="383">
        <f t="shared" si="2"/>
        <v>0</v>
      </c>
      <c r="O14" s="384">
        <f t="shared" si="3"/>
        <v>0</v>
      </c>
    </row>
    <row r="15" spans="1:54">
      <c r="B15" s="348" t="s">
        <v>389</v>
      </c>
      <c r="C15" s="345" t="s">
        <v>79</v>
      </c>
      <c r="D15" s="345">
        <v>2.5</v>
      </c>
      <c r="E15" s="346"/>
      <c r="F15" s="349">
        <v>3</v>
      </c>
      <c r="G15" s="335"/>
      <c r="I15" s="2010"/>
      <c r="J15" s="379" t="s">
        <v>388</v>
      </c>
      <c r="K15" s="380" t="s">
        <v>389</v>
      </c>
      <c r="L15" s="381">
        <f>-SUMIF('PRODUCCION ASEPTICO'!B:B,J15,'PRODUCCION ASEPTICO'!HJ:HJ)</f>
        <v>0</v>
      </c>
      <c r="M15" s="382">
        <f>ROUND(D4*D15/1000,2)</f>
        <v>0</v>
      </c>
      <c r="N15" s="383">
        <f t="shared" si="2"/>
        <v>0</v>
      </c>
      <c r="O15" s="384">
        <f t="shared" si="3"/>
        <v>0</v>
      </c>
    </row>
    <row r="16" spans="1:54" ht="15" customHeight="1">
      <c r="B16" s="350" t="s">
        <v>391</v>
      </c>
      <c r="C16" s="351">
        <v>1.2</v>
      </c>
      <c r="D16" s="351">
        <v>2</v>
      </c>
      <c r="E16" s="352"/>
      <c r="F16" s="353"/>
      <c r="G16" s="335"/>
      <c r="I16" s="2011"/>
      <c r="J16" s="385" t="s">
        <v>390</v>
      </c>
      <c r="K16" s="399" t="s">
        <v>391</v>
      </c>
      <c r="L16" s="400">
        <f>ROUND(IF($D$4&gt;0,M16/(1-F9)),2)</f>
        <v>0</v>
      </c>
      <c r="M16" s="401">
        <f>ROUND(D4*D16/1000,2)</f>
        <v>0</v>
      </c>
      <c r="N16" s="402">
        <f t="shared" si="2"/>
        <v>0</v>
      </c>
      <c r="O16" s="403">
        <f t="shared" si="3"/>
        <v>0</v>
      </c>
    </row>
    <row r="17" spans="2:53" ht="12.75" customHeight="1">
      <c r="G17" s="335"/>
      <c r="I17" s="390"/>
      <c r="J17" s="391"/>
      <c r="L17" s="392"/>
      <c r="M17" s="392"/>
      <c r="N17" s="392"/>
      <c r="O17" s="394"/>
    </row>
    <row r="18" spans="2:53" ht="15.75" customHeight="1">
      <c r="B18" s="2001" t="s">
        <v>434</v>
      </c>
      <c r="C18" s="2001"/>
      <c r="D18" s="2001"/>
      <c r="E18" s="2001"/>
      <c r="F18" s="2001"/>
      <c r="G18" s="354"/>
      <c r="H18" s="355"/>
      <c r="I18" s="2012" t="s">
        <v>435</v>
      </c>
      <c r="J18" s="404" t="s">
        <v>358</v>
      </c>
      <c r="K18" s="405" t="s">
        <v>436</v>
      </c>
      <c r="L18" s="377">
        <f>-SUMIF('PRODUCCION ASEPTICO'!B13:B102,'Reporte '!J18,'PRODUCCION ASEPTICO'!HJ13:HJ102)</f>
        <v>0</v>
      </c>
      <c r="M18" s="406">
        <f>+D21*12</f>
        <v>5892</v>
      </c>
      <c r="N18" s="377">
        <f>+IF(M18&gt;L18,0,L18-M18)</f>
        <v>0</v>
      </c>
      <c r="O18" s="378">
        <f>+IF(N18&gt;0,N18/L18,0)</f>
        <v>0</v>
      </c>
    </row>
    <row r="19" spans="2:53" s="308" customFormat="1" ht="46.5" customHeight="1">
      <c r="B19" s="2007" t="s">
        <v>222</v>
      </c>
      <c r="C19" s="2002" t="s">
        <v>409</v>
      </c>
      <c r="D19" s="2003"/>
      <c r="E19" s="2003"/>
      <c r="F19" s="2004"/>
      <c r="G19" s="356"/>
      <c r="I19" s="2013"/>
      <c r="J19" s="404" t="s">
        <v>372</v>
      </c>
      <c r="K19" s="405" t="s">
        <v>373</v>
      </c>
      <c r="L19" s="377">
        <f>-SUMIF('PRODUCCION ASEPTICO'!B14:B103,'Reporte '!J19,'PRODUCCION ASEPTICO'!HJ14:HJ103)</f>
        <v>0</v>
      </c>
      <c r="M19" s="406">
        <f>+D21</f>
        <v>491</v>
      </c>
      <c r="N19" s="377">
        <f>+IF(M19&gt;L19,0,L19-M19)</f>
        <v>0</v>
      </c>
      <c r="O19" s="378">
        <f>+IF(N19&gt;0,N19/L19,0)</f>
        <v>0</v>
      </c>
      <c r="R19" s="467"/>
      <c r="AK19" s="470"/>
      <c r="AL19" s="470"/>
      <c r="AM19" s="470"/>
      <c r="AN19" s="470"/>
      <c r="AO19" s="470"/>
      <c r="AP19" s="470"/>
      <c r="AQ19" s="470"/>
      <c r="AR19" s="470"/>
      <c r="AS19" s="470"/>
      <c r="AT19" s="470"/>
      <c r="AU19" s="470"/>
      <c r="AV19" s="470"/>
      <c r="AW19" s="470"/>
      <c r="AX19" s="470"/>
      <c r="AY19" s="470"/>
      <c r="AZ19" s="470"/>
      <c r="BA19" s="470"/>
    </row>
    <row r="20" spans="2:53" s="308" customFormat="1">
      <c r="B20" s="2008"/>
      <c r="C20" s="312" t="s">
        <v>414</v>
      </c>
      <c r="D20" s="313" t="s">
        <v>415</v>
      </c>
      <c r="E20" s="313"/>
      <c r="F20" s="313" t="s">
        <v>417</v>
      </c>
      <c r="G20" s="357"/>
      <c r="I20" s="2014" t="s">
        <v>437</v>
      </c>
      <c r="J20" s="407" t="s">
        <v>364</v>
      </c>
      <c r="K20" s="408" t="s">
        <v>438</v>
      </c>
      <c r="L20" s="409">
        <f>-SUMIF('PRODUCCION ASEPTICO'!B15:B104,'Reporte '!J20,'PRODUCCION ASEPTICO'!HJ15:HJ104)</f>
        <v>0</v>
      </c>
      <c r="M20" s="410">
        <f>+D4*12</f>
        <v>0</v>
      </c>
      <c r="N20" s="409">
        <f>+IF(M20&gt;L20,0,L20-M20)</f>
        <v>0</v>
      </c>
      <c r="O20" s="384">
        <f>+IF(N20&gt;0,N20/L20,0)</f>
        <v>0</v>
      </c>
      <c r="R20" s="467"/>
      <c r="AK20" s="470"/>
      <c r="AL20" s="470"/>
      <c r="AM20" s="470"/>
      <c r="AN20" s="470"/>
      <c r="AO20" s="470"/>
      <c r="AP20" s="470"/>
      <c r="AQ20" s="470"/>
      <c r="AR20" s="470"/>
      <c r="AS20" s="470"/>
      <c r="AT20" s="470"/>
      <c r="AU20" s="470"/>
      <c r="AV20" s="470"/>
      <c r="AW20" s="470"/>
      <c r="AX20" s="470"/>
      <c r="AY20" s="470"/>
      <c r="AZ20" s="470"/>
      <c r="BA20" s="470"/>
    </row>
    <row r="21" spans="2:53" s="308" customFormat="1">
      <c r="B21" s="315" t="s">
        <v>246</v>
      </c>
      <c r="C21" s="316">
        <v>0</v>
      </c>
      <c r="D21" s="358">
        <f>5*85+66</f>
        <v>491</v>
      </c>
      <c r="E21" s="359"/>
      <c r="F21" s="317"/>
      <c r="G21" s="360"/>
      <c r="I21" s="2015"/>
      <c r="J21" s="411" t="s">
        <v>362</v>
      </c>
      <c r="K21" s="412" t="s">
        <v>439</v>
      </c>
      <c r="L21" s="413">
        <f>-SUMIF('PRODUCCION ASEPTICO'!B16:B105,'Reporte '!J21,'PRODUCCION ASEPTICO'!HJ16:HJ105)</f>
        <v>0</v>
      </c>
      <c r="M21" s="414">
        <f>+D21*12</f>
        <v>5892</v>
      </c>
      <c r="N21" s="413">
        <f>+IF(M21&gt;L21,0,L21-M21)</f>
        <v>0</v>
      </c>
      <c r="O21" s="415">
        <f>+IF(N21&gt;0,N21/L21,0)</f>
        <v>0</v>
      </c>
      <c r="R21" s="467"/>
      <c r="AK21" s="470"/>
      <c r="AL21" s="470"/>
      <c r="AM21" s="470"/>
      <c r="AN21" s="470"/>
      <c r="AO21" s="470"/>
      <c r="AP21" s="470"/>
      <c r="AQ21" s="470"/>
      <c r="AR21" s="470"/>
      <c r="AS21" s="470"/>
      <c r="AT21" s="470"/>
      <c r="AU21" s="470"/>
      <c r="AV21" s="470"/>
      <c r="AW21" s="470"/>
      <c r="AX21" s="470"/>
      <c r="AY21" s="470"/>
      <c r="AZ21" s="470"/>
      <c r="BA21" s="470"/>
    </row>
    <row r="22" spans="2:53" s="308" customFormat="1">
      <c r="B22" s="361"/>
      <c r="C22" s="362"/>
      <c r="D22" s="362"/>
      <c r="E22" s="362"/>
      <c r="I22" s="416"/>
      <c r="J22" s="417"/>
      <c r="K22" s="418"/>
      <c r="L22" s="419"/>
      <c r="M22" s="420"/>
      <c r="N22" s="419"/>
      <c r="O22" s="421"/>
      <c r="R22" s="467"/>
      <c r="AK22" s="470"/>
      <c r="AL22" s="470"/>
      <c r="AM22" s="470"/>
      <c r="AN22" s="470"/>
      <c r="AO22" s="470"/>
      <c r="AP22" s="470"/>
      <c r="AQ22" s="470"/>
      <c r="AR22" s="470"/>
      <c r="AS22" s="470"/>
      <c r="AT22" s="470"/>
      <c r="AU22" s="470"/>
      <c r="AV22" s="470"/>
      <c r="AW22" s="470"/>
      <c r="AX22" s="470"/>
      <c r="AY22" s="470"/>
      <c r="AZ22" s="470"/>
      <c r="BA22" s="470"/>
    </row>
    <row r="23" spans="2:53" s="308" customFormat="1">
      <c r="B23" s="361"/>
      <c r="C23" s="362"/>
      <c r="D23" s="362"/>
      <c r="E23" s="362"/>
      <c r="I23" s="2014" t="s">
        <v>440</v>
      </c>
      <c r="J23" s="422" t="str">
        <f>VLOOKUP($B$4,$I$36:$P$44,6,FALSE)</f>
        <v>B0510038</v>
      </c>
      <c r="K23" s="369" t="str">
        <f>VLOOKUP($B$4,$I$36:$R$50,7,FALSE)</f>
        <v>ENVASE DURAZNO NATULAC 500 cc UHT</v>
      </c>
      <c r="L23" s="370">
        <f>-SUMIF('PRODUCCION ASEPTICO'!B:B,J23,'PRODUCCION ASEPTICO'!HJ:HJ)</f>
        <v>0</v>
      </c>
      <c r="M23" s="371">
        <f>+F4*12</f>
        <v>0</v>
      </c>
      <c r="N23" s="372">
        <f>+IF(M23&gt;L23,0,L23-M23)</f>
        <v>0</v>
      </c>
      <c r="O23" s="373">
        <f>+IF(N23&gt;0,N23/L23,0)</f>
        <v>0</v>
      </c>
      <c r="R23" s="467"/>
      <c r="AK23" s="470"/>
      <c r="AL23" s="470"/>
      <c r="AM23" s="470"/>
      <c r="AN23" s="470"/>
      <c r="AO23" s="470"/>
      <c r="AP23" s="470"/>
      <c r="AQ23" s="470"/>
      <c r="AR23" s="470"/>
      <c r="AS23" s="470"/>
      <c r="AT23" s="470"/>
      <c r="AU23" s="470"/>
      <c r="AV23" s="470"/>
      <c r="AW23" s="470"/>
      <c r="AX23" s="470"/>
      <c r="AY23" s="470"/>
      <c r="AZ23" s="470"/>
      <c r="BA23" s="470"/>
    </row>
    <row r="24" spans="2:53" s="308" customFormat="1">
      <c r="B24" s="361"/>
      <c r="C24" s="362"/>
      <c r="D24" s="362"/>
      <c r="E24" s="362"/>
      <c r="I24" s="2016"/>
      <c r="J24" s="404" t="s">
        <v>374</v>
      </c>
      <c r="K24" s="405" t="s">
        <v>375</v>
      </c>
      <c r="L24" s="377">
        <f>-SUMIF('PRODUCCION ASEPTICO'!B19:B108,'Reporte '!J24,'PRODUCCION ASEPTICO'!HJ19:HJ108)</f>
        <v>0</v>
      </c>
      <c r="M24" s="406">
        <f>+F4</f>
        <v>0</v>
      </c>
      <c r="N24" s="377">
        <f>+IF(M24&gt;L24,0,L24-M24)</f>
        <v>0</v>
      </c>
      <c r="O24" s="378">
        <f>+IF(N24&gt;0,N24/L24,0)</f>
        <v>0</v>
      </c>
      <c r="R24" s="467"/>
      <c r="AK24" s="470"/>
      <c r="AL24" s="470"/>
      <c r="AM24" s="470"/>
      <c r="AN24" s="470"/>
      <c r="AO24" s="470"/>
      <c r="AP24" s="470"/>
      <c r="AQ24" s="470"/>
      <c r="AR24" s="470"/>
      <c r="AS24" s="470"/>
      <c r="AT24" s="470"/>
      <c r="AU24" s="470"/>
      <c r="AV24" s="470"/>
      <c r="AW24" s="470"/>
      <c r="AX24" s="470"/>
      <c r="AY24" s="470"/>
      <c r="AZ24" s="470"/>
      <c r="BA24" s="470"/>
    </row>
    <row r="25" spans="2:53" s="308" customFormat="1" ht="30" customHeight="1">
      <c r="B25" s="361"/>
      <c r="C25" s="362"/>
      <c r="D25" s="362"/>
      <c r="E25" s="362"/>
      <c r="I25" s="2015"/>
      <c r="J25" s="423"/>
      <c r="K25" s="424"/>
      <c r="L25" s="425">
        <f>-SUMIF('PRODUCCION ASEPTICO'!B20:B109,'Reporte '!J25,'PRODUCCION ASEPTICO'!HJ20:HJ109)</f>
        <v>0</v>
      </c>
      <c r="M25" s="426">
        <f>+C25</f>
        <v>0</v>
      </c>
      <c r="N25" s="425">
        <f>+IF(M25&gt;L25,0,L25-M25)</f>
        <v>0</v>
      </c>
      <c r="O25" s="389">
        <f>+IF(N25&gt;0,N25/L25,0)</f>
        <v>0</v>
      </c>
      <c r="R25" s="467"/>
      <c r="AK25" s="470"/>
      <c r="AL25" s="470"/>
      <c r="AM25" s="470"/>
      <c r="AN25" s="470"/>
      <c r="AO25" s="470"/>
      <c r="AP25" s="470"/>
      <c r="AQ25" s="470"/>
      <c r="AR25" s="470"/>
      <c r="AS25" s="470"/>
      <c r="AT25" s="470"/>
      <c r="AU25" s="470"/>
      <c r="AV25" s="470"/>
      <c r="AW25" s="470"/>
      <c r="AX25" s="470"/>
      <c r="AY25" s="470"/>
      <c r="AZ25" s="470"/>
      <c r="BA25" s="470"/>
    </row>
    <row r="26" spans="2:53" s="308" customFormat="1" ht="30" customHeight="1">
      <c r="B26" s="361"/>
      <c r="C26" s="362"/>
      <c r="D26" s="362"/>
      <c r="E26" s="362"/>
      <c r="I26" s="416"/>
      <c r="J26" s="391"/>
      <c r="K26"/>
      <c r="L26" s="419"/>
      <c r="M26" s="420"/>
      <c r="N26" s="419"/>
      <c r="O26" s="421"/>
      <c r="R26" s="467"/>
      <c r="AK26" s="470"/>
      <c r="AL26" s="470"/>
      <c r="AM26" s="470"/>
      <c r="AN26" s="470"/>
      <c r="AO26" s="470"/>
      <c r="AP26" s="470"/>
      <c r="AQ26" s="470"/>
      <c r="AR26" s="470"/>
      <c r="AS26" s="470"/>
      <c r="AT26" s="470"/>
      <c r="AU26" s="470"/>
      <c r="AV26" s="470"/>
      <c r="AW26" s="470"/>
      <c r="AX26" s="470"/>
      <c r="AY26" s="470"/>
      <c r="AZ26" s="470"/>
      <c r="BA26" s="470"/>
    </row>
    <row r="27" spans="2:53" s="308" customFormat="1" ht="14.25" customHeight="1">
      <c r="B27" s="361"/>
      <c r="C27" s="362"/>
      <c r="D27" s="362"/>
      <c r="E27" s="362"/>
      <c r="I27" s="2014" t="s">
        <v>441</v>
      </c>
      <c r="J27" s="368" t="str">
        <f>VLOOKUP($B$4,$I$36:$R$44,9,FALSE)</f>
        <v>B0510047</v>
      </c>
      <c r="K27" s="369" t="str">
        <f>VLOOKUP($B$4,$I$36:$R$50,10,FALSE)</f>
        <v>ENVASE DURAZNO NATULAC 330 cc UHT</v>
      </c>
      <c r="L27" s="370">
        <f>-SUMIF('PRODUCCION ASEPTICO'!B:B,J27,'PRODUCCION ASEPTICO'!HJ:HJ)</f>
        <v>0</v>
      </c>
      <c r="M27" s="371">
        <f>+E4*12</f>
        <v>0</v>
      </c>
      <c r="N27" s="372">
        <f>+IF(M27&gt;L27,0,L27-M27)</f>
        <v>0</v>
      </c>
      <c r="O27" s="373">
        <f>+IF(N27&gt;0,N27/L27,0)</f>
        <v>0</v>
      </c>
      <c r="R27" s="467"/>
      <c r="AK27" s="470"/>
      <c r="AL27" s="470"/>
      <c r="AM27" s="470"/>
      <c r="AN27" s="470"/>
      <c r="AO27" s="470"/>
      <c r="AP27" s="470"/>
      <c r="AQ27" s="470"/>
      <c r="AR27" s="470"/>
      <c r="AS27" s="470"/>
      <c r="AT27" s="470"/>
      <c r="AU27" s="470"/>
      <c r="AV27" s="470"/>
      <c r="AW27" s="470"/>
      <c r="AX27" s="470"/>
      <c r="AY27" s="470"/>
      <c r="AZ27" s="470"/>
      <c r="BA27" s="470"/>
    </row>
    <row r="28" spans="2:53" s="308" customFormat="1" ht="14.25" customHeight="1">
      <c r="B28" s="361"/>
      <c r="C28" s="362"/>
      <c r="D28" s="362"/>
      <c r="E28" s="362"/>
      <c r="I28" s="2016"/>
      <c r="J28" s="374" t="s">
        <v>376</v>
      </c>
      <c r="K28" s="349" t="s">
        <v>377</v>
      </c>
      <c r="L28" s="375">
        <f>-SUMIF('PRODUCCION ASEPTICO'!B24:B112,'Reporte '!J28,'PRODUCCION ASEPTICO'!HJ24:HJ112)</f>
        <v>-8701</v>
      </c>
      <c r="M28" s="406">
        <f>+E4</f>
        <v>0</v>
      </c>
      <c r="N28" s="377">
        <f>+IF(M28&gt;L28,0,L28-M28)</f>
        <v>0</v>
      </c>
      <c r="O28" s="378">
        <f>+IF(N28&gt;0,N28/L28,0)</f>
        <v>0</v>
      </c>
      <c r="R28" s="467"/>
      <c r="AK28" s="470"/>
      <c r="AL28" s="470"/>
      <c r="AM28" s="470"/>
      <c r="AN28" s="470"/>
      <c r="AO28" s="470"/>
      <c r="AP28" s="470"/>
      <c r="AQ28" s="470"/>
      <c r="AR28" s="470"/>
      <c r="AS28" s="470"/>
      <c r="AT28" s="470"/>
      <c r="AU28" s="470"/>
      <c r="AV28" s="470"/>
      <c r="AW28" s="470"/>
      <c r="AX28" s="470"/>
      <c r="AY28" s="470"/>
      <c r="AZ28" s="470"/>
      <c r="BA28" s="470"/>
    </row>
    <row r="29" spans="2:53" s="308" customFormat="1" ht="14.25" customHeight="1">
      <c r="B29" s="361"/>
      <c r="C29" s="362"/>
      <c r="D29" s="362"/>
      <c r="E29" s="362"/>
      <c r="I29" s="2015"/>
      <c r="J29" s="385" t="s">
        <v>368</v>
      </c>
      <c r="K29" s="353" t="s">
        <v>369</v>
      </c>
      <c r="L29" s="427">
        <f>-SUMIF('PRODUCCION ASEPTICO'!B25:B113,'Reporte '!J29,'PRODUCCION ASEPTICO'!HJ25:HJ113)</f>
        <v>0</v>
      </c>
      <c r="M29" s="426">
        <f>+E4*12</f>
        <v>0</v>
      </c>
      <c r="N29" s="425">
        <f>+IF(M29&gt;L29,0,L29-M29)</f>
        <v>0</v>
      </c>
      <c r="O29" s="389">
        <f>+IF(N29&gt;0,N29/L29,0)</f>
        <v>0</v>
      </c>
      <c r="R29" s="467"/>
      <c r="AK29" s="470"/>
      <c r="AL29" s="470"/>
      <c r="AM29" s="470"/>
      <c r="AN29" s="470"/>
      <c r="AO29" s="470"/>
      <c r="AP29" s="470"/>
      <c r="AQ29" s="470"/>
      <c r="AR29" s="470"/>
      <c r="AS29" s="470"/>
      <c r="AT29" s="470"/>
      <c r="AU29" s="470"/>
      <c r="AV29" s="470"/>
      <c r="AW29" s="470"/>
      <c r="AX29" s="470"/>
      <c r="AY29" s="470"/>
      <c r="AZ29" s="470"/>
      <c r="BA29" s="470"/>
    </row>
    <row r="30" spans="2:53" s="308" customFormat="1" ht="14.25" customHeight="1">
      <c r="B30" s="361"/>
      <c r="C30" s="362"/>
      <c r="D30" s="362"/>
      <c r="E30" s="362"/>
      <c r="I30" s="428"/>
      <c r="J30" s="391"/>
      <c r="K30"/>
      <c r="L30" s="419"/>
      <c r="M30" s="420"/>
      <c r="N30" s="419"/>
      <c r="O30" s="421"/>
      <c r="R30" s="467"/>
      <c r="AK30" s="470"/>
      <c r="AL30" s="470"/>
      <c r="AM30" s="470"/>
      <c r="AN30" s="470"/>
      <c r="AO30" s="470"/>
      <c r="AP30" s="470"/>
      <c r="AQ30" s="470"/>
      <c r="AR30" s="470"/>
      <c r="AS30" s="470"/>
      <c r="AT30" s="470"/>
      <c r="AU30" s="470"/>
      <c r="AV30" s="470"/>
      <c r="AW30" s="470"/>
      <c r="AX30" s="470"/>
      <c r="AY30" s="470"/>
      <c r="AZ30" s="470"/>
      <c r="BA30" s="470"/>
    </row>
    <row r="31" spans="2:53" s="308" customFormat="1" ht="14.25" customHeight="1">
      <c r="B31" s="361"/>
      <c r="C31" s="362"/>
      <c r="D31" s="362"/>
      <c r="E31" s="362"/>
      <c r="I31" s="2014" t="s">
        <v>442</v>
      </c>
      <c r="J31" s="368" t="e">
        <f>VLOOKUP($B$4,$I$53:$P$56,7,FALSE)</f>
        <v>#N/A</v>
      </c>
      <c r="K31" s="369" t="e">
        <f>VLOOKUP($B$4,$I$53:$T$56,8,FALSE)</f>
        <v>#N/A</v>
      </c>
      <c r="L31" s="370">
        <f>-SUMIF('PRODUCCION ASEPTICO'!B:B,J31,'PRODUCCION ASEPTICO'!HJ:HJ)</f>
        <v>0</v>
      </c>
      <c r="M31" s="371">
        <f>+G4*24</f>
        <v>0</v>
      </c>
      <c r="N31" s="372">
        <f>+IF(M31&gt;L31,0,L31-M31)</f>
        <v>0</v>
      </c>
      <c r="O31" s="373">
        <f>+IF(N31&gt;0,N31/L31,0)</f>
        <v>0</v>
      </c>
      <c r="R31" s="467"/>
      <c r="AK31" s="470"/>
      <c r="AL31" s="470"/>
      <c r="AM31" s="470"/>
      <c r="AN31" s="470"/>
      <c r="AO31" s="470"/>
      <c r="AP31" s="470"/>
      <c r="AQ31" s="470"/>
      <c r="AR31" s="470"/>
      <c r="AS31" s="470"/>
      <c r="AT31" s="470"/>
      <c r="AU31" s="470"/>
      <c r="AV31" s="470"/>
      <c r="AW31" s="470"/>
      <c r="AX31" s="470"/>
      <c r="AY31" s="470"/>
      <c r="AZ31" s="470"/>
      <c r="BA31" s="470"/>
    </row>
    <row r="32" spans="2:53" s="308" customFormat="1" ht="14.25" customHeight="1">
      <c r="B32" s="361"/>
      <c r="C32" s="362"/>
      <c r="D32" s="362"/>
      <c r="E32" s="362"/>
      <c r="I32" s="2016"/>
      <c r="J32" s="374" t="s">
        <v>380</v>
      </c>
      <c r="K32" s="349" t="s">
        <v>381</v>
      </c>
      <c r="L32" s="375">
        <f>-SUMIF('PRODUCCION ASEPTICO'!B28:B116,'Reporte '!J32,'PRODUCCION ASEPTICO'!HJ28:HJ116)</f>
        <v>0</v>
      </c>
      <c r="M32" s="406">
        <f>+G4</f>
        <v>0</v>
      </c>
      <c r="N32" s="377">
        <f>+IF(M32&gt;L32,0,L32-M32)</f>
        <v>0</v>
      </c>
      <c r="O32" s="378">
        <f>+IF(N32&gt;0,N32/L32,0)</f>
        <v>0</v>
      </c>
      <c r="R32" s="467"/>
      <c r="AK32" s="470"/>
      <c r="AL32" s="470"/>
      <c r="AM32" s="470"/>
      <c r="AN32" s="470"/>
      <c r="AO32" s="470"/>
      <c r="AP32" s="470"/>
      <c r="AQ32" s="470"/>
      <c r="AR32" s="470"/>
      <c r="AS32" s="470"/>
      <c r="AT32" s="470"/>
      <c r="AU32" s="470"/>
      <c r="AV32" s="470"/>
      <c r="AW32" s="470"/>
      <c r="AX32" s="470"/>
      <c r="AY32" s="470"/>
      <c r="AZ32" s="470"/>
      <c r="BA32" s="470"/>
    </row>
    <row r="33" spans="2:53" s="308" customFormat="1" ht="14.25" customHeight="1">
      <c r="B33" s="361"/>
      <c r="C33" s="362"/>
      <c r="D33" s="362"/>
      <c r="E33" s="362"/>
      <c r="I33" s="2015"/>
      <c r="J33" s="385" t="s">
        <v>356</v>
      </c>
      <c r="K33" s="353" t="s">
        <v>357</v>
      </c>
      <c r="L33" s="427">
        <f>-SUMIF('PRODUCCION ASEPTICO'!B29:B117,'Reporte '!J33,'PRODUCCION ASEPTICO'!HJ29:HJ117)</f>
        <v>0</v>
      </c>
      <c r="M33" s="426">
        <f>+G4*24</f>
        <v>0</v>
      </c>
      <c r="N33" s="425">
        <f>+IF(M33&gt;L33,0,L33-M33)</f>
        <v>0</v>
      </c>
      <c r="O33" s="389">
        <f>+IF(N33&gt;0,N33/L33,0)</f>
        <v>0</v>
      </c>
      <c r="R33" s="467"/>
      <c r="AK33" s="470"/>
      <c r="AL33" s="470"/>
      <c r="AM33" s="470"/>
      <c r="AN33" s="470"/>
      <c r="AO33" s="470"/>
      <c r="AP33" s="470"/>
      <c r="AQ33" s="470"/>
      <c r="AR33" s="470"/>
      <c r="AS33" s="470"/>
      <c r="AT33" s="470"/>
      <c r="AU33" s="470"/>
      <c r="AV33" s="470"/>
      <c r="AW33" s="470"/>
      <c r="AX33" s="470"/>
      <c r="AY33" s="470"/>
      <c r="AZ33" s="470"/>
      <c r="BA33" s="470"/>
    </row>
    <row r="34" spans="2:53" s="308" customFormat="1">
      <c r="B34" s="361"/>
      <c r="C34" s="362"/>
      <c r="D34" s="362"/>
      <c r="E34" s="362"/>
      <c r="J34" s="429"/>
      <c r="M34" s="309"/>
      <c r="R34" s="467"/>
      <c r="AK34" s="470"/>
      <c r="AL34" s="470"/>
      <c r="AM34" s="470"/>
      <c r="AN34" s="470"/>
      <c r="AO34" s="470"/>
      <c r="AP34" s="470"/>
      <c r="AQ34" s="470"/>
      <c r="AR34" s="470"/>
      <c r="AS34" s="470"/>
      <c r="AT34" s="470"/>
      <c r="AU34" s="470"/>
      <c r="AV34" s="470"/>
      <c r="AW34" s="470"/>
      <c r="AX34" s="470"/>
      <c r="AY34" s="470"/>
      <c r="AZ34" s="470"/>
      <c r="BA34" s="470"/>
    </row>
    <row r="35" spans="2:53" s="308" customFormat="1">
      <c r="B35" s="361"/>
      <c r="C35" s="362"/>
      <c r="D35" s="362"/>
      <c r="E35" s="362"/>
      <c r="I35" s="430" t="s">
        <v>70</v>
      </c>
      <c r="J35" s="431" t="s">
        <v>411</v>
      </c>
      <c r="K35" s="431" t="s">
        <v>443</v>
      </c>
      <c r="L35" s="432" t="s">
        <v>411</v>
      </c>
      <c r="M35" s="432" t="s">
        <v>444</v>
      </c>
      <c r="N35" s="431" t="s">
        <v>411</v>
      </c>
      <c r="O35" s="2005" t="s">
        <v>445</v>
      </c>
      <c r="P35" s="2006"/>
      <c r="Q35" s="468" t="s">
        <v>411</v>
      </c>
      <c r="R35" s="460" t="s">
        <v>416</v>
      </c>
      <c r="S35" s="468" t="s">
        <v>411</v>
      </c>
      <c r="T35" s="460" t="s">
        <v>446</v>
      </c>
      <c r="U35" s="309"/>
      <c r="V35" s="309"/>
      <c r="W35" s="1993"/>
      <c r="X35" s="1993"/>
      <c r="Y35" s="1993"/>
      <c r="Z35" s="1993"/>
      <c r="AK35" s="470"/>
      <c r="AL35" s="470"/>
      <c r="AM35" s="470"/>
      <c r="AN35" s="470"/>
      <c r="AO35" s="470"/>
      <c r="AP35" s="470"/>
      <c r="AQ35" s="470"/>
      <c r="AR35" s="470"/>
      <c r="AS35" s="470"/>
      <c r="AT35" s="470"/>
      <c r="AU35" s="470"/>
      <c r="AV35" s="470"/>
      <c r="AW35" s="470"/>
      <c r="AX35" s="470"/>
      <c r="AY35" s="470"/>
      <c r="AZ35" s="470"/>
      <c r="BA35" s="470"/>
    </row>
    <row r="36" spans="2:53" s="308" customFormat="1" ht="60">
      <c r="I36" s="433" t="s">
        <v>408</v>
      </c>
      <c r="J36" s="434" t="s">
        <v>270</v>
      </c>
      <c r="K36" s="435" t="s">
        <v>271</v>
      </c>
      <c r="L36" s="436" t="s">
        <v>290</v>
      </c>
      <c r="M36" s="436" t="s">
        <v>291</v>
      </c>
      <c r="N36" s="437" t="s">
        <v>330</v>
      </c>
      <c r="O36" s="438" t="s">
        <v>331</v>
      </c>
      <c r="P36" s="437"/>
      <c r="Q36" s="461" t="s">
        <v>338</v>
      </c>
      <c r="R36" s="462" t="s">
        <v>339</v>
      </c>
      <c r="S36" s="461" t="s">
        <v>348</v>
      </c>
      <c r="T36" s="462" t="s">
        <v>349</v>
      </c>
      <c r="U36" s="309"/>
      <c r="V36" s="417"/>
      <c r="W36" s="1994"/>
      <c r="X36" s="1994"/>
      <c r="Y36" s="1994"/>
      <c r="Z36" s="1994"/>
      <c r="AK36" s="470"/>
      <c r="AL36" s="470"/>
      <c r="AM36" s="470"/>
      <c r="AN36" s="470"/>
      <c r="AO36" s="470"/>
      <c r="AP36" s="470"/>
      <c r="AQ36" s="470"/>
      <c r="AR36" s="470"/>
      <c r="AS36" s="470"/>
      <c r="AT36" s="470"/>
      <c r="AU36" s="470"/>
      <c r="AV36" s="470"/>
      <c r="AW36" s="470"/>
      <c r="AX36" s="470"/>
      <c r="AY36" s="470"/>
      <c r="AZ36" s="470"/>
      <c r="BA36" s="470"/>
    </row>
    <row r="37" spans="2:53" s="308" customFormat="1" ht="60">
      <c r="I37" s="433" t="s">
        <v>52</v>
      </c>
      <c r="J37" s="434" t="s">
        <v>272</v>
      </c>
      <c r="K37" s="435" t="s">
        <v>273</v>
      </c>
      <c r="L37" s="436" t="s">
        <v>292</v>
      </c>
      <c r="M37" s="436" t="s">
        <v>293</v>
      </c>
      <c r="N37" s="437" t="s">
        <v>332</v>
      </c>
      <c r="O37" s="438" t="s">
        <v>333</v>
      </c>
      <c r="P37" s="437"/>
      <c r="Q37" s="461" t="s">
        <v>340</v>
      </c>
      <c r="R37" s="462" t="s">
        <v>341</v>
      </c>
      <c r="S37" s="461" t="s">
        <v>350</v>
      </c>
      <c r="T37" s="462" t="s">
        <v>351</v>
      </c>
      <c r="U37" s="309"/>
      <c r="V37" s="417"/>
      <c r="W37" s="1994"/>
      <c r="X37" s="1994"/>
      <c r="Y37" s="1994"/>
      <c r="Z37" s="1994"/>
      <c r="AK37" s="470"/>
      <c r="AL37" s="470"/>
      <c r="AM37" s="470"/>
      <c r="AN37" s="470"/>
      <c r="AO37" s="470"/>
      <c r="AP37" s="470"/>
      <c r="AQ37" s="470"/>
      <c r="AR37" s="470"/>
      <c r="AS37" s="470"/>
      <c r="AT37" s="470"/>
      <c r="AU37" s="470"/>
      <c r="AV37" s="470"/>
      <c r="AW37" s="470"/>
      <c r="AX37" s="470"/>
      <c r="AY37" s="470"/>
      <c r="AZ37" s="470"/>
      <c r="BA37" s="470"/>
    </row>
    <row r="38" spans="2:53" s="308" customFormat="1" ht="60">
      <c r="I38" s="433" t="s">
        <v>54</v>
      </c>
      <c r="J38" s="434" t="s">
        <v>274</v>
      </c>
      <c r="K38" s="435" t="s">
        <v>275</v>
      </c>
      <c r="L38" s="436" t="s">
        <v>294</v>
      </c>
      <c r="M38" s="436" t="s">
        <v>295</v>
      </c>
      <c r="N38" s="437" t="s">
        <v>334</v>
      </c>
      <c r="O38" s="438" t="s">
        <v>335</v>
      </c>
      <c r="P38" s="437"/>
      <c r="Q38" s="461" t="s">
        <v>342</v>
      </c>
      <c r="R38" s="462" t="s">
        <v>343</v>
      </c>
      <c r="S38" s="461" t="s">
        <v>352</v>
      </c>
      <c r="T38" s="462" t="s">
        <v>353</v>
      </c>
      <c r="U38" s="309"/>
      <c r="V38" s="417"/>
      <c r="W38" s="1994"/>
      <c r="X38" s="1994"/>
      <c r="Y38" s="1994"/>
      <c r="Z38" s="1994"/>
      <c r="AK38" s="470"/>
      <c r="AL38" s="470"/>
      <c r="AM38" s="470"/>
      <c r="AN38" s="470"/>
      <c r="AO38" s="470"/>
      <c r="AP38" s="470"/>
      <c r="AQ38" s="470"/>
      <c r="AR38" s="470"/>
      <c r="AS38" s="470"/>
      <c r="AT38" s="470"/>
      <c r="AU38" s="470"/>
      <c r="AV38" s="470"/>
      <c r="AW38" s="470"/>
      <c r="AX38" s="470"/>
      <c r="AY38" s="470"/>
      <c r="AZ38" s="470"/>
      <c r="BA38" s="470"/>
    </row>
    <row r="39" spans="2:53" s="308" customFormat="1" ht="60">
      <c r="B39" s="363"/>
      <c r="I39" s="433" t="s">
        <v>447</v>
      </c>
      <c r="J39" s="434" t="s">
        <v>276</v>
      </c>
      <c r="K39" s="435" t="s">
        <v>277</v>
      </c>
      <c r="L39" s="436" t="s">
        <v>298</v>
      </c>
      <c r="M39" s="436" t="s">
        <v>299</v>
      </c>
      <c r="N39" s="437" t="s">
        <v>336</v>
      </c>
      <c r="O39" s="438" t="s">
        <v>337</v>
      </c>
      <c r="P39" s="437"/>
      <c r="Q39" s="461" t="s">
        <v>344</v>
      </c>
      <c r="R39" s="462" t="s">
        <v>345</v>
      </c>
      <c r="U39" s="309"/>
      <c r="V39" s="417"/>
      <c r="W39" s="1994"/>
      <c r="X39" s="1994"/>
      <c r="Y39" s="1994"/>
      <c r="Z39" s="1994"/>
      <c r="AK39" s="470"/>
      <c r="AL39" s="470"/>
      <c r="AM39" s="470"/>
      <c r="AN39" s="470"/>
      <c r="AO39" s="470"/>
      <c r="AP39" s="470"/>
      <c r="AQ39" s="470"/>
      <c r="AR39" s="470"/>
      <c r="AS39" s="470"/>
      <c r="AT39" s="470"/>
      <c r="AU39" s="470"/>
      <c r="AV39" s="470"/>
      <c r="AW39" s="470"/>
      <c r="AX39" s="470"/>
      <c r="AY39" s="470"/>
      <c r="AZ39" s="470"/>
      <c r="BA39" s="470"/>
    </row>
    <row r="40" spans="2:53" s="308" customFormat="1" ht="45">
      <c r="I40" s="433" t="s">
        <v>448</v>
      </c>
      <c r="J40" s="438" t="s">
        <v>284</v>
      </c>
      <c r="K40" s="435" t="s">
        <v>285</v>
      </c>
      <c r="L40" s="436" t="s">
        <v>320</v>
      </c>
      <c r="M40" s="436" t="s">
        <v>321</v>
      </c>
      <c r="N40" s="439"/>
      <c r="O40" s="439"/>
      <c r="P40" s="439"/>
      <c r="Q40" s="469" t="s">
        <v>346</v>
      </c>
      <c r="R40" s="469" t="s">
        <v>347</v>
      </c>
      <c r="U40" s="309"/>
      <c r="V40" s="309"/>
      <c r="W40" s="309"/>
      <c r="X40" s="309"/>
      <c r="Y40" s="309"/>
      <c r="Z40" s="309"/>
      <c r="AK40" s="470"/>
      <c r="AL40" s="470"/>
      <c r="AM40" s="470"/>
      <c r="AN40" s="470"/>
      <c r="AO40" s="470"/>
      <c r="AP40" s="470"/>
      <c r="AQ40" s="470"/>
      <c r="AR40" s="470"/>
      <c r="AS40" s="470"/>
      <c r="AT40" s="470"/>
      <c r="AU40" s="470"/>
      <c r="AV40" s="470"/>
      <c r="AW40" s="470"/>
      <c r="AX40" s="470"/>
      <c r="AY40" s="470"/>
      <c r="AZ40" s="470"/>
      <c r="BA40" s="470"/>
    </row>
    <row r="41" spans="2:53" s="308" customFormat="1" ht="45">
      <c r="I41" s="433" t="s">
        <v>449</v>
      </c>
      <c r="J41" s="438" t="s">
        <v>286</v>
      </c>
      <c r="K41" s="435" t="s">
        <v>287</v>
      </c>
      <c r="L41" s="436" t="s">
        <v>322</v>
      </c>
      <c r="M41" s="436" t="s">
        <v>323</v>
      </c>
      <c r="N41" s="439"/>
      <c r="O41" s="439"/>
      <c r="P41" s="439"/>
      <c r="Q41" s="439"/>
      <c r="R41" s="439"/>
      <c r="U41" s="309"/>
      <c r="V41" s="309"/>
      <c r="W41" s="309"/>
      <c r="X41" s="309"/>
      <c r="Y41" s="309"/>
      <c r="Z41" s="309"/>
      <c r="AK41" s="470"/>
      <c r="AL41" s="470"/>
      <c r="AM41" s="470"/>
      <c r="AN41" s="470"/>
      <c r="AO41" s="470"/>
      <c r="AP41" s="470"/>
      <c r="AQ41" s="470"/>
      <c r="AR41" s="470"/>
      <c r="AS41" s="470"/>
      <c r="AT41" s="470"/>
      <c r="AU41" s="470"/>
      <c r="AV41" s="470"/>
      <c r="AW41" s="470"/>
      <c r="AX41" s="470"/>
      <c r="AY41" s="470"/>
      <c r="AZ41" s="470"/>
      <c r="BA41" s="470"/>
    </row>
    <row r="42" spans="2:53" s="309" customFormat="1" ht="30">
      <c r="B42" s="364"/>
      <c r="G42" s="308"/>
      <c r="I42" s="433" t="s">
        <v>450</v>
      </c>
      <c r="J42" s="438" t="s">
        <v>288</v>
      </c>
      <c r="K42" s="435" t="s">
        <v>289</v>
      </c>
      <c r="L42" s="436" t="s">
        <v>324</v>
      </c>
      <c r="M42" s="436" t="s">
        <v>325</v>
      </c>
      <c r="N42" s="439"/>
      <c r="O42" s="439"/>
      <c r="P42" s="439"/>
      <c r="Q42" s="439"/>
      <c r="R42" s="439"/>
      <c r="AK42" s="471"/>
      <c r="AL42" s="471"/>
      <c r="AM42" s="471"/>
      <c r="AN42" s="471"/>
      <c r="AO42" s="471"/>
      <c r="AP42" s="471"/>
      <c r="AQ42" s="471"/>
      <c r="AR42" s="471"/>
      <c r="AS42" s="471"/>
      <c r="AT42" s="471"/>
      <c r="AU42" s="471"/>
      <c r="AV42" s="471"/>
      <c r="AW42" s="471"/>
      <c r="AX42" s="471"/>
      <c r="AY42" s="471"/>
      <c r="AZ42" s="471"/>
      <c r="BA42" s="471"/>
    </row>
    <row r="43" spans="2:53" ht="25.5">
      <c r="B43" s="365"/>
      <c r="G43" s="335"/>
      <c r="I43" s="440" t="s">
        <v>18</v>
      </c>
      <c r="J43" s="441" t="s">
        <v>280</v>
      </c>
      <c r="K43" s="442" t="s">
        <v>281</v>
      </c>
      <c r="L43" s="436" t="s">
        <v>302</v>
      </c>
      <c r="M43" s="443" t="s">
        <v>303</v>
      </c>
      <c r="N43" s="444"/>
      <c r="O43" s="439"/>
      <c r="P43" s="445"/>
      <c r="Q43" s="445"/>
      <c r="R43" s="445"/>
      <c r="U43" s="458"/>
      <c r="AK43" s="405"/>
      <c r="AL43" s="405"/>
      <c r="AM43" s="405"/>
      <c r="AN43" s="405"/>
      <c r="AO43" s="405"/>
      <c r="AP43" s="405"/>
      <c r="AQ43" s="405"/>
      <c r="AR43" s="405"/>
      <c r="AS43" s="405"/>
      <c r="AT43" s="405"/>
      <c r="AU43" s="405"/>
      <c r="AV43" s="405"/>
      <c r="AW43" s="405"/>
      <c r="AX43" s="405"/>
      <c r="AY43" s="405"/>
      <c r="AZ43" s="405"/>
      <c r="BA43" s="405"/>
    </row>
    <row r="44" spans="2:53" ht="30">
      <c r="G44" s="335"/>
      <c r="I44" s="433" t="s">
        <v>246</v>
      </c>
      <c r="J44" s="441" t="s">
        <v>282</v>
      </c>
      <c r="K44" s="442" t="s">
        <v>283</v>
      </c>
      <c r="L44" s="446" t="s">
        <v>304</v>
      </c>
      <c r="M44" s="446" t="s">
        <v>305</v>
      </c>
      <c r="N44" s="444"/>
      <c r="O44" s="444"/>
      <c r="P44" s="444"/>
      <c r="Q44" s="444"/>
      <c r="R44" s="444"/>
      <c r="AK44" s="405"/>
      <c r="AL44" s="405"/>
      <c r="AM44" s="405"/>
      <c r="AN44" s="405"/>
      <c r="AO44" s="405"/>
      <c r="AP44" s="405"/>
      <c r="AQ44" s="405"/>
      <c r="AR44" s="405"/>
      <c r="AS44" s="405"/>
      <c r="AT44" s="405"/>
      <c r="AU44" s="405"/>
      <c r="AV44" s="405"/>
      <c r="AW44" s="405"/>
      <c r="AX44" s="405"/>
      <c r="AY44" s="405"/>
      <c r="AZ44" s="405"/>
      <c r="BA44" s="405"/>
    </row>
    <row r="45" spans="2:53" s="309" customFormat="1" ht="30">
      <c r="I45" s="433" t="s">
        <v>423</v>
      </c>
      <c r="J45" s="439"/>
      <c r="K45" s="439"/>
      <c r="L45" s="436" t="s">
        <v>300</v>
      </c>
      <c r="M45" s="436" t="s">
        <v>301</v>
      </c>
      <c r="N45" s="439"/>
      <c r="O45" s="439"/>
      <c r="P45" s="439"/>
      <c r="Q45" s="439"/>
      <c r="R45" s="439"/>
      <c r="AK45" s="471"/>
      <c r="AL45" s="471"/>
      <c r="AM45" s="471"/>
      <c r="AN45" s="471"/>
      <c r="AO45" s="471"/>
      <c r="AP45" s="471"/>
      <c r="AQ45" s="471"/>
      <c r="AR45" s="471"/>
      <c r="AS45" s="471"/>
      <c r="AT45" s="471"/>
      <c r="AU45" s="471"/>
      <c r="AV45" s="471"/>
      <c r="AW45" s="471"/>
      <c r="AX45" s="471"/>
      <c r="AY45" s="471"/>
      <c r="AZ45" s="471"/>
      <c r="BA45" s="471"/>
    </row>
    <row r="46" spans="2:53" s="309" customFormat="1" ht="30">
      <c r="I46" s="433" t="s">
        <v>451</v>
      </c>
      <c r="J46" s="439"/>
      <c r="K46" s="439"/>
      <c r="L46" s="436" t="s">
        <v>296</v>
      </c>
      <c r="M46" s="436" t="s">
        <v>297</v>
      </c>
      <c r="N46" s="439"/>
      <c r="O46" s="439"/>
      <c r="P46" s="439"/>
      <c r="Q46" s="439"/>
      <c r="R46" s="439"/>
      <c r="AK46" s="471"/>
      <c r="AL46" s="471"/>
      <c r="AM46" s="471"/>
      <c r="AN46" s="471"/>
      <c r="AO46" s="471"/>
      <c r="AP46" s="471"/>
      <c r="AQ46" s="471"/>
      <c r="AR46" s="471"/>
      <c r="AS46" s="471"/>
      <c r="AT46" s="471"/>
      <c r="AU46" s="471"/>
      <c r="AV46" s="471"/>
      <c r="AW46" s="471"/>
      <c r="AX46" s="471"/>
      <c r="AY46" s="471"/>
      <c r="AZ46" s="471"/>
      <c r="BA46" s="471"/>
    </row>
    <row r="47" spans="2:53" ht="45">
      <c r="B47" s="309"/>
      <c r="D47" t="s">
        <v>147</v>
      </c>
      <c r="I47" s="433" t="s">
        <v>452</v>
      </c>
      <c r="J47" s="439"/>
      <c r="K47" s="439"/>
      <c r="L47" s="436" t="s">
        <v>326</v>
      </c>
      <c r="M47" s="436" t="s">
        <v>327</v>
      </c>
      <c r="N47" s="439"/>
      <c r="O47" s="439"/>
      <c r="P47" s="439"/>
      <c r="Q47" s="439"/>
      <c r="R47" s="439"/>
      <c r="U47" s="309"/>
      <c r="AK47" s="405"/>
      <c r="AL47" s="405"/>
      <c r="AM47" s="405"/>
      <c r="AN47" s="405"/>
      <c r="AO47" s="405"/>
      <c r="AP47" s="405"/>
      <c r="AQ47" s="405"/>
      <c r="AR47" s="405"/>
      <c r="AS47" s="405"/>
      <c r="AT47" s="405"/>
      <c r="AU47" s="405"/>
      <c r="AV47" s="405"/>
      <c r="AW47" s="405"/>
      <c r="AX47" s="405"/>
      <c r="AY47" s="405"/>
      <c r="AZ47" s="405"/>
      <c r="BA47" s="405"/>
    </row>
    <row r="48" spans="2:53" ht="45">
      <c r="I48" s="433" t="s">
        <v>453</v>
      </c>
      <c r="J48" s="439"/>
      <c r="K48" s="439"/>
      <c r="L48" s="447" t="s">
        <v>328</v>
      </c>
      <c r="M48" s="436" t="s">
        <v>329</v>
      </c>
      <c r="N48" s="439"/>
      <c r="O48" s="448"/>
      <c r="P48" s="439"/>
      <c r="Q48" s="439"/>
      <c r="R48" s="439"/>
      <c r="U48" s="309"/>
      <c r="AK48" s="405"/>
      <c r="AL48" s="405"/>
      <c r="AM48" s="405"/>
      <c r="AN48" s="405"/>
      <c r="AO48" s="405"/>
      <c r="AP48" s="405"/>
      <c r="AQ48" s="405"/>
      <c r="AR48" s="405"/>
      <c r="AS48" s="405"/>
      <c r="AT48" s="405"/>
      <c r="AU48" s="405"/>
      <c r="AV48" s="405"/>
      <c r="AW48" s="405"/>
      <c r="AX48" s="405"/>
      <c r="AY48" s="405"/>
      <c r="AZ48" s="405"/>
      <c r="BA48" s="405"/>
    </row>
    <row r="49" spans="2:53" ht="30">
      <c r="I49" s="449" t="s">
        <v>454</v>
      </c>
      <c r="J49" s="450" t="s">
        <v>278</v>
      </c>
      <c r="K49" s="451" t="s">
        <v>279</v>
      </c>
      <c r="L49" s="452" t="s">
        <v>306</v>
      </c>
      <c r="M49" s="453" t="s">
        <v>455</v>
      </c>
      <c r="N49" s="454"/>
      <c r="O49" s="454"/>
      <c r="P49" s="454"/>
      <c r="Q49" s="391"/>
      <c r="R49" s="391"/>
      <c r="S49" s="391"/>
      <c r="T49" s="391"/>
      <c r="AK49" s="405"/>
      <c r="AL49" s="405"/>
      <c r="AM49" s="405"/>
      <c r="AN49" s="405"/>
      <c r="AO49" s="405"/>
      <c r="AP49" s="405"/>
      <c r="AQ49" s="405"/>
      <c r="AR49" s="405"/>
      <c r="AS49" s="405"/>
      <c r="AT49" s="405"/>
      <c r="AU49" s="405"/>
      <c r="AV49" s="405"/>
      <c r="AW49" s="405"/>
      <c r="AX49" s="405"/>
      <c r="AY49" s="405"/>
      <c r="AZ49" s="405"/>
      <c r="BA49" s="405"/>
    </row>
    <row r="50" spans="2:53" ht="30">
      <c r="I50" s="449" t="s">
        <v>456</v>
      </c>
      <c r="K50" s="391"/>
      <c r="L50" s="455" t="s">
        <v>308</v>
      </c>
      <c r="M50" s="453" t="s">
        <v>309</v>
      </c>
      <c r="N50" s="309"/>
      <c r="O50" s="309"/>
      <c r="P50" s="309"/>
      <c r="AK50" s="405"/>
      <c r="AL50" s="405"/>
      <c r="AM50" s="405"/>
      <c r="AN50" s="405"/>
      <c r="AO50" s="405"/>
      <c r="AP50" s="405"/>
      <c r="AQ50" s="405"/>
      <c r="AR50" s="405"/>
      <c r="AS50" s="405"/>
      <c r="AT50" s="405"/>
      <c r="AU50" s="405"/>
      <c r="AV50" s="405"/>
      <c r="AW50" s="405"/>
      <c r="AX50" s="405"/>
      <c r="AY50" s="405"/>
      <c r="AZ50" s="405"/>
      <c r="BA50" s="405"/>
    </row>
    <row r="51" spans="2:53" ht="30">
      <c r="I51" s="449" t="s">
        <v>454</v>
      </c>
      <c r="K51" s="391"/>
      <c r="L51" s="455" t="s">
        <v>306</v>
      </c>
      <c r="M51" s="453" t="s">
        <v>455</v>
      </c>
      <c r="N51" s="309"/>
      <c r="O51" s="309"/>
      <c r="P51" s="309"/>
    </row>
    <row r="52" spans="2:53" ht="39">
      <c r="B52" s="309"/>
      <c r="C52" s="309"/>
      <c r="I52" s="449" t="s">
        <v>457</v>
      </c>
      <c r="K52" s="456"/>
      <c r="L52" s="309" t="s">
        <v>310</v>
      </c>
      <c r="M52" s="457" t="s">
        <v>311</v>
      </c>
      <c r="N52" s="458"/>
      <c r="O52" s="458"/>
      <c r="P52" s="458"/>
    </row>
    <row r="53" spans="2:53" ht="30">
      <c r="I53" s="449" t="s">
        <v>458</v>
      </c>
      <c r="K53" s="456"/>
      <c r="L53" t="s">
        <v>312</v>
      </c>
      <c r="M53" t="s">
        <v>313</v>
      </c>
      <c r="O53" s="459" t="s">
        <v>352</v>
      </c>
      <c r="P53" s="460" t="s">
        <v>353</v>
      </c>
    </row>
    <row r="54" spans="2:53" ht="30">
      <c r="I54" s="449" t="s">
        <v>459</v>
      </c>
      <c r="L54" s="308" t="s">
        <v>314</v>
      </c>
      <c r="M54" s="308" t="s">
        <v>315</v>
      </c>
      <c r="N54" s="308"/>
      <c r="O54" s="461" t="s">
        <v>348</v>
      </c>
      <c r="P54" s="462" t="s">
        <v>349</v>
      </c>
    </row>
    <row r="55" spans="2:53" ht="30">
      <c r="I55" s="449" t="s">
        <v>460</v>
      </c>
      <c r="L55" s="308" t="s">
        <v>316</v>
      </c>
      <c r="M55" s="308" t="s">
        <v>317</v>
      </c>
      <c r="N55" s="308"/>
      <c r="O55" s="461" t="s">
        <v>350</v>
      </c>
      <c r="P55" s="462" t="s">
        <v>351</v>
      </c>
    </row>
    <row r="56" spans="2:53">
      <c r="I56" s="449" t="s">
        <v>461</v>
      </c>
      <c r="L56" s="308" t="s">
        <v>318</v>
      </c>
      <c r="M56" s="308" t="s">
        <v>319</v>
      </c>
      <c r="N56" s="308"/>
      <c r="O56" s="461"/>
      <c r="P56" s="462"/>
    </row>
    <row r="57" spans="2:53">
      <c r="L57" s="463"/>
      <c r="M57" s="464"/>
      <c r="N57" s="308"/>
      <c r="O57" s="308"/>
      <c r="P57" s="308"/>
    </row>
    <row r="58" spans="2:53">
      <c r="L58" s="465"/>
      <c r="M58" s="466"/>
    </row>
    <row r="59" spans="2:53">
      <c r="L59" s="465"/>
      <c r="M59" s="466"/>
    </row>
    <row r="60" spans="2:53">
      <c r="L60" s="465"/>
      <c r="M60" s="466"/>
    </row>
    <row r="61" spans="2:53">
      <c r="L61" s="335"/>
      <c r="M61" s="335"/>
    </row>
  </sheetData>
  <mergeCells count="19">
    <mergeCell ref="C2:G2"/>
    <mergeCell ref="B6:F6"/>
    <mergeCell ref="B18:F18"/>
    <mergeCell ref="C19:F19"/>
    <mergeCell ref="O35:P35"/>
    <mergeCell ref="B2:B3"/>
    <mergeCell ref="B19:B20"/>
    <mergeCell ref="I3:I9"/>
    <mergeCell ref="I11:I16"/>
    <mergeCell ref="I18:I19"/>
    <mergeCell ref="I20:I21"/>
    <mergeCell ref="I23:I25"/>
    <mergeCell ref="I27:I29"/>
    <mergeCell ref="I31:I33"/>
    <mergeCell ref="W35:Z35"/>
    <mergeCell ref="W36:Z36"/>
    <mergeCell ref="W37:Z37"/>
    <mergeCell ref="W38:Z38"/>
    <mergeCell ref="W39:Z39"/>
  </mergeCells>
  <dataValidations count="3">
    <dataValidation type="list" allowBlank="1" showInputMessage="1" showErrorMessage="1" sqref="B4" xr:uid="{00000000-0002-0000-0A00-000000000000}">
      <formula1>$I$36:$I$58</formula1>
    </dataValidation>
    <dataValidation type="list" allowBlank="1" showInputMessage="1" showErrorMessage="1" sqref="B21" xr:uid="{00000000-0002-0000-0A00-000001000000}">
      <formula1>$I$36:$I$48</formula1>
    </dataValidation>
    <dataValidation type="list" allowBlank="1" showInputMessage="1" showErrorMessage="1" sqref="B22:B35" xr:uid="{00000000-0002-0000-0A00-000002000000}">
      <formula1>$I$47:$I$48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pageSetUpPr fitToPage="1"/>
  </sheetPr>
  <dimension ref="B1:W1152"/>
  <sheetViews>
    <sheetView topLeftCell="B1" zoomScale="78" zoomScaleNormal="78" workbookViewId="0">
      <pane xSplit="4" ySplit="4" topLeftCell="F8" activePane="bottomRight" state="frozen"/>
      <selection activeCell="B1" sqref="B1"/>
      <selection pane="topRight" activeCell="F1" sqref="F1"/>
      <selection pane="bottomLeft" activeCell="B5" sqref="B5"/>
      <selection pane="bottomRight" activeCell="I15" sqref="I15"/>
    </sheetView>
  </sheetViews>
  <sheetFormatPr baseColWidth="10" defaultColWidth="11" defaultRowHeight="15"/>
  <cols>
    <col min="1" max="1" width="3.140625" customWidth="1"/>
    <col min="2" max="2" width="30.42578125" customWidth="1"/>
    <col min="3" max="3" width="11.28515625" customWidth="1"/>
    <col min="4" max="4" width="5.5703125" customWidth="1"/>
    <col min="5" max="5" width="31.85546875" customWidth="1"/>
    <col min="6" max="6" width="13.42578125" customWidth="1"/>
    <col min="7" max="7" width="9" customWidth="1"/>
    <col min="8" max="8" width="32.85546875" customWidth="1"/>
    <col min="9" max="9" width="13.5703125" customWidth="1"/>
    <col min="10" max="10" width="5.42578125" customWidth="1"/>
    <col min="11" max="11" width="29.7109375" customWidth="1"/>
    <col min="12" max="12" width="18.85546875" customWidth="1"/>
    <col min="13" max="13" width="3.42578125" customWidth="1"/>
    <col min="14" max="14" width="22.42578125" customWidth="1"/>
    <col min="15" max="15" width="12.5703125" customWidth="1"/>
    <col min="16" max="16" width="4.85546875" customWidth="1"/>
    <col min="17" max="17" width="11" customWidth="1"/>
    <col min="19" max="19" width="13.7109375" customWidth="1"/>
    <col min="20" max="20" width="4.42578125" customWidth="1"/>
  </cols>
  <sheetData>
    <row r="1" spans="2:23">
      <c r="H1" s="2028"/>
      <c r="I1" s="2028"/>
    </row>
    <row r="2" spans="2:23" s="257" customFormat="1" ht="18.75">
      <c r="B2" s="2017" t="s">
        <v>462</v>
      </c>
      <c r="C2" s="2017"/>
      <c r="D2" s="260"/>
      <c r="E2" s="2017" t="s">
        <v>463</v>
      </c>
      <c r="F2" s="2017"/>
      <c r="G2" s="259"/>
      <c r="H2" s="2017" t="s">
        <v>464</v>
      </c>
      <c r="I2" s="2017"/>
      <c r="J2" s="260"/>
      <c r="K2" s="2017" t="s">
        <v>465</v>
      </c>
      <c r="L2" s="2017"/>
      <c r="N2" s="2017" t="s">
        <v>466</v>
      </c>
      <c r="O2" s="2017"/>
      <c r="Q2" s="2017" t="s">
        <v>467</v>
      </c>
      <c r="R2" s="2027"/>
      <c r="S2" s="2027"/>
      <c r="U2" s="2017" t="s">
        <v>468</v>
      </c>
      <c r="V2" s="2027"/>
      <c r="W2" s="2027"/>
    </row>
    <row r="3" spans="2:23"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N3" s="261"/>
      <c r="O3" s="261"/>
      <c r="Q3" s="261"/>
      <c r="R3" s="261"/>
      <c r="S3" s="261"/>
      <c r="U3" s="261"/>
      <c r="V3" s="261"/>
      <c r="W3" s="261"/>
    </row>
    <row r="4" spans="2:23">
      <c r="B4" s="262" t="s">
        <v>469</v>
      </c>
      <c r="C4" s="263" t="s">
        <v>470</v>
      </c>
      <c r="D4" s="261"/>
      <c r="E4" s="264" t="s">
        <v>471</v>
      </c>
      <c r="F4" s="264">
        <v>15.75</v>
      </c>
      <c r="G4" s="264"/>
      <c r="H4" s="264" t="s">
        <v>471</v>
      </c>
      <c r="I4" s="264">
        <v>15.75</v>
      </c>
      <c r="J4" s="261"/>
      <c r="K4" s="264" t="s">
        <v>471</v>
      </c>
      <c r="L4" s="264">
        <v>16.5</v>
      </c>
      <c r="N4" s="261" t="s">
        <v>472</v>
      </c>
      <c r="O4" s="280">
        <v>9.5</v>
      </c>
      <c r="Q4" s="2025" t="s">
        <v>473</v>
      </c>
      <c r="R4" s="2025"/>
      <c r="S4" s="264">
        <v>15</v>
      </c>
      <c r="U4" s="2025" t="s">
        <v>473</v>
      </c>
      <c r="V4" s="2025"/>
      <c r="W4" s="264">
        <v>15</v>
      </c>
    </row>
    <row r="5" spans="2:23">
      <c r="B5" s="262" t="s">
        <v>474</v>
      </c>
      <c r="C5" s="263" t="s">
        <v>475</v>
      </c>
      <c r="D5" s="261"/>
      <c r="E5" s="261" t="s">
        <v>476</v>
      </c>
      <c r="F5" s="265">
        <v>14</v>
      </c>
      <c r="G5" s="265"/>
      <c r="H5" s="261" t="s">
        <v>476</v>
      </c>
      <c r="I5" s="1376">
        <v>33</v>
      </c>
      <c r="J5" s="261"/>
      <c r="K5" s="261" t="s">
        <v>476</v>
      </c>
      <c r="L5" s="1730">
        <v>45.5</v>
      </c>
      <c r="N5" s="264" t="s">
        <v>477</v>
      </c>
      <c r="O5" s="264">
        <v>0.8</v>
      </c>
      <c r="Q5" s="261" t="s">
        <v>478</v>
      </c>
      <c r="R5" s="261"/>
      <c r="S5" s="264">
        <v>20</v>
      </c>
      <c r="U5" s="261" t="s">
        <v>478</v>
      </c>
      <c r="V5" s="261"/>
      <c r="W5" s="264">
        <v>20</v>
      </c>
    </row>
    <row r="6" spans="2:23">
      <c r="B6" s="262" t="s">
        <v>479</v>
      </c>
      <c r="C6" s="263" t="s">
        <v>480</v>
      </c>
      <c r="D6" s="261"/>
      <c r="E6" s="264" t="s">
        <v>481</v>
      </c>
      <c r="F6" s="266">
        <v>3.8199999999999998E-2</v>
      </c>
      <c r="G6" s="266"/>
      <c r="H6" s="264" t="s">
        <v>481</v>
      </c>
      <c r="I6" s="266">
        <v>3.712E-2</v>
      </c>
      <c r="J6" s="261"/>
      <c r="K6" s="264" t="s">
        <v>481</v>
      </c>
      <c r="L6" s="266">
        <v>4.7899999999999998E-2</v>
      </c>
      <c r="N6" s="264" t="s">
        <v>482</v>
      </c>
      <c r="O6" s="264">
        <v>3.8</v>
      </c>
      <c r="Q6" s="264" t="s">
        <v>483</v>
      </c>
      <c r="R6" s="261"/>
      <c r="S6" s="305">
        <v>32</v>
      </c>
      <c r="U6" s="264" t="s">
        <v>483</v>
      </c>
      <c r="V6" s="261"/>
      <c r="W6" s="305">
        <v>22.9</v>
      </c>
    </row>
    <row r="7" spans="2:23">
      <c r="B7" s="262" t="s">
        <v>484</v>
      </c>
      <c r="C7" s="263" t="s">
        <v>485</v>
      </c>
      <c r="D7" s="261"/>
      <c r="E7" s="264" t="s">
        <v>486</v>
      </c>
      <c r="F7" s="264">
        <v>18.5</v>
      </c>
      <c r="G7" s="264"/>
      <c r="H7" s="264" t="s">
        <v>486</v>
      </c>
      <c r="I7" s="264">
        <v>16</v>
      </c>
      <c r="J7" s="261"/>
      <c r="K7" s="264" t="s">
        <v>487</v>
      </c>
      <c r="L7" s="264">
        <v>28.5</v>
      </c>
      <c r="N7" s="261"/>
      <c r="O7" s="261"/>
      <c r="Q7" s="261" t="s">
        <v>488</v>
      </c>
      <c r="R7" s="261"/>
      <c r="S7" s="264">
        <v>590</v>
      </c>
      <c r="U7" s="261" t="s">
        <v>488</v>
      </c>
      <c r="V7" s="261"/>
      <c r="W7" s="264">
        <v>900</v>
      </c>
    </row>
    <row r="8" spans="2:23">
      <c r="B8" s="262" t="s">
        <v>489</v>
      </c>
      <c r="C8" s="263" t="s">
        <v>490</v>
      </c>
      <c r="D8" s="261"/>
      <c r="E8" s="267" t="s">
        <v>491</v>
      </c>
      <c r="F8" s="267">
        <v>0</v>
      </c>
      <c r="G8" s="267"/>
      <c r="H8" s="267" t="s">
        <v>491</v>
      </c>
      <c r="I8" s="267">
        <v>7.9</v>
      </c>
      <c r="J8" s="261"/>
      <c r="K8" s="261"/>
      <c r="L8" s="261"/>
      <c r="N8" s="261"/>
      <c r="O8" s="261"/>
      <c r="Q8" s="261"/>
      <c r="R8" s="261"/>
      <c r="S8" s="261"/>
      <c r="U8" s="261"/>
      <c r="V8" s="261"/>
      <c r="W8" s="261"/>
    </row>
    <row r="9" spans="2:23" s="258" customFormat="1" ht="17.25">
      <c r="B9" s="261" t="s">
        <v>492</v>
      </c>
      <c r="C9" s="268" t="s">
        <v>493</v>
      </c>
      <c r="D9" s="269"/>
      <c r="E9" s="270" t="s">
        <v>494</v>
      </c>
      <c r="F9" s="271">
        <f>ROUNDUP(3.1416*F5*(F5+$F$4)/$F$6/$F$7,0)</f>
        <v>1852</v>
      </c>
      <c r="G9" s="271"/>
      <c r="H9" s="270" t="s">
        <v>494</v>
      </c>
      <c r="I9" s="1377">
        <f>ROUNDUP(3.1416*I5*(I5+$F$4)/$I$6/$I$7,0)</f>
        <v>8510</v>
      </c>
      <c r="J9" s="286"/>
      <c r="K9" s="270" t="s">
        <v>494</v>
      </c>
      <c r="L9" s="295">
        <f>(3.1416*L5*(L5+L4)/L6/L7)</f>
        <v>6491.9266014723671</v>
      </c>
      <c r="N9" s="270" t="s">
        <v>495</v>
      </c>
      <c r="O9" s="296">
        <f>+ROUNDUP((O4-O5)/3.8*1000,0)</f>
        <v>2290</v>
      </c>
      <c r="Q9" s="270" t="s">
        <v>496</v>
      </c>
      <c r="R9" s="269"/>
      <c r="S9" s="306">
        <f>IF(S6&gt;0,(S4*S5*(13.5-S6))/S7,"")</f>
        <v>-9.4067796610169498</v>
      </c>
      <c r="U9" s="270" t="s">
        <v>497</v>
      </c>
      <c r="V9" s="269"/>
      <c r="W9" s="276">
        <f>IF(W6&gt;0,(W4*W5*(14-W6))/W7,"")</f>
        <v>-2.9666666666666663</v>
      </c>
    </row>
    <row r="10" spans="2:23" ht="18.75">
      <c r="B10" s="261" t="s">
        <v>498</v>
      </c>
      <c r="C10" s="268" t="s">
        <v>499</v>
      </c>
      <c r="D10" s="261"/>
      <c r="E10" s="272" t="s">
        <v>494</v>
      </c>
      <c r="F10" s="273">
        <f>ROUNDUP((F8-0.53)*1000/10.4,0)</f>
        <v>-51</v>
      </c>
      <c r="G10" s="273"/>
      <c r="H10" s="272" t="s">
        <v>494</v>
      </c>
      <c r="I10" s="273">
        <f>ROUNDUP((I8-0.53)*1000/10.4,0)</f>
        <v>709</v>
      </c>
      <c r="J10" s="261"/>
      <c r="K10" s="261"/>
      <c r="L10" s="297"/>
      <c r="N10" s="261"/>
      <c r="O10" s="261"/>
      <c r="Q10" s="307" t="s">
        <v>500</v>
      </c>
      <c r="R10" s="261"/>
      <c r="S10" s="303">
        <f>0.5*S9</f>
        <v>-4.7033898305084749</v>
      </c>
      <c r="U10" s="307" t="s">
        <v>500</v>
      </c>
      <c r="V10" s="261"/>
      <c r="W10" s="303">
        <f>0.535*W9</f>
        <v>-1.5871666666666666</v>
      </c>
    </row>
    <row r="11" spans="2:23" ht="18.75">
      <c r="B11" s="261" t="s">
        <v>501</v>
      </c>
      <c r="C11" s="268" t="s">
        <v>502</v>
      </c>
      <c r="D11" s="261"/>
      <c r="E11" s="274"/>
      <c r="F11" s="275"/>
      <c r="G11" s="275"/>
      <c r="H11" s="275"/>
      <c r="I11" s="275"/>
      <c r="J11" s="261"/>
      <c r="K11" s="297" t="s">
        <v>147</v>
      </c>
      <c r="L11" s="261"/>
      <c r="N11" s="261"/>
      <c r="O11" s="261"/>
      <c r="Q11" s="261"/>
      <c r="R11" s="261"/>
      <c r="S11" s="261"/>
    </row>
    <row r="12" spans="2:23" ht="18.75">
      <c r="B12" s="261" t="s">
        <v>503</v>
      </c>
      <c r="C12" s="268" t="s">
        <v>504</v>
      </c>
      <c r="D12" s="261"/>
      <c r="E12" s="2017" t="s">
        <v>505</v>
      </c>
      <c r="F12" s="2017"/>
      <c r="G12" s="259"/>
      <c r="H12" s="2020" t="s">
        <v>667</v>
      </c>
      <c r="I12" s="2020"/>
      <c r="J12" s="261"/>
      <c r="K12" s="261"/>
      <c r="L12" s="261"/>
      <c r="N12" s="261"/>
      <c r="O12" s="261"/>
      <c r="Q12" s="261"/>
      <c r="R12" s="261"/>
      <c r="S12" s="261"/>
    </row>
    <row r="13" spans="2:23" s="257" customFormat="1" ht="18.75">
      <c r="B13" s="276" t="s">
        <v>506</v>
      </c>
      <c r="C13" s="277" t="s">
        <v>507</v>
      </c>
      <c r="D13" s="260"/>
      <c r="E13" s="261"/>
      <c r="F13" s="261"/>
      <c r="G13" s="261"/>
      <c r="H13" s="261"/>
      <c r="I13" s="276"/>
      <c r="J13" s="260"/>
      <c r="K13" s="2020" t="s">
        <v>508</v>
      </c>
      <c r="L13" s="2020"/>
      <c r="N13" s="2020" t="s">
        <v>509</v>
      </c>
      <c r="O13" s="2020"/>
      <c r="Q13" s="2017" t="s">
        <v>510</v>
      </c>
      <c r="R13" s="2027"/>
      <c r="S13" s="2027"/>
      <c r="U13" s="2023" t="s">
        <v>511</v>
      </c>
      <c r="V13" s="2024"/>
    </row>
    <row r="14" spans="2:23">
      <c r="B14" s="261" t="s">
        <v>512</v>
      </c>
      <c r="C14" s="268" t="s">
        <v>513</v>
      </c>
      <c r="D14" s="261"/>
      <c r="E14" s="264" t="s">
        <v>471</v>
      </c>
      <c r="F14" s="264">
        <v>12</v>
      </c>
      <c r="G14" s="264"/>
      <c r="H14" s="278" t="s">
        <v>514</v>
      </c>
      <c r="I14" s="298">
        <v>9.2200000000000006</v>
      </c>
      <c r="J14" s="261"/>
      <c r="K14" s="261"/>
      <c r="L14" s="276"/>
      <c r="N14" s="261"/>
      <c r="O14" s="261"/>
      <c r="Q14" s="261"/>
      <c r="R14" s="261"/>
      <c r="S14" s="261"/>
      <c r="U14" s="2021">
        <v>32.4</v>
      </c>
      <c r="V14" s="2022"/>
    </row>
    <row r="15" spans="2:23">
      <c r="B15" s="279" t="s">
        <v>515</v>
      </c>
      <c r="C15" s="279" t="s">
        <v>516</v>
      </c>
      <c r="D15" s="261"/>
      <c r="E15" s="261" t="s">
        <v>476</v>
      </c>
      <c r="F15" s="280">
        <v>38.5</v>
      </c>
      <c r="G15" s="280"/>
      <c r="H15" s="281" t="s">
        <v>517</v>
      </c>
      <c r="I15" s="299">
        <v>0.4</v>
      </c>
      <c r="J15" s="261"/>
      <c r="K15" s="278" t="s">
        <v>514</v>
      </c>
      <c r="L15" s="298">
        <v>4.3</v>
      </c>
      <c r="N15" s="261" t="s">
        <v>518</v>
      </c>
      <c r="O15" s="300">
        <v>1</v>
      </c>
      <c r="Q15" s="2025" t="s">
        <v>473</v>
      </c>
      <c r="R15" s="2025"/>
      <c r="S15" s="264">
        <v>20</v>
      </c>
      <c r="U15" s="2018" t="s">
        <v>519</v>
      </c>
      <c r="V15" s="2019"/>
    </row>
    <row r="16" spans="2:23">
      <c r="B16" s="276" t="s">
        <v>520</v>
      </c>
      <c r="C16" s="282">
        <v>1.52</v>
      </c>
      <c r="D16" s="261"/>
      <c r="E16" s="264" t="s">
        <v>481</v>
      </c>
      <c r="F16" s="266">
        <v>4.7899999999999998E-2</v>
      </c>
      <c r="G16" s="266"/>
      <c r="H16" s="281" t="s">
        <v>521</v>
      </c>
      <c r="I16" s="299">
        <v>1.1000000000000001</v>
      </c>
      <c r="J16" s="261"/>
      <c r="K16" s="281" t="s">
        <v>517</v>
      </c>
      <c r="L16" s="299">
        <v>0.5</v>
      </c>
      <c r="N16" s="261" t="s">
        <v>522</v>
      </c>
      <c r="O16" s="301">
        <v>0.1</v>
      </c>
      <c r="Q16" s="261" t="s">
        <v>478</v>
      </c>
      <c r="R16" s="261"/>
      <c r="S16" s="264">
        <v>20</v>
      </c>
      <c r="U16" s="2021">
        <v>0.9</v>
      </c>
      <c r="V16" s="2022"/>
    </row>
    <row r="17" spans="2:22">
      <c r="B17" s="283" t="s">
        <v>523</v>
      </c>
      <c r="C17" s="284">
        <v>1.75</v>
      </c>
      <c r="D17" s="261"/>
      <c r="E17" s="264" t="s">
        <v>487</v>
      </c>
      <c r="F17" s="264">
        <v>18.41</v>
      </c>
      <c r="G17" s="264"/>
      <c r="H17" s="285"/>
      <c r="I17" s="268"/>
      <c r="J17" s="261"/>
      <c r="K17" s="281" t="s">
        <v>521</v>
      </c>
      <c r="L17" s="299">
        <v>2.5</v>
      </c>
      <c r="N17" s="261" t="s">
        <v>514</v>
      </c>
      <c r="O17" s="280">
        <v>14.06</v>
      </c>
      <c r="Q17" s="264" t="s">
        <v>483</v>
      </c>
      <c r="R17" s="261"/>
      <c r="S17" s="305">
        <v>10</v>
      </c>
      <c r="U17" s="2018" t="s">
        <v>524</v>
      </c>
      <c r="V17" s="2019"/>
    </row>
    <row r="18" spans="2:22" ht="18.75">
      <c r="B18" s="283" t="s">
        <v>525</v>
      </c>
      <c r="C18" s="284">
        <v>25000</v>
      </c>
      <c r="D18" s="276"/>
      <c r="E18" s="261"/>
      <c r="F18" s="261"/>
      <c r="G18" s="261"/>
      <c r="H18" s="2020"/>
      <c r="I18" s="2020"/>
      <c r="J18" s="261"/>
      <c r="K18" s="285"/>
      <c r="L18" s="268"/>
      <c r="N18" s="264" t="s">
        <v>526</v>
      </c>
      <c r="O18" s="302">
        <f>+O17/7</f>
        <v>2.0085714285714285</v>
      </c>
      <c r="Q18" s="261" t="s">
        <v>488</v>
      </c>
      <c r="R18" s="261"/>
      <c r="S18" s="264">
        <v>900</v>
      </c>
      <c r="U18" s="2021">
        <v>0.53</v>
      </c>
      <c r="V18" s="2022"/>
    </row>
    <row r="19" spans="2:22" ht="18.75">
      <c r="B19" s="276" t="s">
        <v>527</v>
      </c>
      <c r="C19" s="276" t="s">
        <v>528</v>
      </c>
      <c r="D19" s="276"/>
      <c r="E19" s="270" t="s">
        <v>494</v>
      </c>
      <c r="F19" s="286">
        <f>(3.1416*F15*(F15+F14)/F16/F17)</f>
        <v>6926.4976940235119</v>
      </c>
      <c r="G19" s="286"/>
      <c r="H19" s="261"/>
      <c r="I19" s="276"/>
      <c r="J19" s="261"/>
      <c r="K19" s="285"/>
      <c r="L19" s="268"/>
      <c r="N19" s="303" t="s">
        <v>529</v>
      </c>
      <c r="O19" s="303">
        <f>+O15*O18*O16</f>
        <v>0.20085714285714285</v>
      </c>
      <c r="Q19" s="261"/>
      <c r="R19" s="261"/>
      <c r="S19" s="261"/>
      <c r="U19" s="2023" t="s">
        <v>530</v>
      </c>
      <c r="V19" s="2024"/>
    </row>
    <row r="20" spans="2:22" s="258" customFormat="1" ht="17.25">
      <c r="B20" s="287" t="s">
        <v>531</v>
      </c>
      <c r="C20" s="288" t="s">
        <v>532</v>
      </c>
      <c r="D20" s="289"/>
      <c r="E20" s="290"/>
      <c r="F20" s="291"/>
      <c r="G20" s="291"/>
      <c r="H20" s="290" t="s">
        <v>533</v>
      </c>
      <c r="I20" s="291">
        <f>+ROUNDDOWN((I14-$I$16)/$I$15*1000,0)</f>
        <v>20300</v>
      </c>
      <c r="J20" s="269"/>
      <c r="K20" s="290" t="s">
        <v>533</v>
      </c>
      <c r="L20" s="291">
        <f>+ROUNDDOWN((L15-$L$17)/$L$16*1000,0)</f>
        <v>3600</v>
      </c>
      <c r="N20" s="261"/>
      <c r="O20" s="261"/>
      <c r="Q20" s="270" t="s">
        <v>497</v>
      </c>
      <c r="R20" s="269"/>
      <c r="S20" s="306">
        <f>IF(S17&gt;0,(S15*S16*(24.5-S17))/S18,"")</f>
        <v>6.4444444444444446</v>
      </c>
      <c r="U20" s="2021">
        <v>10.4</v>
      </c>
      <c r="V20" s="2022"/>
    </row>
    <row r="21" spans="2:22" ht="18.75">
      <c r="B21" t="s">
        <v>534</v>
      </c>
      <c r="C21" t="s">
        <v>535</v>
      </c>
      <c r="D21" s="276"/>
      <c r="E21" s="2017" t="s">
        <v>536</v>
      </c>
      <c r="F21" s="2017"/>
      <c r="G21" s="259"/>
      <c r="H21" s="281"/>
      <c r="I21" s="299"/>
      <c r="J21" s="261"/>
      <c r="K21" s="276"/>
      <c r="L21" s="276"/>
      <c r="N21" s="261"/>
      <c r="O21" s="261"/>
      <c r="Q21" s="307" t="s">
        <v>500</v>
      </c>
      <c r="R21" s="261"/>
      <c r="S21" s="303">
        <f>0.512*S20</f>
        <v>3.2995555555555556</v>
      </c>
    </row>
    <row r="22" spans="2:22" ht="21">
      <c r="B22" t="s">
        <v>537</v>
      </c>
      <c r="C22" t="s">
        <v>538</v>
      </c>
      <c r="D22" s="276"/>
      <c r="E22" s="261"/>
      <c r="F22" s="261"/>
      <c r="G22" s="261"/>
      <c r="H22" s="1282" t="s">
        <v>669</v>
      </c>
      <c r="I22" s="299"/>
      <c r="J22" s="276"/>
      <c r="K22" s="2017" t="s">
        <v>539</v>
      </c>
      <c r="L22" s="2017"/>
      <c r="N22" s="261"/>
      <c r="O22" s="261"/>
      <c r="Q22" s="261"/>
      <c r="R22" s="261"/>
      <c r="S22" s="261"/>
    </row>
    <row r="23" spans="2:22">
      <c r="B23" t="s">
        <v>540</v>
      </c>
      <c r="D23" s="292"/>
      <c r="E23" s="264" t="s">
        <v>541</v>
      </c>
      <c r="F23" s="264">
        <v>15.75</v>
      </c>
      <c r="G23" s="264"/>
      <c r="H23" s="278" t="s">
        <v>514</v>
      </c>
      <c r="I23" s="298">
        <v>9.9</v>
      </c>
      <c r="K23" s="261"/>
      <c r="L23" s="261"/>
    </row>
    <row r="24" spans="2:22">
      <c r="B24" t="s">
        <v>542</v>
      </c>
      <c r="D24" s="292"/>
      <c r="E24" s="261" t="s">
        <v>476</v>
      </c>
      <c r="F24" s="265">
        <v>23.2</v>
      </c>
      <c r="G24" s="265"/>
      <c r="H24" s="281" t="s">
        <v>517</v>
      </c>
      <c r="I24" s="299">
        <v>0.46</v>
      </c>
      <c r="K24" s="261" t="s">
        <v>472</v>
      </c>
      <c r="L24" s="280">
        <v>6.7</v>
      </c>
      <c r="N24" s="2026" t="s">
        <v>708</v>
      </c>
      <c r="O24" s="2026"/>
    </row>
    <row r="25" spans="2:22" ht="18.75">
      <c r="B25" t="s">
        <v>543</v>
      </c>
      <c r="D25" s="292"/>
      <c r="E25" s="264" t="s">
        <v>481</v>
      </c>
      <c r="F25" s="266">
        <v>4.0149999999999998E-2</v>
      </c>
      <c r="G25" s="266"/>
      <c r="H25" s="281" t="s">
        <v>521</v>
      </c>
      <c r="I25" s="299">
        <v>2</v>
      </c>
      <c r="K25" s="264" t="s">
        <v>477</v>
      </c>
      <c r="L25" s="264">
        <v>0.8</v>
      </c>
      <c r="N25" s="2020" t="s">
        <v>645</v>
      </c>
      <c r="O25" s="2020"/>
    </row>
    <row r="26" spans="2:22">
      <c r="B26" t="s">
        <v>544</v>
      </c>
      <c r="D26" s="292"/>
      <c r="E26" s="264" t="s">
        <v>486</v>
      </c>
      <c r="F26" s="264">
        <v>18.7</v>
      </c>
      <c r="G26" s="264"/>
      <c r="H26" s="285"/>
      <c r="I26" s="268"/>
      <c r="K26" s="264" t="s">
        <v>482</v>
      </c>
      <c r="L26" s="264">
        <v>3.6</v>
      </c>
      <c r="N26" s="261"/>
      <c r="O26" s="276"/>
    </row>
    <row r="27" spans="2:22" ht="18.75">
      <c r="B27" t="s">
        <v>545</v>
      </c>
      <c r="D27" s="292"/>
      <c r="E27" s="267" t="s">
        <v>491</v>
      </c>
      <c r="F27" s="267">
        <v>0</v>
      </c>
      <c r="G27" s="267"/>
      <c r="H27" s="2020"/>
      <c r="I27" s="2020"/>
      <c r="K27" s="261"/>
      <c r="L27" s="261"/>
      <c r="N27" s="278" t="s">
        <v>514</v>
      </c>
      <c r="O27" s="298">
        <v>12.5</v>
      </c>
    </row>
    <row r="28" spans="2:22" ht="17.25">
      <c r="D28" s="292"/>
      <c r="E28" s="270" t="s">
        <v>494</v>
      </c>
      <c r="F28" s="271">
        <f>ROUNDUP(3.1416*F24*(F24+$F$23)/$F$25/$F$26,0)</f>
        <v>3782</v>
      </c>
      <c r="G28" s="271"/>
      <c r="H28" s="261"/>
      <c r="I28" s="276"/>
      <c r="K28" s="261"/>
      <c r="L28" s="261"/>
      <c r="N28" s="281" t="s">
        <v>517</v>
      </c>
      <c r="O28" s="299">
        <v>0.437</v>
      </c>
    </row>
    <row r="29" spans="2:22" ht="18.75">
      <c r="B29" t="s">
        <v>546</v>
      </c>
      <c r="D29" s="292"/>
      <c r="E29" s="293" t="s">
        <v>494</v>
      </c>
      <c r="F29" s="273">
        <f>ROUNDUP((F27-0.53)*1000/10.4,0)</f>
        <v>-51</v>
      </c>
      <c r="G29" s="273"/>
      <c r="H29" s="290" t="s">
        <v>533</v>
      </c>
      <c r="I29" s="291">
        <f>+ROUNDDOWN((I23-$I$25)/$I$24*1000,0)</f>
        <v>17173</v>
      </c>
      <c r="K29" s="270" t="s">
        <v>495</v>
      </c>
      <c r="L29" s="270">
        <f>+ROUNDUP((L24-L25)/3.8*1000,0)</f>
        <v>1553</v>
      </c>
      <c r="N29" s="281" t="s">
        <v>521</v>
      </c>
      <c r="O29" s="299">
        <v>2</v>
      </c>
    </row>
    <row r="30" spans="2:22">
      <c r="B30" t="s">
        <v>547</v>
      </c>
      <c r="D30" s="292"/>
      <c r="E30" s="292"/>
      <c r="F30" s="292"/>
      <c r="G30" s="292"/>
      <c r="H30" s="292"/>
      <c r="I30" s="292"/>
      <c r="L30" s="304"/>
      <c r="N30" s="285"/>
      <c r="O30" s="268"/>
    </row>
    <row r="31" spans="2:22" ht="18.75">
      <c r="B31" t="s">
        <v>548</v>
      </c>
      <c r="C31" s="292"/>
      <c r="D31" s="292"/>
      <c r="H31" s="259"/>
      <c r="I31" s="259"/>
      <c r="N31" s="285"/>
      <c r="O31" s="268"/>
    </row>
    <row r="32" spans="2:22" ht="17.25">
      <c r="B32" t="s">
        <v>549</v>
      </c>
      <c r="C32" s="292"/>
      <c r="D32" s="292"/>
      <c r="G32" s="1"/>
      <c r="H32" s="261"/>
      <c r="I32" s="261"/>
      <c r="N32" s="290" t="s">
        <v>533</v>
      </c>
      <c r="O32" s="291">
        <f>+ROUNDDOWN((O27-$O$29)/$O$28*1000,0)</f>
        <v>24027</v>
      </c>
    </row>
    <row r="33" spans="2:15">
      <c r="B33" t="s">
        <v>679</v>
      </c>
      <c r="C33" s="292" t="s">
        <v>680</v>
      </c>
      <c r="D33" s="292"/>
      <c r="F33" s="2"/>
      <c r="G33" s="3"/>
      <c r="H33" s="264"/>
      <c r="I33" s="264"/>
      <c r="N33" s="276"/>
      <c r="O33" s="276"/>
    </row>
    <row r="34" spans="2:15">
      <c r="C34" s="292"/>
      <c r="D34" s="292"/>
      <c r="H34" s="265"/>
      <c r="I34" s="265"/>
    </row>
    <row r="35" spans="2:15">
      <c r="C35" s="292"/>
      <c r="D35" s="292"/>
      <c r="E35" s="4"/>
      <c r="F35" s="5"/>
      <c r="H35" s="266"/>
      <c r="I35" s="266"/>
    </row>
    <row r="36" spans="2:15">
      <c r="C36" s="292"/>
      <c r="D36" s="292"/>
      <c r="E36" s="264"/>
      <c r="F36" s="264"/>
      <c r="G36" s="264"/>
      <c r="H36" s="264"/>
      <c r="I36" s="264"/>
    </row>
    <row r="37" spans="2:15">
      <c r="C37" s="292"/>
      <c r="D37" s="292"/>
      <c r="E37" s="267"/>
      <c r="F37" s="267"/>
      <c r="G37" s="267"/>
      <c r="H37" s="267"/>
      <c r="I37" s="267"/>
    </row>
    <row r="38" spans="2:15" ht="17.25">
      <c r="C38" s="292"/>
      <c r="D38" s="292"/>
      <c r="E38" s="270"/>
      <c r="F38" s="271"/>
      <c r="G38" s="271"/>
      <c r="H38" s="271"/>
      <c r="I38" s="271"/>
    </row>
    <row r="39" spans="2:15" ht="18.75">
      <c r="C39" s="292"/>
      <c r="D39" s="292"/>
      <c r="E39" s="272"/>
      <c r="F39" s="273"/>
      <c r="G39" s="273"/>
      <c r="H39" s="273"/>
      <c r="I39" s="273"/>
    </row>
    <row r="40" spans="2:15">
      <c r="C40" s="292"/>
      <c r="D40" s="292"/>
      <c r="E40" s="292"/>
      <c r="F40" s="292"/>
      <c r="G40" s="292"/>
      <c r="H40" s="292"/>
      <c r="I40" s="292"/>
    </row>
    <row r="41" spans="2:15">
      <c r="C41" s="292"/>
      <c r="D41" s="292"/>
      <c r="E41" s="292"/>
      <c r="F41" s="292"/>
      <c r="G41" s="292"/>
      <c r="H41" s="292"/>
      <c r="I41" s="292"/>
    </row>
    <row r="42" spans="2:15">
      <c r="C42" s="292"/>
      <c r="D42" s="292"/>
      <c r="E42" s="292"/>
      <c r="F42" s="292"/>
      <c r="G42" s="292"/>
      <c r="H42" s="292"/>
      <c r="I42" s="292"/>
    </row>
    <row r="43" spans="2:15">
      <c r="C43" s="292"/>
      <c r="D43" s="294"/>
      <c r="E43" s="292"/>
      <c r="F43" s="292"/>
      <c r="G43" s="292"/>
      <c r="H43" s="292"/>
      <c r="I43" s="292"/>
    </row>
    <row r="44" spans="2:15">
      <c r="C44" s="292"/>
      <c r="D44" s="292"/>
      <c r="E44" s="292"/>
      <c r="F44" s="292"/>
      <c r="G44" s="292"/>
      <c r="H44" s="292"/>
      <c r="I44" s="292"/>
    </row>
    <row r="45" spans="2:15">
      <c r="C45" s="292"/>
      <c r="D45" s="292"/>
      <c r="E45" s="292"/>
      <c r="F45" s="292"/>
      <c r="G45" s="292"/>
      <c r="H45" s="292"/>
      <c r="I45" s="292"/>
    </row>
    <row r="46" spans="2:15">
      <c r="C46" s="292"/>
      <c r="D46" s="292"/>
      <c r="E46" s="292"/>
      <c r="F46" s="292"/>
      <c r="G46" s="292"/>
      <c r="H46" s="292"/>
      <c r="I46" s="292"/>
    </row>
    <row r="47" spans="2:15">
      <c r="C47" s="292"/>
      <c r="D47" s="292"/>
      <c r="E47" s="292"/>
      <c r="F47" s="292"/>
      <c r="G47" s="292"/>
      <c r="H47" s="292"/>
      <c r="I47" s="292"/>
    </row>
    <row r="48" spans="2:15">
      <c r="C48" s="292"/>
      <c r="D48" s="292"/>
      <c r="E48" s="292"/>
      <c r="F48" s="292"/>
      <c r="G48" s="292"/>
      <c r="H48" s="292"/>
      <c r="I48" s="292"/>
    </row>
    <row r="49" spans="3:9">
      <c r="C49" s="292"/>
      <c r="D49" s="292"/>
      <c r="E49" s="292"/>
      <c r="F49" s="292"/>
      <c r="G49" s="292"/>
      <c r="H49" s="292"/>
      <c r="I49" s="292"/>
    </row>
    <row r="50" spans="3:9">
      <c r="C50" s="292"/>
      <c r="D50" s="292"/>
      <c r="E50" s="292"/>
      <c r="F50" s="292"/>
      <c r="G50" s="292"/>
      <c r="H50" s="292"/>
      <c r="I50" s="292"/>
    </row>
    <row r="51" spans="3:9">
      <c r="C51" s="292"/>
      <c r="D51" s="292"/>
      <c r="E51" s="292"/>
      <c r="F51" s="292"/>
      <c r="G51" s="292"/>
      <c r="H51" s="292"/>
      <c r="I51" s="292"/>
    </row>
    <row r="52" spans="3:9">
      <c r="C52" s="292"/>
      <c r="D52" s="292"/>
      <c r="E52" s="292"/>
      <c r="F52" s="292"/>
      <c r="G52" s="292"/>
      <c r="H52" s="292"/>
      <c r="I52" s="292"/>
    </row>
    <row r="53" spans="3:9">
      <c r="C53" s="292"/>
      <c r="D53" s="292"/>
      <c r="E53" s="292"/>
      <c r="F53" s="292"/>
      <c r="G53" s="292"/>
      <c r="H53" s="292"/>
      <c r="I53" s="292"/>
    </row>
    <row r="54" spans="3:9">
      <c r="C54" s="292"/>
      <c r="D54" s="292"/>
      <c r="E54" s="292"/>
      <c r="F54" s="292"/>
      <c r="G54" s="292"/>
      <c r="H54" s="292"/>
      <c r="I54" s="292"/>
    </row>
    <row r="55" spans="3:9">
      <c r="C55" s="292"/>
      <c r="D55" s="292"/>
      <c r="E55" s="292"/>
      <c r="F55" s="292"/>
      <c r="G55" s="292"/>
      <c r="H55" s="292"/>
      <c r="I55" s="292"/>
    </row>
    <row r="56" spans="3:9">
      <c r="C56" s="292"/>
      <c r="D56" s="292"/>
      <c r="E56" s="292"/>
      <c r="F56" s="292"/>
      <c r="G56" s="292"/>
      <c r="H56" s="292"/>
      <c r="I56" s="292"/>
    </row>
    <row r="57" spans="3:9">
      <c r="C57" s="292"/>
      <c r="D57" s="292"/>
      <c r="E57" s="292"/>
      <c r="F57" s="292"/>
      <c r="G57" s="292"/>
      <c r="H57" s="292"/>
      <c r="I57" s="292"/>
    </row>
    <row r="58" spans="3:9">
      <c r="C58" s="292"/>
      <c r="D58" s="292"/>
      <c r="E58" s="292"/>
      <c r="F58" s="292"/>
      <c r="G58" s="292"/>
      <c r="H58" s="292"/>
      <c r="I58" s="292"/>
    </row>
    <row r="59" spans="3:9">
      <c r="C59" s="292"/>
      <c r="D59" s="292"/>
      <c r="E59" s="292"/>
      <c r="F59" s="292"/>
      <c r="G59" s="292"/>
      <c r="H59" s="292"/>
      <c r="I59" s="292"/>
    </row>
    <row r="60" spans="3:9">
      <c r="C60" s="292"/>
      <c r="D60" s="292"/>
      <c r="E60" s="292"/>
      <c r="F60" s="292"/>
      <c r="G60" s="292"/>
      <c r="H60" s="292"/>
      <c r="I60" s="292"/>
    </row>
    <row r="61" spans="3:9">
      <c r="C61" s="292"/>
      <c r="D61" s="292"/>
      <c r="E61" s="292"/>
      <c r="F61" s="292"/>
      <c r="G61" s="292"/>
      <c r="H61" s="292"/>
      <c r="I61" s="292"/>
    </row>
    <row r="62" spans="3:9">
      <c r="C62" s="292"/>
      <c r="D62" s="292"/>
      <c r="E62" s="292"/>
      <c r="F62" s="292"/>
      <c r="G62" s="292"/>
      <c r="H62" s="292"/>
      <c r="I62" s="292"/>
    </row>
    <row r="63" spans="3:9">
      <c r="C63" s="292"/>
      <c r="D63" s="292"/>
      <c r="E63" s="292"/>
      <c r="F63" s="292"/>
      <c r="G63" s="292"/>
      <c r="H63" s="292"/>
      <c r="I63" s="292"/>
    </row>
    <row r="64" spans="3:9">
      <c r="C64" s="292"/>
      <c r="D64" s="292"/>
      <c r="E64" s="292"/>
      <c r="F64" s="292"/>
      <c r="G64" s="292"/>
      <c r="H64" s="292"/>
      <c r="I64" s="292"/>
    </row>
    <row r="65" spans="3:9">
      <c r="C65" s="292"/>
      <c r="D65" s="292"/>
      <c r="E65" s="292"/>
      <c r="F65" s="292"/>
      <c r="G65" s="292"/>
      <c r="H65" s="292"/>
      <c r="I65" s="292"/>
    </row>
    <row r="66" spans="3:9">
      <c r="C66" s="292"/>
      <c r="D66" s="292"/>
      <c r="E66" s="292"/>
      <c r="F66" s="292"/>
      <c r="G66" s="292"/>
      <c r="H66" s="292"/>
      <c r="I66" s="292"/>
    </row>
    <row r="67" spans="3:9">
      <c r="C67" s="292"/>
      <c r="D67" s="292"/>
      <c r="E67" s="292"/>
      <c r="F67" s="292"/>
      <c r="G67" s="292"/>
      <c r="H67" s="292"/>
      <c r="I67" s="292"/>
    </row>
    <row r="68" spans="3:9">
      <c r="C68" s="292"/>
      <c r="D68" s="292"/>
      <c r="E68" s="292"/>
      <c r="F68" s="292"/>
      <c r="G68" s="292"/>
      <c r="H68" s="292"/>
      <c r="I68" s="292"/>
    </row>
    <row r="69" spans="3:9">
      <c r="C69" s="292"/>
      <c r="D69" s="292"/>
      <c r="E69" s="292"/>
      <c r="F69" s="292"/>
      <c r="G69" s="292"/>
      <c r="H69" s="292"/>
      <c r="I69" s="292"/>
    </row>
    <row r="70" spans="3:9">
      <c r="C70" s="292"/>
      <c r="D70" s="292"/>
      <c r="E70" s="292"/>
      <c r="F70" s="292"/>
      <c r="G70" s="292"/>
      <c r="H70" s="292"/>
      <c r="I70" s="292"/>
    </row>
    <row r="71" spans="3:9">
      <c r="C71" s="292"/>
      <c r="D71" s="292"/>
      <c r="E71" s="292"/>
      <c r="F71" s="292"/>
      <c r="G71" s="292"/>
      <c r="H71" s="292"/>
      <c r="I71" s="292"/>
    </row>
    <row r="72" spans="3:9">
      <c r="C72" s="292"/>
      <c r="D72" s="292"/>
      <c r="E72" s="292"/>
      <c r="F72" s="292"/>
      <c r="G72" s="292"/>
      <c r="H72" s="292"/>
      <c r="I72" s="292"/>
    </row>
    <row r="73" spans="3:9">
      <c r="C73" s="292"/>
      <c r="D73" s="292"/>
      <c r="E73" s="292"/>
      <c r="F73" s="292"/>
      <c r="G73" s="292"/>
      <c r="H73" s="292"/>
      <c r="I73" s="292"/>
    </row>
    <row r="74" spans="3:9">
      <c r="C74" s="292"/>
      <c r="D74" s="292"/>
      <c r="E74" s="292"/>
      <c r="F74" s="292"/>
      <c r="G74" s="292"/>
      <c r="H74" s="292"/>
      <c r="I74" s="292"/>
    </row>
    <row r="75" spans="3:9">
      <c r="C75" s="292"/>
      <c r="D75" s="292"/>
      <c r="E75" s="292"/>
      <c r="F75" s="292"/>
      <c r="G75" s="292"/>
      <c r="H75" s="292"/>
      <c r="I75" s="292"/>
    </row>
    <row r="76" spans="3:9">
      <c r="C76" s="292"/>
      <c r="D76" s="292"/>
      <c r="E76" s="292"/>
      <c r="F76" s="292"/>
      <c r="G76" s="292"/>
      <c r="H76" s="292"/>
      <c r="I76" s="292"/>
    </row>
    <row r="77" spans="3:9">
      <c r="C77" s="292"/>
      <c r="D77" s="292"/>
      <c r="E77" s="292"/>
      <c r="F77" s="292"/>
      <c r="G77" s="292"/>
      <c r="H77" s="292"/>
      <c r="I77" s="292"/>
    </row>
    <row r="78" spans="3:9">
      <c r="C78" s="292"/>
      <c r="D78" s="292"/>
      <c r="E78" s="292"/>
      <c r="F78" s="292"/>
      <c r="G78" s="292"/>
      <c r="H78" s="292"/>
      <c r="I78" s="292"/>
    </row>
    <row r="79" spans="3:9">
      <c r="C79" s="292"/>
      <c r="D79" s="292"/>
      <c r="E79" s="292"/>
      <c r="F79" s="292"/>
      <c r="G79" s="292"/>
      <c r="H79" s="292"/>
      <c r="I79" s="292"/>
    </row>
    <row r="80" spans="3:9">
      <c r="C80" s="292"/>
      <c r="D80" s="292"/>
      <c r="E80" s="292"/>
      <c r="F80" s="292"/>
      <c r="G80" s="292"/>
      <c r="H80" s="292"/>
      <c r="I80" s="292"/>
    </row>
    <row r="81" spans="3:9">
      <c r="C81" s="292"/>
      <c r="D81" s="292"/>
      <c r="E81" s="292"/>
      <c r="F81" s="292"/>
      <c r="G81" s="292"/>
      <c r="H81" s="292"/>
      <c r="I81" s="292"/>
    </row>
    <row r="82" spans="3:9">
      <c r="C82" s="292"/>
      <c r="D82" s="292"/>
      <c r="E82" s="292"/>
      <c r="F82" s="292"/>
      <c r="G82" s="292"/>
      <c r="H82" s="292"/>
      <c r="I82" s="292"/>
    </row>
    <row r="83" spans="3:9">
      <c r="C83" s="292"/>
      <c r="D83" s="292"/>
      <c r="E83" s="292"/>
      <c r="F83" s="292"/>
      <c r="G83" s="292"/>
      <c r="H83" s="292"/>
      <c r="I83" s="292"/>
    </row>
    <row r="84" spans="3:9">
      <c r="C84" s="292"/>
      <c r="D84" s="292"/>
      <c r="E84" s="292"/>
      <c r="F84" s="292"/>
      <c r="G84" s="292"/>
      <c r="H84" s="292"/>
      <c r="I84" s="292"/>
    </row>
    <row r="85" spans="3:9">
      <c r="C85" s="292"/>
      <c r="D85" s="292"/>
      <c r="E85" s="292"/>
      <c r="F85" s="292"/>
      <c r="G85" s="292"/>
      <c r="H85" s="292"/>
      <c r="I85" s="292"/>
    </row>
    <row r="86" spans="3:9">
      <c r="C86" s="292"/>
      <c r="D86" s="292"/>
      <c r="E86" s="292"/>
      <c r="F86" s="292"/>
      <c r="G86" s="292"/>
      <c r="H86" s="292"/>
      <c r="I86" s="292"/>
    </row>
    <row r="87" spans="3:9">
      <c r="C87" s="292"/>
      <c r="D87" s="292"/>
      <c r="E87" s="292"/>
      <c r="F87" s="292"/>
      <c r="G87" s="292"/>
      <c r="H87" s="292"/>
      <c r="I87" s="292"/>
    </row>
    <row r="88" spans="3:9">
      <c r="C88" s="292"/>
      <c r="D88" s="292"/>
      <c r="E88" s="292"/>
      <c r="F88" s="292"/>
      <c r="G88" s="292"/>
      <c r="H88" s="292"/>
      <c r="I88" s="292"/>
    </row>
    <row r="89" spans="3:9">
      <c r="C89" s="292"/>
      <c r="D89" s="292"/>
      <c r="E89" s="292"/>
      <c r="F89" s="292"/>
      <c r="G89" s="292"/>
      <c r="H89" s="292"/>
      <c r="I89" s="292"/>
    </row>
    <row r="90" spans="3:9">
      <c r="C90" s="292"/>
      <c r="D90" s="292"/>
      <c r="E90" s="292"/>
      <c r="F90" s="292"/>
      <c r="G90" s="292"/>
      <c r="H90" s="292"/>
      <c r="I90" s="292"/>
    </row>
    <row r="91" spans="3:9">
      <c r="C91" s="292"/>
      <c r="D91" s="292"/>
      <c r="E91" s="292"/>
      <c r="F91" s="292"/>
      <c r="G91" s="292"/>
      <c r="H91" s="292"/>
      <c r="I91" s="292"/>
    </row>
    <row r="92" spans="3:9">
      <c r="C92" s="292"/>
      <c r="D92" s="292"/>
      <c r="E92" s="292"/>
      <c r="F92" s="292"/>
      <c r="G92" s="292"/>
      <c r="H92" s="292"/>
      <c r="I92" s="292"/>
    </row>
    <row r="93" spans="3:9">
      <c r="C93" s="292"/>
      <c r="D93" s="292"/>
      <c r="E93" s="292"/>
      <c r="F93" s="292"/>
      <c r="G93" s="292"/>
      <c r="H93" s="292"/>
      <c r="I93" s="292"/>
    </row>
    <row r="94" spans="3:9">
      <c r="C94" s="292"/>
      <c r="D94" s="292"/>
      <c r="E94" s="292"/>
      <c r="F94" s="292"/>
      <c r="G94" s="292"/>
      <c r="H94" s="292"/>
      <c r="I94" s="292"/>
    </row>
    <row r="95" spans="3:9">
      <c r="C95" s="292"/>
      <c r="D95" s="292"/>
      <c r="E95" s="292"/>
      <c r="F95" s="292"/>
      <c r="G95" s="292"/>
      <c r="H95" s="292"/>
      <c r="I95" s="292"/>
    </row>
    <row r="96" spans="3:9">
      <c r="C96" s="292"/>
      <c r="D96" s="292"/>
      <c r="E96" s="292"/>
      <c r="F96" s="292"/>
      <c r="G96" s="292"/>
      <c r="H96" s="292"/>
      <c r="I96" s="292"/>
    </row>
    <row r="97" spans="3:9">
      <c r="C97" s="292"/>
      <c r="D97" s="292"/>
      <c r="E97" s="292"/>
      <c r="F97" s="292"/>
      <c r="G97" s="292"/>
      <c r="H97" s="292"/>
      <c r="I97" s="292"/>
    </row>
    <row r="98" spans="3:9">
      <c r="C98" s="292"/>
      <c r="D98" s="292"/>
      <c r="E98" s="292"/>
      <c r="F98" s="292"/>
      <c r="G98" s="292"/>
      <c r="H98" s="292"/>
      <c r="I98" s="292"/>
    </row>
    <row r="99" spans="3:9">
      <c r="C99" s="292"/>
      <c r="D99" s="292"/>
      <c r="E99" s="292"/>
      <c r="F99" s="292"/>
      <c r="G99" s="292"/>
      <c r="H99" s="292"/>
      <c r="I99" s="292"/>
    </row>
    <row r="100" spans="3:9">
      <c r="C100" s="292"/>
      <c r="D100" s="292"/>
      <c r="E100" s="292"/>
      <c r="F100" s="292"/>
      <c r="G100" s="292"/>
      <c r="H100" s="292"/>
      <c r="I100" s="292"/>
    </row>
    <row r="101" spans="3:9">
      <c r="C101" s="292"/>
      <c r="D101" s="292"/>
      <c r="E101" s="292"/>
      <c r="F101" s="292"/>
      <c r="G101" s="292"/>
      <c r="H101" s="292"/>
      <c r="I101" s="292"/>
    </row>
    <row r="102" spans="3:9">
      <c r="C102" s="292"/>
      <c r="D102" s="292"/>
      <c r="E102" s="292"/>
      <c r="F102" s="292"/>
      <c r="G102" s="292"/>
      <c r="H102" s="292"/>
      <c r="I102" s="292"/>
    </row>
    <row r="103" spans="3:9">
      <c r="C103" s="292"/>
      <c r="D103" s="292"/>
      <c r="E103" s="292"/>
      <c r="F103" s="292"/>
      <c r="G103" s="292"/>
      <c r="H103" s="292"/>
      <c r="I103" s="292"/>
    </row>
    <row r="104" spans="3:9">
      <c r="C104" s="292"/>
      <c r="D104" s="292"/>
      <c r="E104" s="292"/>
      <c r="F104" s="292"/>
      <c r="G104" s="292"/>
      <c r="H104" s="292"/>
      <c r="I104" s="292"/>
    </row>
    <row r="105" spans="3:9">
      <c r="C105" s="292"/>
      <c r="D105" s="292"/>
      <c r="E105" s="292"/>
      <c r="F105" s="292"/>
      <c r="G105" s="292"/>
      <c r="H105" s="292"/>
      <c r="I105" s="292"/>
    </row>
    <row r="106" spans="3:9">
      <c r="C106" s="292"/>
      <c r="D106" s="292"/>
      <c r="E106" s="292"/>
      <c r="F106" s="292"/>
      <c r="G106" s="292"/>
      <c r="H106" s="292"/>
      <c r="I106" s="292"/>
    </row>
    <row r="107" spans="3:9">
      <c r="C107" s="292"/>
      <c r="D107" s="292"/>
      <c r="E107" s="292"/>
      <c r="F107" s="292"/>
      <c r="G107" s="292"/>
      <c r="H107" s="292"/>
      <c r="I107" s="292"/>
    </row>
    <row r="108" spans="3:9">
      <c r="C108" s="292"/>
      <c r="D108" s="292"/>
      <c r="E108" s="292"/>
      <c r="F108" s="292"/>
      <c r="G108" s="292"/>
      <c r="H108" s="292"/>
      <c r="I108" s="292"/>
    </row>
    <row r="109" spans="3:9">
      <c r="C109" s="292"/>
      <c r="D109" s="292"/>
      <c r="E109" s="292"/>
      <c r="F109" s="292"/>
      <c r="G109" s="292"/>
      <c r="H109" s="292"/>
      <c r="I109" s="292"/>
    </row>
    <row r="110" spans="3:9">
      <c r="C110" s="292"/>
      <c r="D110" s="292"/>
      <c r="E110" s="292"/>
      <c r="F110" s="292"/>
      <c r="G110" s="292"/>
      <c r="H110" s="292"/>
      <c r="I110" s="292"/>
    </row>
    <row r="111" spans="3:9">
      <c r="C111" s="292"/>
      <c r="D111" s="292"/>
      <c r="E111" s="292"/>
      <c r="F111" s="292"/>
      <c r="G111" s="292"/>
      <c r="H111" s="292"/>
      <c r="I111" s="292"/>
    </row>
    <row r="112" spans="3:9">
      <c r="C112" s="292"/>
      <c r="D112" s="292"/>
      <c r="E112" s="292"/>
      <c r="F112" s="292"/>
      <c r="G112" s="292"/>
      <c r="H112" s="292"/>
      <c r="I112" s="292"/>
    </row>
    <row r="113" spans="3:9">
      <c r="C113" s="292"/>
      <c r="D113" s="292"/>
      <c r="E113" s="292"/>
      <c r="F113" s="292"/>
      <c r="G113" s="292"/>
      <c r="H113" s="292"/>
      <c r="I113" s="292"/>
    </row>
    <row r="114" spans="3:9">
      <c r="C114" s="292"/>
      <c r="D114" s="292"/>
      <c r="E114" s="292"/>
      <c r="F114" s="292"/>
      <c r="G114" s="292"/>
      <c r="H114" s="292"/>
      <c r="I114" s="292"/>
    </row>
    <row r="115" spans="3:9">
      <c r="C115" s="292"/>
      <c r="D115" s="292"/>
      <c r="E115" s="292"/>
      <c r="F115" s="292"/>
      <c r="G115" s="292"/>
      <c r="H115" s="292"/>
      <c r="I115" s="292"/>
    </row>
    <row r="116" spans="3:9">
      <c r="C116" s="292"/>
      <c r="D116" s="292"/>
      <c r="E116" s="292"/>
      <c r="F116" s="292"/>
      <c r="G116" s="292"/>
      <c r="H116" s="292"/>
      <c r="I116" s="292"/>
    </row>
    <row r="117" spans="3:9">
      <c r="C117" s="292"/>
      <c r="D117" s="292"/>
      <c r="E117" s="292"/>
      <c r="F117" s="292"/>
      <c r="G117" s="292"/>
      <c r="H117" s="292"/>
      <c r="I117" s="292"/>
    </row>
    <row r="118" spans="3:9">
      <c r="C118" s="292"/>
      <c r="D118" s="292"/>
      <c r="E118" s="292"/>
      <c r="F118" s="292"/>
      <c r="G118" s="292"/>
      <c r="H118" s="292"/>
      <c r="I118" s="292"/>
    </row>
    <row r="119" spans="3:9">
      <c r="C119" s="292"/>
      <c r="D119" s="292"/>
      <c r="E119" s="292"/>
      <c r="F119" s="292"/>
      <c r="G119" s="292"/>
      <c r="H119" s="292"/>
      <c r="I119" s="292"/>
    </row>
    <row r="120" spans="3:9">
      <c r="C120" s="292"/>
      <c r="D120" s="292"/>
      <c r="E120" s="292"/>
      <c r="F120" s="292"/>
      <c r="G120" s="292"/>
      <c r="H120" s="292"/>
      <c r="I120" s="292"/>
    </row>
    <row r="121" spans="3:9">
      <c r="C121" s="292"/>
      <c r="D121" s="292"/>
      <c r="E121" s="292"/>
      <c r="F121" s="292"/>
      <c r="G121" s="292"/>
      <c r="H121" s="292"/>
      <c r="I121" s="292"/>
    </row>
    <row r="122" spans="3:9">
      <c r="C122" s="292"/>
      <c r="D122" s="292"/>
      <c r="E122" s="292"/>
      <c r="F122" s="292"/>
      <c r="G122" s="292"/>
      <c r="H122" s="292"/>
      <c r="I122" s="292"/>
    </row>
    <row r="123" spans="3:9">
      <c r="C123" s="292"/>
      <c r="D123" s="292"/>
      <c r="E123" s="292"/>
      <c r="F123" s="292"/>
      <c r="G123" s="292"/>
      <c r="H123" s="292"/>
      <c r="I123" s="292"/>
    </row>
    <row r="124" spans="3:9">
      <c r="C124" s="292"/>
      <c r="D124" s="292"/>
      <c r="E124" s="292"/>
      <c r="F124" s="292"/>
      <c r="G124" s="292"/>
      <c r="H124" s="292"/>
      <c r="I124" s="292"/>
    </row>
    <row r="125" spans="3:9">
      <c r="C125" s="292"/>
      <c r="D125" s="292"/>
      <c r="E125" s="292"/>
      <c r="F125" s="292"/>
      <c r="G125" s="292"/>
      <c r="H125" s="292"/>
      <c r="I125" s="292"/>
    </row>
    <row r="126" spans="3:9">
      <c r="C126" s="292"/>
      <c r="D126" s="292"/>
      <c r="E126" s="292"/>
      <c r="F126" s="292"/>
      <c r="G126" s="292"/>
      <c r="H126" s="292"/>
      <c r="I126" s="292"/>
    </row>
    <row r="127" spans="3:9">
      <c r="C127" s="292"/>
      <c r="D127" s="292"/>
      <c r="E127" s="292"/>
      <c r="F127" s="292"/>
      <c r="G127" s="292"/>
      <c r="H127" s="292"/>
      <c r="I127" s="292"/>
    </row>
    <row r="128" spans="3:9">
      <c r="C128" s="292"/>
      <c r="D128" s="292"/>
      <c r="E128" s="292"/>
      <c r="F128" s="292"/>
      <c r="G128" s="292"/>
      <c r="H128" s="292"/>
      <c r="I128" s="292"/>
    </row>
    <row r="129" spans="3:9">
      <c r="C129" s="292"/>
      <c r="D129" s="292"/>
      <c r="E129" s="292"/>
      <c r="F129" s="292"/>
      <c r="G129" s="292"/>
      <c r="H129" s="292"/>
      <c r="I129" s="292"/>
    </row>
    <row r="130" spans="3:9">
      <c r="C130" s="292"/>
      <c r="D130" s="292"/>
      <c r="E130" s="292"/>
      <c r="F130" s="292"/>
      <c r="G130" s="292"/>
      <c r="H130" s="292"/>
      <c r="I130" s="292"/>
    </row>
    <row r="131" spans="3:9">
      <c r="C131" s="292"/>
      <c r="D131" s="292"/>
      <c r="E131" s="292"/>
      <c r="F131" s="292"/>
      <c r="G131" s="292"/>
      <c r="H131" s="292"/>
      <c r="I131" s="292"/>
    </row>
    <row r="132" spans="3:9">
      <c r="C132" s="292"/>
      <c r="D132" s="292"/>
      <c r="E132" s="292"/>
      <c r="F132" s="292"/>
      <c r="G132" s="292"/>
      <c r="H132" s="292"/>
      <c r="I132" s="292"/>
    </row>
    <row r="133" spans="3:9">
      <c r="C133" s="292"/>
      <c r="D133" s="292"/>
      <c r="E133" s="292"/>
      <c r="F133" s="292"/>
      <c r="G133" s="292"/>
      <c r="H133" s="292"/>
      <c r="I133" s="292"/>
    </row>
    <row r="134" spans="3:9">
      <c r="C134" s="292"/>
      <c r="D134" s="292"/>
      <c r="E134" s="292"/>
      <c r="F134" s="292"/>
      <c r="G134" s="292"/>
      <c r="H134" s="292"/>
      <c r="I134" s="292"/>
    </row>
    <row r="135" spans="3:9">
      <c r="C135" s="292"/>
      <c r="D135" s="292"/>
      <c r="E135" s="292"/>
      <c r="F135" s="292"/>
      <c r="G135" s="292"/>
      <c r="H135" s="292"/>
      <c r="I135" s="292"/>
    </row>
    <row r="136" spans="3:9">
      <c r="C136" s="292"/>
      <c r="D136" s="292"/>
      <c r="E136" s="292"/>
      <c r="F136" s="292"/>
      <c r="G136" s="292"/>
      <c r="H136" s="292"/>
      <c r="I136" s="292"/>
    </row>
    <row r="137" spans="3:9">
      <c r="C137" s="292"/>
      <c r="D137" s="292"/>
      <c r="E137" s="292"/>
      <c r="F137" s="292"/>
      <c r="G137" s="292"/>
      <c r="H137" s="292"/>
      <c r="I137" s="292"/>
    </row>
    <row r="138" spans="3:9">
      <c r="C138" s="292"/>
      <c r="D138" s="292"/>
      <c r="E138" s="292"/>
      <c r="F138" s="292"/>
      <c r="G138" s="292"/>
      <c r="H138" s="292"/>
      <c r="I138" s="292"/>
    </row>
    <row r="139" spans="3:9">
      <c r="C139" s="292"/>
      <c r="D139" s="292"/>
      <c r="E139" s="292"/>
      <c r="F139" s="292"/>
      <c r="G139" s="292"/>
      <c r="H139" s="292"/>
      <c r="I139" s="292"/>
    </row>
    <row r="140" spans="3:9">
      <c r="C140" s="292"/>
      <c r="D140" s="292"/>
      <c r="E140" s="292"/>
      <c r="F140" s="292"/>
      <c r="G140" s="292"/>
      <c r="H140" s="292"/>
      <c r="I140" s="292"/>
    </row>
    <row r="141" spans="3:9">
      <c r="C141" s="292"/>
      <c r="D141" s="292"/>
      <c r="E141" s="292"/>
      <c r="F141" s="292"/>
      <c r="G141" s="292"/>
      <c r="H141" s="292"/>
      <c r="I141" s="292"/>
    </row>
    <row r="142" spans="3:9">
      <c r="C142" s="292"/>
      <c r="D142" s="292"/>
      <c r="E142" s="292"/>
      <c r="F142" s="292"/>
      <c r="G142" s="292"/>
      <c r="H142" s="292"/>
      <c r="I142" s="292"/>
    </row>
    <row r="143" spans="3:9">
      <c r="C143" s="292"/>
      <c r="D143" s="292"/>
      <c r="E143" s="292"/>
      <c r="F143" s="292"/>
      <c r="G143" s="292"/>
      <c r="H143" s="292"/>
      <c r="I143" s="292"/>
    </row>
    <row r="144" spans="3:9">
      <c r="C144" s="292"/>
      <c r="D144" s="292"/>
      <c r="E144" s="292"/>
      <c r="F144" s="292"/>
      <c r="G144" s="292"/>
      <c r="H144" s="292"/>
      <c r="I144" s="292"/>
    </row>
    <row r="145" spans="3:9">
      <c r="C145" s="292"/>
      <c r="D145" s="292"/>
      <c r="E145" s="292"/>
      <c r="F145" s="292"/>
      <c r="G145" s="292"/>
      <c r="H145" s="292"/>
      <c r="I145" s="292"/>
    </row>
    <row r="146" spans="3:9">
      <c r="C146" s="292"/>
      <c r="D146" s="292"/>
      <c r="E146" s="292"/>
      <c r="F146" s="292"/>
      <c r="G146" s="292"/>
      <c r="H146" s="292"/>
      <c r="I146" s="292"/>
    </row>
    <row r="147" spans="3:9">
      <c r="C147" s="292"/>
      <c r="D147" s="292"/>
      <c r="E147" s="292"/>
      <c r="F147" s="292"/>
      <c r="G147" s="292"/>
      <c r="H147" s="292"/>
      <c r="I147" s="292"/>
    </row>
    <row r="148" spans="3:9">
      <c r="C148" s="292"/>
      <c r="D148" s="292"/>
      <c r="E148" s="292"/>
      <c r="F148" s="292"/>
      <c r="G148" s="292"/>
      <c r="H148" s="292"/>
      <c r="I148" s="292"/>
    </row>
    <row r="149" spans="3:9">
      <c r="C149" s="292"/>
      <c r="D149" s="292"/>
      <c r="E149" s="292"/>
      <c r="F149" s="292"/>
      <c r="G149" s="292"/>
      <c r="H149" s="292"/>
      <c r="I149" s="292"/>
    </row>
    <row r="150" spans="3:9">
      <c r="C150" s="292"/>
      <c r="D150" s="292"/>
      <c r="E150" s="292"/>
      <c r="F150" s="292"/>
      <c r="G150" s="292"/>
      <c r="H150" s="292"/>
      <c r="I150" s="292"/>
    </row>
    <row r="151" spans="3:9">
      <c r="C151" s="292"/>
      <c r="D151" s="292"/>
      <c r="E151" s="292"/>
      <c r="F151" s="292"/>
      <c r="G151" s="292"/>
      <c r="H151" s="292"/>
      <c r="I151" s="292"/>
    </row>
    <row r="152" spans="3:9">
      <c r="C152" s="292"/>
      <c r="D152" s="292"/>
      <c r="E152" s="292"/>
      <c r="F152" s="292"/>
      <c r="G152" s="292"/>
      <c r="H152" s="292"/>
      <c r="I152" s="292"/>
    </row>
    <row r="153" spans="3:9">
      <c r="C153" s="292"/>
      <c r="D153" s="292"/>
      <c r="E153" s="292"/>
      <c r="F153" s="292"/>
      <c r="G153" s="292"/>
      <c r="H153" s="292"/>
      <c r="I153" s="292"/>
    </row>
    <row r="154" spans="3:9">
      <c r="C154" s="292"/>
      <c r="D154" s="292"/>
      <c r="E154" s="292"/>
      <c r="F154" s="292"/>
      <c r="G154" s="292"/>
      <c r="H154" s="292"/>
      <c r="I154" s="292"/>
    </row>
    <row r="155" spans="3:9">
      <c r="C155" s="292"/>
      <c r="D155" s="292"/>
      <c r="E155" s="292"/>
      <c r="F155" s="292"/>
      <c r="G155" s="292"/>
      <c r="H155" s="292"/>
      <c r="I155" s="292"/>
    </row>
    <row r="156" spans="3:9">
      <c r="C156" s="292"/>
      <c r="D156" s="292"/>
      <c r="E156" s="292"/>
      <c r="F156" s="292"/>
      <c r="G156" s="292"/>
      <c r="H156" s="292"/>
      <c r="I156" s="292"/>
    </row>
    <row r="157" spans="3:9">
      <c r="C157" s="292"/>
      <c r="D157" s="292"/>
      <c r="E157" s="292"/>
      <c r="F157" s="292"/>
      <c r="G157" s="292"/>
      <c r="H157" s="292"/>
      <c r="I157" s="292"/>
    </row>
    <row r="158" spans="3:9">
      <c r="C158" s="292"/>
      <c r="D158" s="292"/>
      <c r="E158" s="292"/>
      <c r="F158" s="292"/>
      <c r="G158" s="292"/>
      <c r="H158" s="292"/>
      <c r="I158" s="292"/>
    </row>
    <row r="159" spans="3:9">
      <c r="C159" s="292"/>
      <c r="D159" s="292"/>
      <c r="E159" s="292"/>
      <c r="F159" s="292"/>
      <c r="G159" s="292"/>
      <c r="H159" s="292"/>
      <c r="I159" s="292"/>
    </row>
    <row r="160" spans="3:9">
      <c r="C160" s="292"/>
      <c r="D160" s="292"/>
      <c r="E160" s="292"/>
      <c r="F160" s="292"/>
      <c r="G160" s="292"/>
      <c r="H160" s="292"/>
      <c r="I160" s="292"/>
    </row>
    <row r="161" spans="3:9">
      <c r="C161" s="292"/>
      <c r="D161" s="292"/>
      <c r="E161" s="292"/>
      <c r="F161" s="292"/>
      <c r="G161" s="292"/>
      <c r="H161" s="292"/>
      <c r="I161" s="292"/>
    </row>
    <row r="162" spans="3:9">
      <c r="C162" s="292"/>
      <c r="D162" s="292"/>
      <c r="E162" s="292"/>
      <c r="F162" s="292"/>
      <c r="G162" s="292"/>
      <c r="H162" s="292"/>
      <c r="I162" s="292"/>
    </row>
    <row r="163" spans="3:9">
      <c r="C163" s="292"/>
      <c r="D163" s="292"/>
      <c r="E163" s="292"/>
      <c r="F163" s="292"/>
      <c r="G163" s="292"/>
      <c r="H163" s="292"/>
      <c r="I163" s="292"/>
    </row>
    <row r="164" spans="3:9">
      <c r="C164" s="292"/>
      <c r="D164" s="292"/>
      <c r="E164" s="292"/>
      <c r="F164" s="292"/>
      <c r="G164" s="292"/>
      <c r="H164" s="292"/>
      <c r="I164" s="292"/>
    </row>
    <row r="165" spans="3:9">
      <c r="C165" s="292"/>
      <c r="D165" s="292"/>
      <c r="E165" s="292"/>
      <c r="F165" s="292"/>
      <c r="G165" s="292"/>
      <c r="H165" s="292"/>
      <c r="I165" s="292"/>
    </row>
    <row r="166" spans="3:9">
      <c r="C166" s="292"/>
      <c r="D166" s="292"/>
      <c r="E166" s="292"/>
      <c r="F166" s="292"/>
      <c r="G166" s="292"/>
      <c r="H166" s="292"/>
      <c r="I166" s="292"/>
    </row>
    <row r="167" spans="3:9">
      <c r="C167" s="292"/>
      <c r="D167" s="292"/>
      <c r="E167" s="292"/>
      <c r="F167" s="292"/>
      <c r="G167" s="292"/>
      <c r="H167" s="292"/>
      <c r="I167" s="292"/>
    </row>
    <row r="168" spans="3:9">
      <c r="C168" s="292"/>
      <c r="D168" s="292"/>
      <c r="E168" s="292"/>
      <c r="F168" s="292"/>
      <c r="G168" s="292"/>
      <c r="H168" s="292"/>
      <c r="I168" s="292"/>
    </row>
    <row r="169" spans="3:9">
      <c r="C169" s="292"/>
      <c r="D169" s="292"/>
      <c r="E169" s="292"/>
      <c r="F169" s="292"/>
      <c r="G169" s="292"/>
      <c r="H169" s="292"/>
      <c r="I169" s="292"/>
    </row>
    <row r="170" spans="3:9">
      <c r="C170" s="292"/>
      <c r="D170" s="292"/>
      <c r="E170" s="292"/>
      <c r="F170" s="292"/>
      <c r="G170" s="292"/>
      <c r="H170" s="292"/>
      <c r="I170" s="292"/>
    </row>
    <row r="171" spans="3:9">
      <c r="C171" s="292"/>
      <c r="D171" s="292"/>
      <c r="E171" s="292"/>
      <c r="F171" s="292"/>
      <c r="G171" s="292"/>
      <c r="H171" s="292"/>
      <c r="I171" s="292"/>
    </row>
    <row r="172" spans="3:9">
      <c r="C172" s="292"/>
      <c r="D172" s="292"/>
      <c r="E172" s="292"/>
      <c r="F172" s="292"/>
      <c r="G172" s="292"/>
      <c r="H172" s="292"/>
      <c r="I172" s="292"/>
    </row>
    <row r="173" spans="3:9">
      <c r="C173" s="292"/>
      <c r="D173" s="292"/>
      <c r="E173" s="292"/>
      <c r="F173" s="292"/>
      <c r="G173" s="292"/>
      <c r="H173" s="292"/>
      <c r="I173" s="292"/>
    </row>
    <row r="174" spans="3:9">
      <c r="C174" s="292"/>
      <c r="D174" s="292"/>
      <c r="E174" s="292"/>
      <c r="F174" s="292"/>
      <c r="G174" s="292"/>
      <c r="H174" s="292"/>
      <c r="I174" s="292"/>
    </row>
    <row r="175" spans="3:9">
      <c r="C175" s="292"/>
      <c r="D175" s="292"/>
      <c r="E175" s="292"/>
      <c r="F175" s="292"/>
      <c r="G175" s="292"/>
      <c r="H175" s="292"/>
      <c r="I175" s="292"/>
    </row>
    <row r="176" spans="3:9">
      <c r="C176" s="292"/>
      <c r="D176" s="292"/>
      <c r="E176" s="292"/>
      <c r="F176" s="292"/>
      <c r="G176" s="292"/>
      <c r="H176" s="292"/>
      <c r="I176" s="292"/>
    </row>
    <row r="177" spans="3:9">
      <c r="C177" s="292"/>
      <c r="D177" s="292"/>
      <c r="E177" s="292"/>
      <c r="F177" s="292"/>
      <c r="G177" s="292"/>
      <c r="H177" s="292"/>
      <c r="I177" s="292"/>
    </row>
    <row r="178" spans="3:9">
      <c r="C178" s="292"/>
      <c r="D178" s="292"/>
      <c r="E178" s="292"/>
      <c r="F178" s="292"/>
      <c r="G178" s="292"/>
      <c r="H178" s="292"/>
      <c r="I178" s="292"/>
    </row>
    <row r="179" spans="3:9">
      <c r="C179" s="292"/>
      <c r="D179" s="292"/>
      <c r="E179" s="292"/>
      <c r="F179" s="292"/>
      <c r="G179" s="292"/>
      <c r="H179" s="292"/>
      <c r="I179" s="292"/>
    </row>
    <row r="180" spans="3:9">
      <c r="C180" s="292"/>
      <c r="D180" s="292"/>
      <c r="E180" s="292"/>
      <c r="F180" s="292"/>
      <c r="G180" s="292"/>
      <c r="H180" s="292"/>
      <c r="I180" s="292"/>
    </row>
    <row r="181" spans="3:9">
      <c r="C181" s="292"/>
      <c r="D181" s="292"/>
      <c r="E181" s="292"/>
      <c r="F181" s="292"/>
      <c r="G181" s="292"/>
      <c r="H181" s="292"/>
      <c r="I181" s="292"/>
    </row>
    <row r="182" spans="3:9">
      <c r="C182" s="292"/>
      <c r="D182" s="292"/>
      <c r="E182" s="292"/>
      <c r="F182" s="292"/>
      <c r="G182" s="292"/>
      <c r="H182" s="292"/>
      <c r="I182" s="292"/>
    </row>
    <row r="183" spans="3:9">
      <c r="C183" s="292"/>
      <c r="D183" s="292"/>
      <c r="E183" s="292"/>
      <c r="F183" s="292"/>
      <c r="G183" s="292"/>
      <c r="H183" s="292"/>
      <c r="I183" s="292"/>
    </row>
    <row r="184" spans="3:9">
      <c r="C184" s="292"/>
      <c r="D184" s="292"/>
      <c r="E184" s="292"/>
      <c r="F184" s="292"/>
      <c r="G184" s="292"/>
      <c r="H184" s="292"/>
      <c r="I184" s="292"/>
    </row>
    <row r="185" spans="3:9">
      <c r="C185" s="292"/>
      <c r="D185" s="292"/>
      <c r="E185" s="292"/>
      <c r="F185" s="292"/>
      <c r="G185" s="292"/>
      <c r="H185" s="292"/>
      <c r="I185" s="292"/>
    </row>
    <row r="186" spans="3:9">
      <c r="C186" s="292"/>
      <c r="D186" s="292"/>
      <c r="E186" s="292"/>
      <c r="F186" s="292"/>
      <c r="G186" s="292"/>
      <c r="H186" s="292"/>
      <c r="I186" s="292"/>
    </row>
    <row r="187" spans="3:9">
      <c r="C187" s="292"/>
      <c r="D187" s="292"/>
      <c r="E187" s="292"/>
      <c r="F187" s="292"/>
      <c r="G187" s="292"/>
      <c r="H187" s="292"/>
      <c r="I187" s="292"/>
    </row>
    <row r="188" spans="3:9">
      <c r="C188" s="292"/>
      <c r="D188" s="292"/>
      <c r="E188" s="292"/>
      <c r="F188" s="292"/>
      <c r="G188" s="292"/>
      <c r="H188" s="292"/>
      <c r="I188" s="292"/>
    </row>
    <row r="189" spans="3:9">
      <c r="C189" s="292"/>
      <c r="D189" s="292"/>
      <c r="E189" s="292"/>
      <c r="F189" s="292"/>
      <c r="G189" s="292"/>
      <c r="H189" s="292"/>
      <c r="I189" s="292"/>
    </row>
    <row r="190" spans="3:9">
      <c r="C190" s="292"/>
      <c r="D190" s="292"/>
      <c r="E190" s="292"/>
      <c r="F190" s="292"/>
      <c r="G190" s="292"/>
      <c r="H190" s="292"/>
      <c r="I190" s="292"/>
    </row>
    <row r="191" spans="3:9">
      <c r="C191" s="292"/>
      <c r="D191" s="292"/>
      <c r="E191" s="292"/>
      <c r="F191" s="292"/>
      <c r="G191" s="292"/>
      <c r="H191" s="292"/>
      <c r="I191" s="292"/>
    </row>
    <row r="192" spans="3:9">
      <c r="C192" s="292"/>
      <c r="D192" s="292"/>
      <c r="E192" s="292"/>
      <c r="F192" s="292"/>
      <c r="G192" s="292"/>
      <c r="H192" s="292"/>
      <c r="I192" s="292"/>
    </row>
    <row r="193" spans="3:9">
      <c r="C193" s="292"/>
      <c r="D193" s="292"/>
      <c r="E193" s="292"/>
      <c r="F193" s="292"/>
      <c r="G193" s="292"/>
      <c r="H193" s="292"/>
      <c r="I193" s="292"/>
    </row>
    <row r="194" spans="3:9">
      <c r="C194" s="292"/>
      <c r="D194" s="292"/>
      <c r="E194" s="292"/>
      <c r="F194" s="292"/>
      <c r="G194" s="292"/>
      <c r="H194" s="292"/>
      <c r="I194" s="292"/>
    </row>
    <row r="195" spans="3:9">
      <c r="C195" s="292"/>
      <c r="D195" s="292"/>
      <c r="E195" s="292"/>
      <c r="F195" s="292"/>
      <c r="G195" s="292"/>
      <c r="H195" s="292"/>
      <c r="I195" s="292"/>
    </row>
    <row r="196" spans="3:9">
      <c r="C196" s="292"/>
      <c r="D196" s="292"/>
      <c r="E196" s="292"/>
      <c r="F196" s="292"/>
      <c r="G196" s="292"/>
      <c r="H196" s="292"/>
      <c r="I196" s="292"/>
    </row>
    <row r="197" spans="3:9">
      <c r="C197" s="292"/>
      <c r="D197" s="292"/>
      <c r="E197" s="292"/>
      <c r="F197" s="292"/>
      <c r="G197" s="292"/>
      <c r="H197" s="292"/>
      <c r="I197" s="292"/>
    </row>
    <row r="198" spans="3:9">
      <c r="C198" s="292"/>
      <c r="D198" s="292"/>
      <c r="E198" s="292"/>
      <c r="F198" s="292"/>
      <c r="G198" s="292"/>
      <c r="H198" s="292"/>
      <c r="I198" s="292"/>
    </row>
    <row r="199" spans="3:9">
      <c r="C199" s="292"/>
      <c r="D199" s="292"/>
      <c r="E199" s="292"/>
      <c r="F199" s="292"/>
      <c r="G199" s="292"/>
      <c r="H199" s="292"/>
      <c r="I199" s="292"/>
    </row>
    <row r="200" spans="3:9">
      <c r="C200" s="292"/>
      <c r="D200" s="292"/>
      <c r="E200" s="292"/>
      <c r="F200" s="292"/>
      <c r="G200" s="292"/>
      <c r="H200" s="292"/>
      <c r="I200" s="292"/>
    </row>
    <row r="201" spans="3:9">
      <c r="C201" s="292"/>
      <c r="D201" s="292"/>
      <c r="E201" s="292"/>
      <c r="F201" s="292"/>
      <c r="G201" s="292"/>
      <c r="H201" s="292"/>
      <c r="I201" s="292"/>
    </row>
    <row r="202" spans="3:9">
      <c r="C202" s="292"/>
      <c r="D202" s="292"/>
      <c r="E202" s="292"/>
      <c r="F202" s="292"/>
      <c r="G202" s="292"/>
      <c r="H202" s="292"/>
      <c r="I202" s="292"/>
    </row>
    <row r="203" spans="3:9">
      <c r="C203" s="292"/>
      <c r="D203" s="292"/>
      <c r="E203" s="292"/>
      <c r="F203" s="292"/>
      <c r="G203" s="292"/>
      <c r="H203" s="292"/>
      <c r="I203" s="292"/>
    </row>
    <row r="204" spans="3:9">
      <c r="C204" s="292"/>
      <c r="D204" s="292"/>
      <c r="E204" s="292"/>
      <c r="F204" s="292"/>
      <c r="G204" s="292"/>
      <c r="H204" s="292"/>
      <c r="I204" s="292"/>
    </row>
    <row r="205" spans="3:9">
      <c r="C205" s="292"/>
      <c r="D205" s="292"/>
      <c r="E205" s="292"/>
      <c r="F205" s="292"/>
      <c r="G205" s="292"/>
      <c r="H205" s="292"/>
      <c r="I205" s="292"/>
    </row>
    <row r="206" spans="3:9">
      <c r="C206" s="292"/>
      <c r="D206" s="292"/>
      <c r="E206" s="292"/>
      <c r="F206" s="292"/>
      <c r="G206" s="292"/>
      <c r="H206" s="292"/>
      <c r="I206" s="292"/>
    </row>
    <row r="207" spans="3:9">
      <c r="C207" s="292"/>
      <c r="D207" s="292"/>
      <c r="E207" s="292"/>
      <c r="F207" s="292"/>
      <c r="G207" s="292"/>
      <c r="H207" s="292"/>
      <c r="I207" s="292"/>
    </row>
    <row r="208" spans="3:9">
      <c r="C208" s="292"/>
      <c r="D208" s="292"/>
      <c r="E208" s="292"/>
      <c r="F208" s="292"/>
      <c r="G208" s="292"/>
      <c r="H208" s="292"/>
      <c r="I208" s="292"/>
    </row>
    <row r="209" spans="3:9">
      <c r="C209" s="292"/>
      <c r="D209" s="292"/>
      <c r="E209" s="292"/>
      <c r="F209" s="292"/>
      <c r="G209" s="292"/>
      <c r="H209" s="292"/>
      <c r="I209" s="292"/>
    </row>
    <row r="210" spans="3:9">
      <c r="C210" s="292"/>
      <c r="D210" s="292"/>
      <c r="E210" s="292"/>
      <c r="F210" s="292"/>
      <c r="G210" s="292"/>
      <c r="H210" s="292"/>
      <c r="I210" s="292"/>
    </row>
    <row r="211" spans="3:9">
      <c r="C211" s="292"/>
      <c r="D211" s="292"/>
      <c r="E211" s="292"/>
      <c r="F211" s="292"/>
      <c r="G211" s="292"/>
      <c r="H211" s="292"/>
      <c r="I211" s="292"/>
    </row>
    <row r="212" spans="3:9">
      <c r="C212" s="292"/>
      <c r="D212" s="292"/>
      <c r="E212" s="292"/>
      <c r="F212" s="292"/>
      <c r="G212" s="292"/>
      <c r="H212" s="292"/>
      <c r="I212" s="292"/>
    </row>
    <row r="213" spans="3:9">
      <c r="C213" s="292"/>
      <c r="D213" s="292"/>
      <c r="E213" s="292"/>
      <c r="F213" s="292"/>
      <c r="G213" s="292"/>
      <c r="H213" s="292"/>
      <c r="I213" s="292"/>
    </row>
    <row r="214" spans="3:9">
      <c r="C214" s="292"/>
      <c r="D214" s="292"/>
      <c r="E214" s="292"/>
      <c r="F214" s="292"/>
      <c r="G214" s="292"/>
      <c r="H214" s="292"/>
      <c r="I214" s="292"/>
    </row>
    <row r="215" spans="3:9">
      <c r="C215" s="292"/>
      <c r="D215" s="292"/>
      <c r="E215" s="292"/>
      <c r="F215" s="292"/>
      <c r="G215" s="292"/>
      <c r="H215" s="292"/>
      <c r="I215" s="292"/>
    </row>
    <row r="216" spans="3:9">
      <c r="C216" s="292"/>
      <c r="D216" s="292"/>
      <c r="E216" s="292"/>
      <c r="F216" s="292"/>
      <c r="G216" s="292"/>
      <c r="H216" s="292"/>
      <c r="I216" s="292"/>
    </row>
    <row r="217" spans="3:9">
      <c r="C217" s="292"/>
      <c r="D217" s="292"/>
      <c r="E217" s="292"/>
      <c r="F217" s="292"/>
      <c r="G217" s="292"/>
      <c r="H217" s="292"/>
      <c r="I217" s="292"/>
    </row>
    <row r="218" spans="3:9">
      <c r="C218" s="292"/>
      <c r="D218" s="292"/>
      <c r="E218" s="292"/>
      <c r="F218" s="292"/>
      <c r="G218" s="292"/>
      <c r="H218" s="292"/>
      <c r="I218" s="292"/>
    </row>
    <row r="219" spans="3:9">
      <c r="C219" s="292"/>
      <c r="D219" s="292"/>
      <c r="E219" s="292"/>
      <c r="F219" s="292"/>
      <c r="G219" s="292"/>
      <c r="H219" s="292"/>
      <c r="I219" s="292"/>
    </row>
    <row r="220" spans="3:9">
      <c r="C220" s="292"/>
      <c r="D220" s="292"/>
      <c r="E220" s="292"/>
      <c r="F220" s="292"/>
      <c r="G220" s="292"/>
      <c r="H220" s="292"/>
      <c r="I220" s="292"/>
    </row>
    <row r="221" spans="3:9">
      <c r="C221" s="292"/>
      <c r="D221" s="292"/>
      <c r="E221" s="292"/>
      <c r="F221" s="292"/>
      <c r="G221" s="292"/>
      <c r="H221" s="292"/>
      <c r="I221" s="292"/>
    </row>
    <row r="222" spans="3:9">
      <c r="C222" s="292"/>
      <c r="D222" s="292"/>
      <c r="E222" s="292"/>
      <c r="F222" s="292"/>
      <c r="G222" s="292"/>
      <c r="H222" s="292"/>
      <c r="I222" s="292"/>
    </row>
    <row r="223" spans="3:9">
      <c r="C223" s="292"/>
      <c r="D223" s="292"/>
      <c r="E223" s="292"/>
      <c r="F223" s="292"/>
      <c r="G223" s="292"/>
      <c r="H223" s="292"/>
      <c r="I223" s="292"/>
    </row>
    <row r="224" spans="3:9">
      <c r="C224" s="292"/>
      <c r="D224" s="292"/>
      <c r="E224" s="292"/>
      <c r="F224" s="292"/>
      <c r="G224" s="292"/>
      <c r="H224" s="292"/>
      <c r="I224" s="292"/>
    </row>
    <row r="225" spans="3:9">
      <c r="C225" s="292"/>
      <c r="D225" s="292"/>
      <c r="E225" s="292"/>
      <c r="F225" s="292"/>
      <c r="G225" s="292"/>
      <c r="H225" s="292"/>
      <c r="I225" s="292"/>
    </row>
    <row r="226" spans="3:9">
      <c r="C226" s="292"/>
      <c r="D226" s="292"/>
      <c r="E226" s="292"/>
      <c r="F226" s="292"/>
      <c r="G226" s="292"/>
      <c r="H226" s="292"/>
      <c r="I226" s="292"/>
    </row>
    <row r="227" spans="3:9">
      <c r="C227" s="292"/>
      <c r="D227" s="292"/>
      <c r="E227" s="292"/>
      <c r="F227" s="292"/>
      <c r="G227" s="292"/>
      <c r="H227" s="292"/>
      <c r="I227" s="292"/>
    </row>
    <row r="228" spans="3:9">
      <c r="C228" s="292"/>
      <c r="D228" s="292"/>
      <c r="E228" s="292"/>
      <c r="F228" s="292"/>
      <c r="G228" s="292"/>
      <c r="H228" s="292"/>
      <c r="I228" s="292"/>
    </row>
    <row r="229" spans="3:9">
      <c r="C229" s="292"/>
      <c r="D229" s="292"/>
      <c r="E229" s="292"/>
      <c r="F229" s="292"/>
      <c r="G229" s="292"/>
      <c r="H229" s="292"/>
      <c r="I229" s="292"/>
    </row>
    <row r="230" spans="3:9">
      <c r="C230" s="292"/>
      <c r="D230" s="292"/>
      <c r="E230" s="292"/>
      <c r="F230" s="292"/>
      <c r="G230" s="292"/>
      <c r="H230" s="292"/>
      <c r="I230" s="292"/>
    </row>
    <row r="231" spans="3:9">
      <c r="C231" s="292"/>
      <c r="D231" s="292"/>
      <c r="E231" s="292"/>
      <c r="F231" s="292"/>
      <c r="G231" s="292"/>
      <c r="H231" s="292"/>
      <c r="I231" s="292"/>
    </row>
    <row r="232" spans="3:9">
      <c r="C232" s="292"/>
      <c r="D232" s="292"/>
      <c r="E232" s="292"/>
      <c r="F232" s="292"/>
      <c r="G232" s="292"/>
      <c r="H232" s="292"/>
      <c r="I232" s="292"/>
    </row>
    <row r="233" spans="3:9">
      <c r="C233" s="292"/>
      <c r="D233" s="292"/>
      <c r="E233" s="292"/>
      <c r="F233" s="292"/>
      <c r="G233" s="292"/>
      <c r="H233" s="292"/>
      <c r="I233" s="292"/>
    </row>
    <row r="234" spans="3:9">
      <c r="C234" s="292"/>
      <c r="D234" s="292"/>
      <c r="E234" s="292"/>
      <c r="F234" s="292"/>
      <c r="G234" s="292"/>
      <c r="H234" s="292"/>
      <c r="I234" s="292"/>
    </row>
    <row r="235" spans="3:9">
      <c r="C235" s="292"/>
      <c r="D235" s="292"/>
      <c r="E235" s="292"/>
      <c r="F235" s="292"/>
      <c r="G235" s="292"/>
      <c r="H235" s="292"/>
      <c r="I235" s="292"/>
    </row>
    <row r="236" spans="3:9">
      <c r="C236" s="292"/>
      <c r="D236" s="292"/>
      <c r="E236" s="292"/>
      <c r="F236" s="292"/>
      <c r="G236" s="292"/>
      <c r="H236" s="292"/>
      <c r="I236" s="292"/>
    </row>
    <row r="237" spans="3:9">
      <c r="C237" s="292"/>
      <c r="D237" s="292"/>
      <c r="E237" s="292"/>
      <c r="F237" s="292"/>
      <c r="G237" s="292"/>
      <c r="H237" s="292"/>
      <c r="I237" s="292"/>
    </row>
    <row r="238" spans="3:9">
      <c r="C238" s="292"/>
      <c r="D238" s="292"/>
      <c r="E238" s="292"/>
      <c r="F238" s="292"/>
      <c r="G238" s="292"/>
      <c r="H238" s="292"/>
      <c r="I238" s="292"/>
    </row>
    <row r="239" spans="3:9">
      <c r="C239" s="292"/>
      <c r="D239" s="292"/>
      <c r="E239" s="292"/>
      <c r="F239" s="292"/>
      <c r="G239" s="292"/>
      <c r="H239" s="292"/>
      <c r="I239" s="292"/>
    </row>
    <row r="240" spans="3:9">
      <c r="C240" s="292"/>
      <c r="D240" s="292"/>
      <c r="E240" s="292"/>
      <c r="F240" s="292"/>
      <c r="G240" s="292"/>
      <c r="H240" s="292"/>
      <c r="I240" s="292"/>
    </row>
    <row r="241" spans="3:9">
      <c r="C241" s="292"/>
      <c r="D241" s="292"/>
      <c r="E241" s="292"/>
      <c r="F241" s="292"/>
      <c r="G241" s="292"/>
      <c r="H241" s="292"/>
      <c r="I241" s="292"/>
    </row>
    <row r="242" spans="3:9">
      <c r="C242" s="292"/>
      <c r="D242" s="292"/>
      <c r="E242" s="292"/>
      <c r="F242" s="292"/>
      <c r="G242" s="292"/>
      <c r="H242" s="292"/>
      <c r="I242" s="292"/>
    </row>
    <row r="243" spans="3:9">
      <c r="C243" s="292"/>
      <c r="D243" s="292"/>
      <c r="E243" s="292"/>
      <c r="F243" s="292"/>
      <c r="G243" s="292"/>
      <c r="H243" s="292"/>
      <c r="I243" s="292"/>
    </row>
    <row r="244" spans="3:9">
      <c r="C244" s="292"/>
      <c r="D244" s="292"/>
      <c r="E244" s="292"/>
      <c r="F244" s="292"/>
      <c r="G244" s="292"/>
      <c r="H244" s="292"/>
      <c r="I244" s="292"/>
    </row>
    <row r="245" spans="3:9">
      <c r="C245" s="292"/>
      <c r="D245" s="292"/>
      <c r="E245" s="292"/>
      <c r="F245" s="292"/>
      <c r="G245" s="292"/>
      <c r="H245" s="292"/>
      <c r="I245" s="292"/>
    </row>
    <row r="246" spans="3:9">
      <c r="C246" s="292"/>
      <c r="D246" s="292"/>
      <c r="E246" s="292"/>
      <c r="F246" s="292"/>
      <c r="G246" s="292"/>
      <c r="H246" s="292"/>
      <c r="I246" s="292"/>
    </row>
    <row r="247" spans="3:9">
      <c r="C247" s="292"/>
      <c r="D247" s="292"/>
      <c r="E247" s="292"/>
      <c r="F247" s="292"/>
      <c r="G247" s="292"/>
      <c r="H247" s="292"/>
      <c r="I247" s="292"/>
    </row>
    <row r="248" spans="3:9">
      <c r="C248" s="292"/>
      <c r="D248" s="292"/>
      <c r="E248" s="292"/>
      <c r="F248" s="292"/>
      <c r="G248" s="292"/>
      <c r="H248" s="292"/>
      <c r="I248" s="292"/>
    </row>
    <row r="249" spans="3:9">
      <c r="C249" s="292"/>
      <c r="D249" s="292"/>
      <c r="E249" s="292"/>
      <c r="F249" s="292"/>
      <c r="G249" s="292"/>
      <c r="H249" s="292"/>
      <c r="I249" s="292"/>
    </row>
    <row r="250" spans="3:9">
      <c r="C250" s="292"/>
      <c r="D250" s="292"/>
      <c r="E250" s="292"/>
      <c r="F250" s="292"/>
      <c r="G250" s="292"/>
      <c r="H250" s="292"/>
      <c r="I250" s="292"/>
    </row>
    <row r="251" spans="3:9">
      <c r="C251" s="292"/>
      <c r="D251" s="292"/>
      <c r="E251" s="292"/>
      <c r="F251" s="292"/>
      <c r="G251" s="292"/>
      <c r="H251" s="292"/>
      <c r="I251" s="292"/>
    </row>
    <row r="252" spans="3:9">
      <c r="C252" s="292"/>
      <c r="D252" s="292"/>
      <c r="E252" s="292"/>
      <c r="F252" s="292"/>
      <c r="G252" s="292"/>
      <c r="H252" s="292"/>
      <c r="I252" s="292"/>
    </row>
    <row r="253" spans="3:9">
      <c r="C253" s="292"/>
      <c r="D253" s="292"/>
      <c r="E253" s="292"/>
      <c r="F253" s="292"/>
      <c r="G253" s="292"/>
      <c r="H253" s="292"/>
      <c r="I253" s="292"/>
    </row>
    <row r="254" spans="3:9">
      <c r="C254" s="292"/>
      <c r="D254" s="292"/>
      <c r="E254" s="292"/>
      <c r="F254" s="292"/>
      <c r="G254" s="292"/>
      <c r="H254" s="292"/>
      <c r="I254" s="292"/>
    </row>
    <row r="255" spans="3:9">
      <c r="C255" s="292"/>
      <c r="D255" s="292"/>
      <c r="E255" s="292"/>
      <c r="F255" s="292"/>
      <c r="G255" s="292"/>
      <c r="H255" s="292"/>
      <c r="I255" s="292"/>
    </row>
    <row r="256" spans="3:9">
      <c r="C256" s="292"/>
      <c r="D256" s="292"/>
      <c r="E256" s="292"/>
      <c r="F256" s="292"/>
      <c r="G256" s="292"/>
      <c r="H256" s="292"/>
      <c r="I256" s="292"/>
    </row>
    <row r="257" spans="3:9">
      <c r="C257" s="292"/>
      <c r="D257" s="292"/>
      <c r="E257" s="292"/>
      <c r="F257" s="292"/>
      <c r="G257" s="292"/>
      <c r="H257" s="292"/>
      <c r="I257" s="292"/>
    </row>
    <row r="258" spans="3:9">
      <c r="C258" s="292"/>
      <c r="D258" s="292"/>
      <c r="E258" s="292"/>
      <c r="F258" s="292"/>
      <c r="G258" s="292"/>
      <c r="H258" s="292"/>
      <c r="I258" s="292"/>
    </row>
    <row r="259" spans="3:9">
      <c r="C259" s="292"/>
      <c r="D259" s="292"/>
      <c r="E259" s="292"/>
      <c r="F259" s="292"/>
      <c r="G259" s="292"/>
      <c r="H259" s="292"/>
      <c r="I259" s="292"/>
    </row>
    <row r="260" spans="3:9">
      <c r="C260" s="292"/>
      <c r="D260" s="292"/>
      <c r="E260" s="292"/>
      <c r="F260" s="292"/>
      <c r="G260" s="292"/>
      <c r="H260" s="292"/>
      <c r="I260" s="292"/>
    </row>
    <row r="261" spans="3:9">
      <c r="C261" s="292"/>
      <c r="D261" s="292"/>
      <c r="E261" s="292"/>
      <c r="F261" s="292"/>
      <c r="G261" s="292"/>
      <c r="H261" s="292"/>
      <c r="I261" s="292"/>
    </row>
    <row r="262" spans="3:9">
      <c r="C262" s="292"/>
      <c r="D262" s="292"/>
      <c r="E262" s="292"/>
      <c r="F262" s="292"/>
      <c r="G262" s="292"/>
      <c r="H262" s="292"/>
      <c r="I262" s="292"/>
    </row>
    <row r="263" spans="3:9">
      <c r="C263" s="292"/>
      <c r="D263" s="292"/>
      <c r="E263" s="292"/>
      <c r="F263" s="292"/>
      <c r="G263" s="292"/>
      <c r="H263" s="292"/>
      <c r="I263" s="292"/>
    </row>
    <row r="264" spans="3:9">
      <c r="C264" s="292"/>
      <c r="D264" s="292"/>
      <c r="E264" s="292"/>
      <c r="F264" s="292"/>
      <c r="G264" s="292"/>
      <c r="H264" s="292"/>
      <c r="I264" s="292"/>
    </row>
    <row r="265" spans="3:9">
      <c r="C265" s="292"/>
      <c r="D265" s="292"/>
      <c r="E265" s="292"/>
      <c r="F265" s="292"/>
      <c r="G265" s="292"/>
      <c r="H265" s="292"/>
      <c r="I265" s="292"/>
    </row>
    <row r="266" spans="3:9">
      <c r="C266" s="292"/>
      <c r="D266" s="292"/>
      <c r="E266" s="292"/>
      <c r="F266" s="292"/>
      <c r="G266" s="292"/>
      <c r="H266" s="292"/>
      <c r="I266" s="292"/>
    </row>
    <row r="267" spans="3:9">
      <c r="C267" s="292"/>
      <c r="D267" s="292"/>
      <c r="E267" s="292"/>
      <c r="F267" s="292"/>
      <c r="G267" s="292"/>
      <c r="H267" s="292"/>
      <c r="I267" s="292"/>
    </row>
    <row r="268" spans="3:9">
      <c r="C268" s="292"/>
      <c r="D268" s="292"/>
      <c r="E268" s="292"/>
      <c r="F268" s="292"/>
      <c r="G268" s="292"/>
      <c r="H268" s="292"/>
      <c r="I268" s="292"/>
    </row>
    <row r="269" spans="3:9">
      <c r="C269" s="292"/>
      <c r="D269" s="292"/>
      <c r="E269" s="292"/>
      <c r="F269" s="292"/>
      <c r="G269" s="292"/>
      <c r="H269" s="292"/>
      <c r="I269" s="292"/>
    </row>
    <row r="270" spans="3:9">
      <c r="C270" s="292"/>
      <c r="D270" s="292"/>
      <c r="E270" s="292"/>
      <c r="F270" s="292"/>
      <c r="G270" s="292"/>
      <c r="H270" s="292"/>
      <c r="I270" s="292"/>
    </row>
    <row r="271" spans="3:9">
      <c r="C271" s="292"/>
      <c r="D271" s="292"/>
      <c r="E271" s="292"/>
      <c r="F271" s="292"/>
      <c r="G271" s="292"/>
      <c r="H271" s="292"/>
      <c r="I271" s="292"/>
    </row>
    <row r="272" spans="3:9">
      <c r="C272" s="292"/>
      <c r="D272" s="292"/>
      <c r="E272" s="292"/>
      <c r="F272" s="292"/>
      <c r="G272" s="292"/>
      <c r="H272" s="292"/>
      <c r="I272" s="292"/>
    </row>
    <row r="273" spans="3:9">
      <c r="C273" s="292"/>
      <c r="D273" s="292"/>
      <c r="E273" s="292"/>
      <c r="F273" s="292"/>
      <c r="G273" s="292"/>
      <c r="H273" s="292"/>
      <c r="I273" s="292"/>
    </row>
    <row r="274" spans="3:9">
      <c r="C274" s="292"/>
      <c r="D274" s="292"/>
      <c r="E274" s="292"/>
      <c r="F274" s="292"/>
      <c r="G274" s="292"/>
      <c r="H274" s="292"/>
      <c r="I274" s="292"/>
    </row>
    <row r="275" spans="3:9">
      <c r="C275" s="292"/>
      <c r="D275" s="292"/>
      <c r="E275" s="292"/>
      <c r="F275" s="292"/>
      <c r="G275" s="292"/>
      <c r="H275" s="292"/>
      <c r="I275" s="292"/>
    </row>
    <row r="276" spans="3:9">
      <c r="C276" s="292"/>
      <c r="D276" s="292"/>
      <c r="E276" s="292"/>
      <c r="F276" s="292"/>
      <c r="G276" s="292"/>
      <c r="H276" s="292"/>
      <c r="I276" s="292"/>
    </row>
    <row r="277" spans="3:9">
      <c r="C277" s="292"/>
      <c r="D277" s="292"/>
      <c r="E277" s="292"/>
      <c r="F277" s="292"/>
      <c r="G277" s="292"/>
      <c r="H277" s="292"/>
      <c r="I277" s="292"/>
    </row>
    <row r="278" spans="3:9">
      <c r="C278" s="292"/>
      <c r="D278" s="292"/>
      <c r="E278" s="292"/>
      <c r="F278" s="292"/>
      <c r="G278" s="292"/>
      <c r="H278" s="292"/>
      <c r="I278" s="292"/>
    </row>
    <row r="279" spans="3:9">
      <c r="C279" s="292"/>
      <c r="D279" s="292"/>
      <c r="E279" s="292"/>
      <c r="F279" s="292"/>
      <c r="G279" s="292"/>
      <c r="H279" s="292"/>
      <c r="I279" s="292"/>
    </row>
    <row r="280" spans="3:9">
      <c r="C280" s="292"/>
      <c r="D280" s="292"/>
      <c r="E280" s="292"/>
      <c r="F280" s="292"/>
      <c r="G280" s="292"/>
      <c r="H280" s="292"/>
      <c r="I280" s="292"/>
    </row>
    <row r="281" spans="3:9">
      <c r="C281" s="292"/>
      <c r="D281" s="292"/>
      <c r="E281" s="292"/>
      <c r="F281" s="292"/>
      <c r="G281" s="292"/>
      <c r="H281" s="292"/>
      <c r="I281" s="292"/>
    </row>
    <row r="282" spans="3:9">
      <c r="C282" s="292"/>
      <c r="D282" s="292"/>
      <c r="E282" s="292"/>
      <c r="F282" s="292"/>
      <c r="G282" s="292"/>
      <c r="H282" s="292"/>
      <c r="I282" s="292"/>
    </row>
    <row r="283" spans="3:9">
      <c r="C283" s="292"/>
      <c r="D283" s="292"/>
      <c r="E283" s="292"/>
      <c r="F283" s="292"/>
      <c r="G283" s="292"/>
      <c r="H283" s="292"/>
      <c r="I283" s="292"/>
    </row>
    <row r="284" spans="3:9">
      <c r="C284" s="292"/>
      <c r="D284" s="292"/>
      <c r="E284" s="292"/>
      <c r="F284" s="292"/>
      <c r="G284" s="292"/>
      <c r="H284" s="292"/>
      <c r="I284" s="292"/>
    </row>
    <row r="285" spans="3:9">
      <c r="C285" s="292"/>
      <c r="D285" s="292"/>
      <c r="E285" s="292"/>
      <c r="F285" s="292"/>
      <c r="G285" s="292"/>
      <c r="H285" s="292"/>
      <c r="I285" s="292"/>
    </row>
    <row r="286" spans="3:9">
      <c r="C286" s="292"/>
      <c r="D286" s="292"/>
      <c r="E286" s="292"/>
      <c r="F286" s="292"/>
      <c r="G286" s="292"/>
      <c r="H286" s="292"/>
      <c r="I286" s="292"/>
    </row>
    <row r="287" spans="3:9">
      <c r="C287" s="292"/>
      <c r="D287" s="292"/>
      <c r="E287" s="292"/>
      <c r="F287" s="292"/>
      <c r="G287" s="292"/>
      <c r="H287" s="292"/>
      <c r="I287" s="292"/>
    </row>
    <row r="288" spans="3:9">
      <c r="C288" s="292"/>
      <c r="D288" s="292"/>
      <c r="E288" s="292"/>
      <c r="F288" s="292"/>
      <c r="G288" s="292"/>
      <c r="H288" s="292"/>
      <c r="I288" s="292"/>
    </row>
    <row r="289" spans="3:9">
      <c r="C289" s="292"/>
      <c r="D289" s="292"/>
      <c r="E289" s="292"/>
      <c r="F289" s="292"/>
      <c r="G289" s="292"/>
      <c r="H289" s="292"/>
      <c r="I289" s="292"/>
    </row>
    <row r="290" spans="3:9">
      <c r="C290" s="292"/>
      <c r="D290" s="292"/>
      <c r="E290" s="292"/>
      <c r="F290" s="292"/>
      <c r="G290" s="292"/>
      <c r="H290" s="292"/>
      <c r="I290" s="292"/>
    </row>
    <row r="291" spans="3:9">
      <c r="C291" s="292"/>
      <c r="D291" s="292"/>
      <c r="E291" s="292"/>
      <c r="F291" s="292"/>
      <c r="G291" s="292"/>
      <c r="H291" s="292"/>
      <c r="I291" s="292"/>
    </row>
    <row r="292" spans="3:9">
      <c r="C292" s="292"/>
      <c r="D292" s="292"/>
      <c r="E292" s="292"/>
      <c r="F292" s="292"/>
      <c r="G292" s="292"/>
      <c r="H292" s="292"/>
      <c r="I292" s="292"/>
    </row>
    <row r="293" spans="3:9">
      <c r="C293" s="292"/>
      <c r="D293" s="292"/>
      <c r="E293" s="292"/>
      <c r="F293" s="292"/>
      <c r="G293" s="292"/>
      <c r="H293" s="292"/>
      <c r="I293" s="292"/>
    </row>
    <row r="294" spans="3:9">
      <c r="C294" s="292"/>
      <c r="D294" s="292"/>
      <c r="E294" s="292"/>
      <c r="F294" s="292"/>
      <c r="G294" s="292"/>
      <c r="H294" s="292"/>
      <c r="I294" s="292"/>
    </row>
    <row r="295" spans="3:9">
      <c r="C295" s="292"/>
      <c r="D295" s="292"/>
      <c r="E295" s="292"/>
      <c r="F295" s="292"/>
      <c r="G295" s="292"/>
      <c r="H295" s="292"/>
      <c r="I295" s="292"/>
    </row>
    <row r="296" spans="3:9">
      <c r="C296" s="292"/>
      <c r="D296" s="292"/>
      <c r="E296" s="292"/>
      <c r="F296" s="292"/>
      <c r="G296" s="292"/>
      <c r="H296" s="292"/>
      <c r="I296" s="292"/>
    </row>
    <row r="297" spans="3:9">
      <c r="C297" s="292"/>
      <c r="D297" s="292"/>
      <c r="E297" s="292"/>
      <c r="F297" s="292"/>
      <c r="G297" s="292"/>
      <c r="H297" s="292"/>
      <c r="I297" s="292"/>
    </row>
    <row r="298" spans="3:9">
      <c r="C298" s="292"/>
      <c r="D298" s="292"/>
      <c r="E298" s="292"/>
      <c r="F298" s="292"/>
      <c r="G298" s="292"/>
      <c r="H298" s="292"/>
      <c r="I298" s="292"/>
    </row>
    <row r="299" spans="3:9">
      <c r="C299" s="292"/>
      <c r="D299" s="292"/>
      <c r="E299" s="292"/>
      <c r="F299" s="292"/>
      <c r="G299" s="292"/>
      <c r="H299" s="292"/>
      <c r="I299" s="292"/>
    </row>
    <row r="300" spans="3:9">
      <c r="C300" s="292"/>
      <c r="D300" s="292"/>
      <c r="E300" s="292"/>
      <c r="F300" s="292"/>
      <c r="G300" s="292"/>
      <c r="H300" s="292"/>
      <c r="I300" s="292"/>
    </row>
    <row r="301" spans="3:9">
      <c r="C301" s="292"/>
      <c r="D301" s="292"/>
      <c r="E301" s="292"/>
      <c r="F301" s="292"/>
      <c r="G301" s="292"/>
      <c r="H301" s="292"/>
      <c r="I301" s="292"/>
    </row>
    <row r="302" spans="3:9">
      <c r="C302" s="292"/>
      <c r="D302" s="292"/>
      <c r="E302" s="292"/>
      <c r="F302" s="292"/>
      <c r="G302" s="292"/>
      <c r="H302" s="292"/>
      <c r="I302" s="292"/>
    </row>
    <row r="303" spans="3:9">
      <c r="C303" s="292"/>
      <c r="D303" s="292"/>
      <c r="E303" s="292"/>
      <c r="F303" s="292"/>
      <c r="G303" s="292"/>
      <c r="H303" s="292"/>
      <c r="I303" s="292"/>
    </row>
    <row r="304" spans="3:9">
      <c r="C304" s="292"/>
      <c r="D304" s="292"/>
      <c r="E304" s="292"/>
      <c r="F304" s="292"/>
      <c r="G304" s="292"/>
      <c r="H304" s="292"/>
      <c r="I304" s="292"/>
    </row>
    <row r="305" spans="3:9">
      <c r="C305" s="292"/>
      <c r="D305" s="292"/>
      <c r="E305" s="292"/>
      <c r="F305" s="292"/>
      <c r="G305" s="292"/>
      <c r="H305" s="292"/>
      <c r="I305" s="292"/>
    </row>
    <row r="306" spans="3:9">
      <c r="C306" s="292"/>
      <c r="D306" s="292"/>
      <c r="E306" s="292"/>
      <c r="F306" s="292"/>
      <c r="G306" s="292"/>
      <c r="H306" s="292"/>
      <c r="I306" s="292"/>
    </row>
    <row r="307" spans="3:9">
      <c r="C307" s="292"/>
      <c r="D307" s="292"/>
      <c r="E307" s="292"/>
      <c r="F307" s="292"/>
      <c r="G307" s="292"/>
      <c r="H307" s="292"/>
      <c r="I307" s="292"/>
    </row>
    <row r="308" spans="3:9">
      <c r="C308" s="292"/>
      <c r="D308" s="292"/>
      <c r="E308" s="292"/>
      <c r="F308" s="292"/>
      <c r="G308" s="292"/>
      <c r="H308" s="292"/>
      <c r="I308" s="292"/>
    </row>
    <row r="309" spans="3:9">
      <c r="C309" s="292"/>
      <c r="D309" s="292"/>
      <c r="E309" s="292"/>
      <c r="F309" s="292"/>
      <c r="G309" s="292"/>
      <c r="H309" s="292"/>
      <c r="I309" s="292"/>
    </row>
    <row r="310" spans="3:9">
      <c r="C310" s="292"/>
      <c r="D310" s="292"/>
      <c r="E310" s="292"/>
      <c r="F310" s="292"/>
      <c r="G310" s="292"/>
      <c r="H310" s="292"/>
      <c r="I310" s="292"/>
    </row>
    <row r="311" spans="3:9">
      <c r="C311" s="292"/>
      <c r="D311" s="292"/>
      <c r="E311" s="292"/>
      <c r="F311" s="292"/>
      <c r="G311" s="292"/>
      <c r="H311" s="292"/>
      <c r="I311" s="292"/>
    </row>
    <row r="312" spans="3:9">
      <c r="C312" s="292"/>
      <c r="D312" s="292"/>
      <c r="E312" s="292"/>
      <c r="F312" s="292"/>
      <c r="G312" s="292"/>
      <c r="H312" s="292"/>
      <c r="I312" s="292"/>
    </row>
    <row r="313" spans="3:9">
      <c r="C313" s="292"/>
      <c r="D313" s="292"/>
      <c r="E313" s="292"/>
      <c r="F313" s="292"/>
      <c r="G313" s="292"/>
      <c r="H313" s="292"/>
      <c r="I313" s="292"/>
    </row>
    <row r="314" spans="3:9">
      <c r="C314" s="292"/>
      <c r="D314" s="292"/>
      <c r="E314" s="292"/>
      <c r="F314" s="292"/>
      <c r="G314" s="292"/>
      <c r="H314" s="292"/>
      <c r="I314" s="292"/>
    </row>
    <row r="315" spans="3:9">
      <c r="C315" s="292"/>
      <c r="D315" s="292"/>
      <c r="E315" s="292"/>
      <c r="F315" s="292"/>
      <c r="G315" s="292"/>
      <c r="H315" s="292"/>
      <c r="I315" s="292"/>
    </row>
    <row r="316" spans="3:9">
      <c r="C316" s="292"/>
      <c r="D316" s="292"/>
      <c r="E316" s="292"/>
      <c r="F316" s="292"/>
      <c r="G316" s="292"/>
      <c r="H316" s="292"/>
      <c r="I316" s="292"/>
    </row>
    <row r="317" spans="3:9">
      <c r="C317" s="292"/>
      <c r="D317" s="292"/>
      <c r="E317" s="292"/>
      <c r="F317" s="292"/>
      <c r="G317" s="292"/>
      <c r="H317" s="292"/>
      <c r="I317" s="292"/>
    </row>
    <row r="318" spans="3:9">
      <c r="C318" s="292"/>
      <c r="D318" s="292"/>
      <c r="E318" s="292"/>
      <c r="F318" s="292"/>
      <c r="G318" s="292"/>
      <c r="H318" s="292"/>
      <c r="I318" s="292"/>
    </row>
    <row r="319" spans="3:9">
      <c r="C319" s="292"/>
      <c r="D319" s="292"/>
      <c r="E319" s="292"/>
      <c r="F319" s="292"/>
      <c r="G319" s="292"/>
      <c r="H319" s="292"/>
      <c r="I319" s="292"/>
    </row>
    <row r="320" spans="3:9">
      <c r="C320" s="292"/>
      <c r="D320" s="292"/>
      <c r="E320" s="292"/>
      <c r="F320" s="292"/>
      <c r="G320" s="292"/>
      <c r="H320" s="292"/>
      <c r="I320" s="292"/>
    </row>
    <row r="321" spans="3:9">
      <c r="C321" s="292"/>
      <c r="D321" s="292"/>
      <c r="E321" s="292"/>
      <c r="F321" s="292"/>
      <c r="G321" s="292"/>
      <c r="H321" s="292"/>
      <c r="I321" s="292"/>
    </row>
    <row r="322" spans="3:9">
      <c r="C322" s="292"/>
      <c r="D322" s="292"/>
      <c r="E322" s="292"/>
      <c r="F322" s="292"/>
      <c r="G322" s="292"/>
      <c r="H322" s="292"/>
      <c r="I322" s="292"/>
    </row>
    <row r="323" spans="3:9">
      <c r="C323" s="292"/>
      <c r="D323" s="292"/>
      <c r="E323" s="292"/>
      <c r="F323" s="292"/>
      <c r="G323" s="292"/>
      <c r="H323" s="292"/>
      <c r="I323" s="292"/>
    </row>
    <row r="324" spans="3:9">
      <c r="C324" s="292"/>
      <c r="D324" s="292"/>
      <c r="E324" s="292"/>
      <c r="F324" s="292"/>
      <c r="G324" s="292"/>
      <c r="H324" s="292"/>
      <c r="I324" s="292"/>
    </row>
    <row r="325" spans="3:9">
      <c r="C325" s="292"/>
      <c r="D325" s="292"/>
      <c r="E325" s="292"/>
      <c r="F325" s="292"/>
      <c r="G325" s="292"/>
      <c r="H325" s="292"/>
      <c r="I325" s="292"/>
    </row>
    <row r="326" spans="3:9">
      <c r="C326" s="292"/>
      <c r="D326" s="292"/>
      <c r="E326" s="292"/>
      <c r="F326" s="292"/>
      <c r="G326" s="292"/>
      <c r="H326" s="292"/>
      <c r="I326" s="292"/>
    </row>
    <row r="327" spans="3:9">
      <c r="C327" s="292"/>
      <c r="D327" s="292"/>
      <c r="E327" s="292"/>
      <c r="F327" s="292"/>
      <c r="G327" s="292"/>
      <c r="H327" s="292"/>
      <c r="I327" s="292"/>
    </row>
    <row r="328" spans="3:9">
      <c r="C328" s="292"/>
      <c r="D328" s="292"/>
      <c r="E328" s="292"/>
      <c r="F328" s="292"/>
      <c r="G328" s="292"/>
      <c r="H328" s="292"/>
      <c r="I328" s="292"/>
    </row>
    <row r="329" spans="3:9">
      <c r="C329" s="292"/>
      <c r="D329" s="292"/>
      <c r="E329" s="292"/>
      <c r="F329" s="292"/>
      <c r="G329" s="292"/>
      <c r="H329" s="292"/>
      <c r="I329" s="292"/>
    </row>
    <row r="330" spans="3:9">
      <c r="C330" s="292"/>
      <c r="D330" s="292"/>
      <c r="E330" s="292"/>
      <c r="F330" s="292"/>
      <c r="G330" s="292"/>
      <c r="H330" s="292"/>
      <c r="I330" s="292"/>
    </row>
    <row r="331" spans="3:9">
      <c r="C331" s="292"/>
      <c r="D331" s="292"/>
      <c r="E331" s="292"/>
      <c r="F331" s="292"/>
      <c r="G331" s="292"/>
      <c r="H331" s="292"/>
      <c r="I331" s="292"/>
    </row>
    <row r="332" spans="3:9">
      <c r="C332" s="292"/>
      <c r="D332" s="292"/>
      <c r="E332" s="292"/>
      <c r="F332" s="292"/>
      <c r="G332" s="292"/>
      <c r="H332" s="292"/>
      <c r="I332" s="292"/>
    </row>
    <row r="333" spans="3:9">
      <c r="C333" s="292"/>
      <c r="D333" s="292"/>
      <c r="E333" s="292"/>
      <c r="F333" s="292"/>
      <c r="G333" s="292"/>
      <c r="H333" s="292"/>
      <c r="I333" s="292"/>
    </row>
    <row r="334" spans="3:9">
      <c r="C334" s="292"/>
      <c r="D334" s="292"/>
      <c r="E334" s="292"/>
      <c r="F334" s="292"/>
      <c r="G334" s="292"/>
      <c r="H334" s="292"/>
      <c r="I334" s="292"/>
    </row>
    <row r="335" spans="3:9">
      <c r="C335" s="292"/>
      <c r="D335" s="292"/>
      <c r="E335" s="292"/>
      <c r="F335" s="292"/>
      <c r="G335" s="292"/>
      <c r="H335" s="292"/>
      <c r="I335" s="292"/>
    </row>
    <row r="336" spans="3:9">
      <c r="C336" s="292"/>
      <c r="D336" s="292"/>
      <c r="E336" s="292"/>
      <c r="F336" s="292"/>
      <c r="G336" s="292"/>
      <c r="H336" s="292"/>
      <c r="I336" s="292"/>
    </row>
    <row r="337" spans="3:9">
      <c r="C337" s="292"/>
      <c r="D337" s="292"/>
      <c r="E337" s="292"/>
      <c r="F337" s="292"/>
      <c r="G337" s="292"/>
      <c r="H337" s="292"/>
      <c r="I337" s="292"/>
    </row>
    <row r="338" spans="3:9">
      <c r="C338" s="292"/>
      <c r="D338" s="292"/>
      <c r="E338" s="292"/>
      <c r="F338" s="292"/>
      <c r="G338" s="292"/>
      <c r="H338" s="292"/>
      <c r="I338" s="292"/>
    </row>
    <row r="339" spans="3:9">
      <c r="C339" s="292"/>
      <c r="D339" s="292"/>
      <c r="E339" s="292"/>
      <c r="F339" s="292"/>
      <c r="G339" s="292"/>
      <c r="H339" s="292"/>
      <c r="I339" s="292"/>
    </row>
    <row r="340" spans="3:9">
      <c r="C340" s="292"/>
      <c r="D340" s="292"/>
      <c r="E340" s="292"/>
      <c r="F340" s="292"/>
      <c r="G340" s="292"/>
      <c r="H340" s="292"/>
      <c r="I340" s="292"/>
    </row>
    <row r="341" spans="3:9">
      <c r="C341" s="292"/>
      <c r="D341" s="292"/>
      <c r="E341" s="292"/>
      <c r="F341" s="292"/>
      <c r="G341" s="292"/>
      <c r="H341" s="292"/>
      <c r="I341" s="292"/>
    </row>
    <row r="342" spans="3:9">
      <c r="C342" s="292"/>
      <c r="D342" s="292"/>
      <c r="E342" s="292"/>
      <c r="F342" s="292"/>
      <c r="G342" s="292"/>
      <c r="H342" s="292"/>
      <c r="I342" s="292"/>
    </row>
    <row r="343" spans="3:9">
      <c r="C343" s="292"/>
      <c r="D343" s="292"/>
      <c r="E343" s="292"/>
      <c r="F343" s="292"/>
      <c r="G343" s="292"/>
      <c r="H343" s="292"/>
      <c r="I343" s="292"/>
    </row>
    <row r="344" spans="3:9">
      <c r="C344" s="292"/>
      <c r="D344" s="292"/>
      <c r="E344" s="292"/>
      <c r="F344" s="292"/>
      <c r="G344" s="292"/>
      <c r="H344" s="292"/>
      <c r="I344" s="292"/>
    </row>
    <row r="345" spans="3:9">
      <c r="C345" s="292"/>
      <c r="D345" s="292"/>
      <c r="E345" s="292"/>
      <c r="F345" s="292"/>
      <c r="G345" s="292"/>
      <c r="H345" s="292"/>
      <c r="I345" s="292"/>
    </row>
    <row r="346" spans="3:9">
      <c r="C346" s="292"/>
      <c r="D346" s="292"/>
      <c r="E346" s="292"/>
      <c r="F346" s="292"/>
      <c r="G346" s="292"/>
      <c r="H346" s="292"/>
      <c r="I346" s="292"/>
    </row>
    <row r="347" spans="3:9">
      <c r="C347" s="292"/>
      <c r="D347" s="292"/>
      <c r="E347" s="292"/>
      <c r="F347" s="292"/>
      <c r="G347" s="292"/>
      <c r="H347" s="292"/>
      <c r="I347" s="292"/>
    </row>
    <row r="348" spans="3:9">
      <c r="C348" s="292"/>
      <c r="D348" s="292"/>
      <c r="E348" s="292"/>
      <c r="F348" s="292"/>
      <c r="G348" s="292"/>
      <c r="H348" s="292"/>
      <c r="I348" s="292"/>
    </row>
    <row r="349" spans="3:9">
      <c r="C349" s="292"/>
      <c r="D349" s="292"/>
      <c r="E349" s="292"/>
      <c r="F349" s="292"/>
      <c r="G349" s="292"/>
      <c r="H349" s="292"/>
      <c r="I349" s="292"/>
    </row>
    <row r="350" spans="3:9">
      <c r="C350" s="292"/>
      <c r="D350" s="292"/>
      <c r="E350" s="292"/>
      <c r="F350" s="292"/>
      <c r="G350" s="292"/>
      <c r="H350" s="292"/>
      <c r="I350" s="292"/>
    </row>
    <row r="351" spans="3:9">
      <c r="C351" s="292"/>
      <c r="D351" s="292"/>
      <c r="E351" s="292"/>
      <c r="F351" s="292"/>
      <c r="G351" s="292"/>
      <c r="H351" s="292"/>
      <c r="I351" s="292"/>
    </row>
    <row r="352" spans="3:9">
      <c r="C352" s="292"/>
      <c r="D352" s="292"/>
      <c r="E352" s="292"/>
      <c r="F352" s="292"/>
      <c r="G352" s="292"/>
      <c r="H352" s="292"/>
      <c r="I352" s="292"/>
    </row>
    <row r="353" spans="3:9">
      <c r="C353" s="292"/>
      <c r="D353" s="292"/>
      <c r="E353" s="292"/>
      <c r="F353" s="292"/>
      <c r="G353" s="292"/>
      <c r="H353" s="292"/>
      <c r="I353" s="292"/>
    </row>
    <row r="354" spans="3:9">
      <c r="C354" s="292"/>
      <c r="D354" s="292"/>
      <c r="E354" s="292"/>
      <c r="F354" s="292"/>
      <c r="G354" s="292"/>
      <c r="H354" s="292"/>
      <c r="I354" s="292"/>
    </row>
    <row r="355" spans="3:9">
      <c r="C355" s="292"/>
      <c r="D355" s="292"/>
      <c r="E355" s="292"/>
      <c r="F355" s="292"/>
      <c r="G355" s="292"/>
      <c r="H355" s="292"/>
      <c r="I355" s="292"/>
    </row>
    <row r="356" spans="3:9">
      <c r="C356" s="292"/>
      <c r="D356" s="292"/>
      <c r="E356" s="292"/>
      <c r="F356" s="292"/>
      <c r="G356" s="292"/>
      <c r="H356" s="292"/>
      <c r="I356" s="292"/>
    </row>
    <row r="357" spans="3:9">
      <c r="C357" s="292"/>
      <c r="D357" s="292"/>
      <c r="E357" s="292"/>
      <c r="F357" s="292"/>
      <c r="G357" s="292"/>
      <c r="H357" s="292"/>
      <c r="I357" s="292"/>
    </row>
    <row r="358" spans="3:9">
      <c r="C358" s="292"/>
      <c r="D358" s="292"/>
      <c r="E358" s="292"/>
      <c r="F358" s="292"/>
      <c r="G358" s="292"/>
      <c r="H358" s="292"/>
      <c r="I358" s="292"/>
    </row>
    <row r="359" spans="3:9">
      <c r="C359" s="292"/>
      <c r="D359" s="292"/>
      <c r="E359" s="292"/>
      <c r="F359" s="292"/>
      <c r="G359" s="292"/>
      <c r="H359" s="292"/>
      <c r="I359" s="292"/>
    </row>
    <row r="360" spans="3:9">
      <c r="C360" s="292"/>
      <c r="D360" s="292"/>
      <c r="E360" s="292"/>
      <c r="F360" s="292"/>
      <c r="G360" s="292"/>
      <c r="H360" s="292"/>
      <c r="I360" s="292"/>
    </row>
    <row r="361" spans="3:9">
      <c r="C361" s="292"/>
      <c r="D361" s="292"/>
      <c r="E361" s="292"/>
      <c r="F361" s="292"/>
      <c r="G361" s="292"/>
      <c r="H361" s="292"/>
      <c r="I361" s="292"/>
    </row>
    <row r="362" spans="3:9">
      <c r="C362" s="292"/>
      <c r="D362" s="292"/>
      <c r="E362" s="292"/>
      <c r="F362" s="292"/>
      <c r="G362" s="292"/>
      <c r="H362" s="292"/>
      <c r="I362" s="292"/>
    </row>
    <row r="363" spans="3:9">
      <c r="C363" s="292"/>
      <c r="D363" s="292"/>
      <c r="E363" s="292"/>
      <c r="F363" s="292"/>
      <c r="G363" s="292"/>
      <c r="H363" s="292"/>
      <c r="I363" s="292"/>
    </row>
    <row r="364" spans="3:9">
      <c r="C364" s="292"/>
      <c r="D364" s="292"/>
      <c r="E364" s="292"/>
      <c r="F364" s="292"/>
      <c r="G364" s="292"/>
      <c r="H364" s="292"/>
      <c r="I364" s="292"/>
    </row>
    <row r="365" spans="3:9">
      <c r="C365" s="292"/>
      <c r="D365" s="292"/>
      <c r="E365" s="292"/>
      <c r="F365" s="292"/>
      <c r="G365" s="292"/>
      <c r="H365" s="292"/>
      <c r="I365" s="292"/>
    </row>
    <row r="366" spans="3:9">
      <c r="C366" s="292"/>
      <c r="D366" s="292"/>
      <c r="E366" s="292"/>
      <c r="F366" s="292"/>
      <c r="G366" s="292"/>
      <c r="H366" s="292"/>
      <c r="I366" s="292"/>
    </row>
    <row r="367" spans="3:9">
      <c r="C367" s="292"/>
      <c r="D367" s="292"/>
      <c r="E367" s="292"/>
      <c r="F367" s="292"/>
      <c r="G367" s="292"/>
      <c r="H367" s="292"/>
      <c r="I367" s="292"/>
    </row>
    <row r="368" spans="3:9">
      <c r="C368" s="292"/>
      <c r="D368" s="292"/>
      <c r="E368" s="292"/>
      <c r="F368" s="292"/>
      <c r="G368" s="292"/>
      <c r="H368" s="292"/>
      <c r="I368" s="292"/>
    </row>
    <row r="369" spans="3:9">
      <c r="C369" s="292"/>
      <c r="D369" s="292"/>
      <c r="E369" s="292"/>
      <c r="F369" s="292"/>
      <c r="G369" s="292"/>
      <c r="H369" s="292"/>
      <c r="I369" s="292"/>
    </row>
    <row r="370" spans="3:9">
      <c r="C370" s="292"/>
      <c r="D370" s="292"/>
      <c r="E370" s="292"/>
      <c r="F370" s="292"/>
      <c r="G370" s="292"/>
      <c r="H370" s="292"/>
      <c r="I370" s="292"/>
    </row>
    <row r="371" spans="3:9">
      <c r="C371" s="292"/>
      <c r="D371" s="292"/>
      <c r="E371" s="292"/>
      <c r="F371" s="292"/>
      <c r="G371" s="292"/>
      <c r="H371" s="292"/>
      <c r="I371" s="292"/>
    </row>
    <row r="372" spans="3:9">
      <c r="C372" s="292"/>
      <c r="D372" s="292"/>
      <c r="E372" s="292"/>
      <c r="F372" s="292"/>
      <c r="G372" s="292"/>
      <c r="H372" s="292"/>
      <c r="I372" s="292"/>
    </row>
    <row r="373" spans="3:9">
      <c r="C373" s="292"/>
      <c r="D373" s="292"/>
      <c r="E373" s="292"/>
      <c r="F373" s="292"/>
      <c r="G373" s="292"/>
      <c r="H373" s="292"/>
      <c r="I373" s="292"/>
    </row>
    <row r="374" spans="3:9">
      <c r="C374" s="292"/>
      <c r="D374" s="292"/>
      <c r="E374" s="292"/>
      <c r="F374" s="292"/>
      <c r="G374" s="292"/>
      <c r="H374" s="292"/>
      <c r="I374" s="292"/>
    </row>
    <row r="375" spans="3:9">
      <c r="C375" s="292"/>
      <c r="D375" s="292"/>
      <c r="E375" s="292"/>
      <c r="F375" s="292"/>
      <c r="G375" s="292"/>
      <c r="H375" s="292"/>
      <c r="I375" s="292"/>
    </row>
    <row r="376" spans="3:9">
      <c r="C376" s="292"/>
      <c r="D376" s="292"/>
      <c r="E376" s="292"/>
      <c r="F376" s="292"/>
      <c r="G376" s="292"/>
      <c r="H376" s="292"/>
      <c r="I376" s="292"/>
    </row>
    <row r="377" spans="3:9">
      <c r="C377" s="292"/>
      <c r="D377" s="292"/>
      <c r="E377" s="292"/>
      <c r="F377" s="292"/>
      <c r="G377" s="292"/>
      <c r="H377" s="292"/>
      <c r="I377" s="292"/>
    </row>
    <row r="378" spans="3:9">
      <c r="C378" s="292"/>
      <c r="D378" s="292"/>
      <c r="E378" s="292"/>
      <c r="F378" s="292"/>
      <c r="G378" s="292"/>
      <c r="H378" s="292"/>
      <c r="I378" s="292"/>
    </row>
    <row r="379" spans="3:9">
      <c r="C379" s="292"/>
      <c r="D379" s="292"/>
      <c r="E379" s="292"/>
      <c r="F379" s="292"/>
      <c r="G379" s="292"/>
      <c r="H379" s="292"/>
      <c r="I379" s="292"/>
    </row>
    <row r="380" spans="3:9">
      <c r="C380" s="292"/>
      <c r="D380" s="292"/>
      <c r="E380" s="292"/>
      <c r="F380" s="292"/>
      <c r="G380" s="292"/>
      <c r="H380" s="292"/>
      <c r="I380" s="292"/>
    </row>
    <row r="381" spans="3:9">
      <c r="C381" s="292"/>
      <c r="D381" s="292"/>
      <c r="E381" s="292"/>
      <c r="F381" s="292"/>
      <c r="G381" s="292"/>
      <c r="H381" s="292"/>
      <c r="I381" s="292"/>
    </row>
    <row r="382" spans="3:9">
      <c r="C382" s="292"/>
      <c r="D382" s="292"/>
      <c r="E382" s="292"/>
      <c r="F382" s="292"/>
      <c r="G382" s="292"/>
      <c r="H382" s="292"/>
      <c r="I382" s="292"/>
    </row>
    <row r="383" spans="3:9">
      <c r="C383" s="292"/>
      <c r="D383" s="292"/>
      <c r="E383" s="292"/>
      <c r="F383" s="292"/>
      <c r="G383" s="292"/>
      <c r="H383" s="292"/>
      <c r="I383" s="292"/>
    </row>
    <row r="384" spans="3:9">
      <c r="C384" s="292"/>
      <c r="D384" s="292"/>
      <c r="E384" s="292"/>
      <c r="F384" s="292"/>
      <c r="G384" s="292"/>
      <c r="H384" s="292"/>
      <c r="I384" s="292"/>
    </row>
    <row r="385" spans="3:9">
      <c r="C385" s="292"/>
      <c r="D385" s="292"/>
      <c r="E385" s="292"/>
      <c r="F385" s="292"/>
      <c r="G385" s="292"/>
      <c r="H385" s="292"/>
      <c r="I385" s="292"/>
    </row>
    <row r="386" spans="3:9">
      <c r="C386" s="292"/>
      <c r="D386" s="292"/>
      <c r="E386" s="292"/>
      <c r="F386" s="292"/>
      <c r="G386" s="292"/>
      <c r="H386" s="292"/>
      <c r="I386" s="292"/>
    </row>
    <row r="387" spans="3:9">
      <c r="C387" s="292"/>
      <c r="D387" s="292"/>
      <c r="E387" s="292"/>
      <c r="F387" s="292"/>
      <c r="G387" s="292"/>
      <c r="H387" s="292"/>
      <c r="I387" s="292"/>
    </row>
    <row r="388" spans="3:9">
      <c r="C388" s="292"/>
      <c r="D388" s="292"/>
      <c r="E388" s="292"/>
      <c r="F388" s="292"/>
      <c r="G388" s="292"/>
      <c r="H388" s="292"/>
      <c r="I388" s="292"/>
    </row>
    <row r="389" spans="3:9">
      <c r="C389" s="292"/>
      <c r="D389" s="292"/>
      <c r="E389" s="292"/>
      <c r="F389" s="292"/>
      <c r="G389" s="292"/>
      <c r="H389" s="292"/>
      <c r="I389" s="292"/>
    </row>
    <row r="390" spans="3:9">
      <c r="C390" s="292"/>
      <c r="D390" s="292"/>
      <c r="E390" s="292"/>
      <c r="F390" s="292"/>
      <c r="G390" s="292"/>
      <c r="H390" s="292"/>
      <c r="I390" s="292"/>
    </row>
    <row r="391" spans="3:9">
      <c r="C391" s="292"/>
      <c r="D391" s="292"/>
      <c r="E391" s="292"/>
      <c r="F391" s="292"/>
      <c r="G391" s="292"/>
      <c r="H391" s="292"/>
      <c r="I391" s="292"/>
    </row>
    <row r="392" spans="3:9">
      <c r="C392" s="292"/>
      <c r="D392" s="292"/>
      <c r="E392" s="292"/>
      <c r="F392" s="292"/>
      <c r="G392" s="292"/>
      <c r="H392" s="292"/>
      <c r="I392" s="292"/>
    </row>
    <row r="393" spans="3:9">
      <c r="C393" s="292"/>
      <c r="D393" s="292"/>
      <c r="E393" s="292"/>
      <c r="F393" s="292"/>
      <c r="G393" s="292"/>
      <c r="H393" s="292"/>
      <c r="I393" s="292"/>
    </row>
    <row r="394" spans="3:9">
      <c r="C394" s="292"/>
      <c r="D394" s="292"/>
      <c r="E394" s="292"/>
      <c r="F394" s="292"/>
      <c r="G394" s="292"/>
      <c r="H394" s="292"/>
      <c r="I394" s="292"/>
    </row>
    <row r="395" spans="3:9">
      <c r="C395" s="292"/>
      <c r="D395" s="292"/>
      <c r="E395" s="292"/>
      <c r="F395" s="292"/>
      <c r="G395" s="292"/>
      <c r="H395" s="292"/>
      <c r="I395" s="292"/>
    </row>
    <row r="396" spans="3:9">
      <c r="C396" s="292"/>
      <c r="D396" s="292"/>
      <c r="E396" s="292"/>
      <c r="F396" s="292"/>
      <c r="G396" s="292"/>
      <c r="H396" s="292"/>
      <c r="I396" s="292"/>
    </row>
    <row r="397" spans="3:9">
      <c r="C397" s="292"/>
      <c r="D397" s="292"/>
      <c r="E397" s="292"/>
      <c r="F397" s="292"/>
      <c r="G397" s="292"/>
      <c r="H397" s="292"/>
      <c r="I397" s="292"/>
    </row>
    <row r="398" spans="3:9">
      <c r="C398" s="292"/>
      <c r="D398" s="292"/>
      <c r="E398" s="292"/>
      <c r="F398" s="292"/>
      <c r="G398" s="292"/>
      <c r="H398" s="292"/>
      <c r="I398" s="292"/>
    </row>
    <row r="399" spans="3:9">
      <c r="C399" s="292"/>
      <c r="D399" s="292"/>
      <c r="E399" s="292"/>
      <c r="F399" s="292"/>
      <c r="G399" s="292"/>
      <c r="H399" s="292"/>
      <c r="I399" s="292"/>
    </row>
    <row r="400" spans="3:9">
      <c r="C400" s="292"/>
      <c r="D400" s="292"/>
      <c r="E400" s="292"/>
      <c r="F400" s="292"/>
      <c r="G400" s="292"/>
      <c r="H400" s="292"/>
      <c r="I400" s="292"/>
    </row>
    <row r="401" spans="3:9">
      <c r="C401" s="292"/>
      <c r="D401" s="292"/>
      <c r="E401" s="292"/>
      <c r="F401" s="292"/>
      <c r="G401" s="292"/>
      <c r="H401" s="292"/>
      <c r="I401" s="292"/>
    </row>
    <row r="402" spans="3:9">
      <c r="C402" s="292"/>
      <c r="D402" s="292"/>
      <c r="E402" s="292"/>
      <c r="F402" s="292"/>
      <c r="G402" s="292"/>
      <c r="H402" s="292"/>
      <c r="I402" s="292"/>
    </row>
    <row r="403" spans="3:9">
      <c r="C403" s="292"/>
      <c r="D403" s="292"/>
      <c r="E403" s="292"/>
      <c r="F403" s="292"/>
      <c r="G403" s="292"/>
      <c r="H403" s="292"/>
      <c r="I403" s="292"/>
    </row>
    <row r="404" spans="3:9">
      <c r="C404" s="292"/>
      <c r="D404" s="292"/>
      <c r="E404" s="292"/>
      <c r="F404" s="292"/>
      <c r="G404" s="292"/>
      <c r="H404" s="292"/>
      <c r="I404" s="292"/>
    </row>
    <row r="405" spans="3:9">
      <c r="C405" s="292"/>
      <c r="D405" s="292"/>
      <c r="E405" s="292"/>
      <c r="F405" s="292"/>
      <c r="G405" s="292"/>
      <c r="H405" s="292"/>
      <c r="I405" s="292"/>
    </row>
    <row r="406" spans="3:9">
      <c r="C406" s="292"/>
      <c r="D406" s="292"/>
      <c r="E406" s="292"/>
      <c r="F406" s="292"/>
      <c r="G406" s="292"/>
      <c r="H406" s="292"/>
      <c r="I406" s="292"/>
    </row>
    <row r="407" spans="3:9">
      <c r="C407" s="292"/>
      <c r="D407" s="292"/>
      <c r="E407" s="292"/>
      <c r="F407" s="292"/>
      <c r="G407" s="292"/>
      <c r="H407" s="292"/>
      <c r="I407" s="292"/>
    </row>
    <row r="408" spans="3:9">
      <c r="C408" s="292"/>
      <c r="D408" s="292"/>
      <c r="E408" s="292"/>
      <c r="F408" s="292"/>
      <c r="G408" s="292"/>
      <c r="H408" s="292"/>
      <c r="I408" s="292"/>
    </row>
    <row r="409" spans="3:9">
      <c r="C409" s="292"/>
      <c r="D409" s="292"/>
      <c r="E409" s="292"/>
      <c r="F409" s="292"/>
      <c r="G409" s="292"/>
      <c r="H409" s="292"/>
      <c r="I409" s="292"/>
    </row>
    <row r="410" spans="3:9">
      <c r="C410" s="292"/>
      <c r="D410" s="292"/>
      <c r="E410" s="292"/>
      <c r="F410" s="292"/>
      <c r="G410" s="292"/>
      <c r="H410" s="292"/>
      <c r="I410" s="292"/>
    </row>
    <row r="411" spans="3:9">
      <c r="C411" s="292"/>
      <c r="D411" s="292"/>
      <c r="E411" s="292"/>
      <c r="F411" s="292"/>
      <c r="G411" s="292"/>
      <c r="H411" s="292"/>
      <c r="I411" s="292"/>
    </row>
    <row r="412" spans="3:9">
      <c r="C412" s="292"/>
      <c r="D412" s="292"/>
      <c r="E412" s="292"/>
      <c r="F412" s="292"/>
      <c r="G412" s="292"/>
      <c r="H412" s="292"/>
      <c r="I412" s="292"/>
    </row>
    <row r="413" spans="3:9">
      <c r="C413" s="292"/>
      <c r="D413" s="292"/>
      <c r="E413" s="292"/>
      <c r="F413" s="292"/>
      <c r="G413" s="292"/>
      <c r="H413" s="292"/>
      <c r="I413" s="292"/>
    </row>
    <row r="414" spans="3:9">
      <c r="C414" s="292"/>
      <c r="D414" s="292"/>
      <c r="E414" s="292"/>
      <c r="F414" s="292"/>
      <c r="G414" s="292"/>
      <c r="H414" s="292"/>
      <c r="I414" s="292"/>
    </row>
    <row r="415" spans="3:9">
      <c r="C415" s="292"/>
      <c r="D415" s="292"/>
      <c r="E415" s="292"/>
      <c r="F415" s="292"/>
      <c r="G415" s="292"/>
      <c r="H415" s="292"/>
      <c r="I415" s="292"/>
    </row>
    <row r="416" spans="3:9">
      <c r="C416" s="292"/>
      <c r="D416" s="292"/>
      <c r="E416" s="292"/>
      <c r="F416" s="292"/>
      <c r="G416" s="292"/>
      <c r="H416" s="292"/>
      <c r="I416" s="292"/>
    </row>
    <row r="417" spans="3:9">
      <c r="C417" s="292"/>
      <c r="D417" s="292"/>
      <c r="E417" s="292"/>
      <c r="F417" s="292"/>
      <c r="G417" s="292"/>
      <c r="H417" s="292"/>
      <c r="I417" s="292"/>
    </row>
    <row r="418" spans="3:9">
      <c r="C418" s="292"/>
      <c r="D418" s="292"/>
      <c r="E418" s="292"/>
      <c r="F418" s="292"/>
      <c r="G418" s="292"/>
      <c r="H418" s="292"/>
      <c r="I418" s="292"/>
    </row>
    <row r="419" spans="3:9">
      <c r="C419" s="292"/>
      <c r="D419" s="292"/>
      <c r="E419" s="292"/>
      <c r="F419" s="292"/>
      <c r="G419" s="292"/>
      <c r="H419" s="292"/>
      <c r="I419" s="292"/>
    </row>
    <row r="420" spans="3:9">
      <c r="C420" s="292"/>
      <c r="D420" s="292"/>
      <c r="E420" s="292"/>
      <c r="F420" s="292"/>
      <c r="G420" s="292"/>
      <c r="H420" s="292"/>
      <c r="I420" s="292"/>
    </row>
    <row r="421" spans="3:9">
      <c r="C421" s="292"/>
      <c r="D421" s="292"/>
      <c r="E421" s="292"/>
      <c r="F421" s="292"/>
      <c r="G421" s="292"/>
      <c r="H421" s="292"/>
      <c r="I421" s="292"/>
    </row>
    <row r="422" spans="3:9">
      <c r="C422" s="292"/>
      <c r="D422" s="292"/>
      <c r="E422" s="292"/>
      <c r="F422" s="292"/>
      <c r="G422" s="292"/>
      <c r="H422" s="292"/>
      <c r="I422" s="292"/>
    </row>
    <row r="423" spans="3:9">
      <c r="C423" s="292"/>
      <c r="D423" s="292"/>
      <c r="E423" s="292"/>
      <c r="F423" s="292"/>
      <c r="G423" s="292"/>
      <c r="H423" s="292"/>
      <c r="I423" s="292"/>
    </row>
    <row r="424" spans="3:9">
      <c r="C424" s="292"/>
      <c r="D424" s="292"/>
      <c r="E424" s="292"/>
      <c r="F424" s="292"/>
      <c r="G424" s="292"/>
      <c r="H424" s="292"/>
      <c r="I424" s="292"/>
    </row>
    <row r="425" spans="3:9">
      <c r="C425" s="292"/>
      <c r="D425" s="292"/>
      <c r="E425" s="292"/>
      <c r="F425" s="292"/>
      <c r="G425" s="292"/>
      <c r="H425" s="292"/>
      <c r="I425" s="292"/>
    </row>
    <row r="426" spans="3:9">
      <c r="C426" s="292"/>
      <c r="D426" s="292"/>
      <c r="E426" s="292"/>
      <c r="F426" s="292"/>
      <c r="G426" s="292"/>
      <c r="H426" s="292"/>
      <c r="I426" s="292"/>
    </row>
    <row r="427" spans="3:9">
      <c r="C427" s="292"/>
      <c r="D427" s="292"/>
      <c r="E427" s="292"/>
      <c r="F427" s="292"/>
      <c r="G427" s="292"/>
      <c r="H427" s="292"/>
      <c r="I427" s="292"/>
    </row>
    <row r="428" spans="3:9">
      <c r="C428" s="292"/>
      <c r="D428" s="292"/>
      <c r="E428" s="292"/>
      <c r="F428" s="292"/>
      <c r="G428" s="292"/>
      <c r="H428" s="292"/>
      <c r="I428" s="292"/>
    </row>
    <row r="429" spans="3:9">
      <c r="C429" s="292"/>
      <c r="D429" s="292"/>
      <c r="E429" s="292"/>
      <c r="F429" s="292"/>
      <c r="G429" s="292"/>
      <c r="H429" s="292"/>
      <c r="I429" s="292"/>
    </row>
    <row r="430" spans="3:9">
      <c r="C430" s="292"/>
      <c r="D430" s="292"/>
      <c r="E430" s="292"/>
      <c r="F430" s="292"/>
      <c r="G430" s="292"/>
      <c r="H430" s="292"/>
      <c r="I430" s="292"/>
    </row>
    <row r="431" spans="3:9">
      <c r="C431" s="292"/>
      <c r="D431" s="292"/>
      <c r="E431" s="292"/>
      <c r="F431" s="292"/>
      <c r="G431" s="292"/>
      <c r="H431" s="292"/>
      <c r="I431" s="292"/>
    </row>
    <row r="432" spans="3:9">
      <c r="C432" s="292"/>
      <c r="D432" s="292"/>
      <c r="E432" s="292"/>
      <c r="F432" s="292"/>
      <c r="G432" s="292"/>
      <c r="H432" s="292"/>
      <c r="I432" s="292"/>
    </row>
    <row r="433" spans="3:9">
      <c r="C433" s="292"/>
      <c r="D433" s="292"/>
      <c r="E433" s="292"/>
      <c r="F433" s="292"/>
      <c r="G433" s="292"/>
      <c r="H433" s="292"/>
      <c r="I433" s="292"/>
    </row>
    <row r="434" spans="3:9">
      <c r="C434" s="292"/>
      <c r="D434" s="292"/>
      <c r="E434" s="292"/>
      <c r="F434" s="292"/>
      <c r="G434" s="292"/>
      <c r="H434" s="292"/>
      <c r="I434" s="292"/>
    </row>
    <row r="435" spans="3:9">
      <c r="C435" s="292"/>
      <c r="D435" s="292"/>
      <c r="E435" s="292"/>
      <c r="F435" s="292"/>
      <c r="G435" s="292"/>
      <c r="H435" s="292"/>
      <c r="I435" s="292"/>
    </row>
    <row r="436" spans="3:9">
      <c r="C436" s="292"/>
      <c r="D436" s="292"/>
      <c r="E436" s="292"/>
      <c r="F436" s="292"/>
      <c r="G436" s="292"/>
      <c r="H436" s="292"/>
      <c r="I436" s="292"/>
    </row>
    <row r="437" spans="3:9">
      <c r="C437" s="292"/>
      <c r="D437" s="292"/>
      <c r="E437" s="292"/>
      <c r="F437" s="292"/>
      <c r="G437" s="292"/>
      <c r="H437" s="292"/>
      <c r="I437" s="292"/>
    </row>
    <row r="438" spans="3:9">
      <c r="C438" s="292"/>
      <c r="D438" s="292"/>
      <c r="E438" s="292"/>
      <c r="F438" s="292"/>
      <c r="G438" s="292"/>
      <c r="H438" s="292"/>
      <c r="I438" s="292"/>
    </row>
    <row r="439" spans="3:9">
      <c r="C439" s="292"/>
      <c r="D439" s="292"/>
      <c r="E439" s="292"/>
      <c r="F439" s="292"/>
      <c r="G439" s="292"/>
      <c r="H439" s="292"/>
      <c r="I439" s="292"/>
    </row>
    <row r="440" spans="3:9">
      <c r="C440" s="292"/>
      <c r="D440" s="292"/>
      <c r="E440" s="292"/>
      <c r="F440" s="292"/>
      <c r="G440" s="292"/>
      <c r="H440" s="292"/>
      <c r="I440" s="292"/>
    </row>
    <row r="441" spans="3:9">
      <c r="C441" s="292"/>
      <c r="D441" s="292"/>
      <c r="E441" s="292"/>
      <c r="F441" s="292"/>
      <c r="G441" s="292"/>
      <c r="H441" s="292"/>
      <c r="I441" s="292"/>
    </row>
    <row r="442" spans="3:9">
      <c r="C442" s="292"/>
      <c r="D442" s="292"/>
      <c r="E442" s="292"/>
      <c r="F442" s="292"/>
      <c r="G442" s="292"/>
      <c r="H442" s="292"/>
      <c r="I442" s="292"/>
    </row>
    <row r="443" spans="3:9">
      <c r="C443" s="292"/>
      <c r="D443" s="292"/>
      <c r="E443" s="292"/>
      <c r="F443" s="292"/>
      <c r="G443" s="292"/>
      <c r="H443" s="292"/>
      <c r="I443" s="292"/>
    </row>
    <row r="444" spans="3:9">
      <c r="C444" s="292"/>
      <c r="D444" s="292"/>
      <c r="E444" s="292"/>
      <c r="F444" s="292"/>
      <c r="G444" s="292"/>
      <c r="H444" s="292"/>
      <c r="I444" s="292"/>
    </row>
    <row r="445" spans="3:9">
      <c r="C445" s="292"/>
      <c r="D445" s="292"/>
      <c r="E445" s="292"/>
      <c r="F445" s="292"/>
      <c r="G445" s="292"/>
      <c r="H445" s="292"/>
      <c r="I445" s="292"/>
    </row>
    <row r="446" spans="3:9">
      <c r="C446" s="292"/>
      <c r="D446" s="292"/>
      <c r="E446" s="292"/>
      <c r="F446" s="292"/>
      <c r="G446" s="292"/>
      <c r="H446" s="292"/>
      <c r="I446" s="292"/>
    </row>
    <row r="447" spans="3:9">
      <c r="C447" s="292"/>
      <c r="D447" s="292"/>
      <c r="E447" s="292"/>
      <c r="F447" s="292"/>
      <c r="G447" s="292"/>
      <c r="H447" s="292"/>
      <c r="I447" s="292"/>
    </row>
    <row r="448" spans="3:9">
      <c r="C448" s="292"/>
      <c r="D448" s="292"/>
      <c r="E448" s="292"/>
      <c r="F448" s="292"/>
      <c r="G448" s="292"/>
      <c r="H448" s="292"/>
      <c r="I448" s="292"/>
    </row>
    <row r="449" spans="3:9">
      <c r="C449" s="292"/>
      <c r="D449" s="292"/>
      <c r="E449" s="292"/>
      <c r="F449" s="292"/>
      <c r="G449" s="292"/>
      <c r="H449" s="292"/>
      <c r="I449" s="292"/>
    </row>
    <row r="450" spans="3:9">
      <c r="C450" s="292"/>
      <c r="D450" s="292"/>
      <c r="E450" s="292"/>
      <c r="F450" s="292"/>
      <c r="G450" s="292"/>
      <c r="H450" s="292"/>
      <c r="I450" s="292"/>
    </row>
    <row r="451" spans="3:9">
      <c r="C451" s="292"/>
      <c r="D451" s="292"/>
      <c r="E451" s="292"/>
      <c r="F451" s="292"/>
      <c r="G451" s="292"/>
      <c r="H451" s="292"/>
      <c r="I451" s="292"/>
    </row>
    <row r="452" spans="3:9">
      <c r="C452" s="292"/>
      <c r="D452" s="292"/>
      <c r="E452" s="292"/>
      <c r="F452" s="292"/>
      <c r="G452" s="292"/>
      <c r="H452" s="292"/>
      <c r="I452" s="292"/>
    </row>
    <row r="453" spans="3:9">
      <c r="C453" s="292"/>
      <c r="D453" s="292"/>
      <c r="E453" s="292"/>
      <c r="F453" s="292"/>
      <c r="G453" s="292"/>
      <c r="H453" s="292"/>
      <c r="I453" s="292"/>
    </row>
    <row r="454" spans="3:9">
      <c r="C454" s="292"/>
      <c r="D454" s="292"/>
      <c r="E454" s="292"/>
      <c r="F454" s="292"/>
      <c r="G454" s="292"/>
      <c r="H454" s="292"/>
      <c r="I454" s="292"/>
    </row>
    <row r="455" spans="3:9">
      <c r="C455" s="292"/>
      <c r="D455" s="292"/>
      <c r="E455" s="292"/>
      <c r="F455" s="292"/>
      <c r="G455" s="292"/>
      <c r="H455" s="292"/>
      <c r="I455" s="292"/>
    </row>
    <row r="456" spans="3:9">
      <c r="C456" s="292"/>
      <c r="D456" s="292"/>
      <c r="E456" s="292"/>
      <c r="F456" s="292"/>
      <c r="G456" s="292"/>
      <c r="H456" s="292"/>
      <c r="I456" s="292"/>
    </row>
    <row r="457" spans="3:9">
      <c r="C457" s="292"/>
      <c r="D457" s="292"/>
      <c r="E457" s="292"/>
      <c r="F457" s="292"/>
      <c r="G457" s="292"/>
      <c r="H457" s="292"/>
      <c r="I457" s="292"/>
    </row>
    <row r="458" spans="3:9">
      <c r="C458" s="292"/>
      <c r="D458" s="292"/>
      <c r="E458" s="292"/>
      <c r="F458" s="292"/>
      <c r="G458" s="292"/>
      <c r="H458" s="292"/>
      <c r="I458" s="292"/>
    </row>
    <row r="459" spans="3:9">
      <c r="C459" s="292"/>
      <c r="D459" s="292"/>
      <c r="E459" s="292"/>
      <c r="F459" s="292"/>
      <c r="G459" s="292"/>
      <c r="H459" s="292"/>
      <c r="I459" s="292"/>
    </row>
    <row r="460" spans="3:9">
      <c r="C460" s="292"/>
      <c r="D460" s="292"/>
      <c r="E460" s="292"/>
      <c r="F460" s="292"/>
      <c r="G460" s="292"/>
      <c r="H460" s="292"/>
      <c r="I460" s="292"/>
    </row>
    <row r="461" spans="3:9">
      <c r="C461" s="292"/>
      <c r="D461" s="292"/>
      <c r="E461" s="292"/>
      <c r="F461" s="292"/>
      <c r="G461" s="292"/>
      <c r="H461" s="292"/>
      <c r="I461" s="292"/>
    </row>
    <row r="462" spans="3:9">
      <c r="C462" s="292"/>
      <c r="D462" s="292"/>
      <c r="E462" s="292"/>
      <c r="F462" s="292"/>
      <c r="G462" s="292"/>
      <c r="H462" s="292"/>
      <c r="I462" s="292"/>
    </row>
    <row r="463" spans="3:9">
      <c r="C463" s="292"/>
      <c r="D463" s="292"/>
      <c r="E463" s="292"/>
      <c r="F463" s="292"/>
      <c r="G463" s="292"/>
      <c r="H463" s="292"/>
      <c r="I463" s="292"/>
    </row>
    <row r="464" spans="3:9">
      <c r="C464" s="292"/>
      <c r="D464" s="292"/>
      <c r="E464" s="292"/>
      <c r="F464" s="292"/>
      <c r="G464" s="292"/>
      <c r="H464" s="292"/>
      <c r="I464" s="292"/>
    </row>
    <row r="465" spans="3:9">
      <c r="C465" s="292"/>
      <c r="D465" s="292"/>
      <c r="E465" s="292"/>
      <c r="F465" s="292"/>
      <c r="G465" s="292"/>
      <c r="H465" s="292"/>
      <c r="I465" s="292"/>
    </row>
    <row r="466" spans="3:9">
      <c r="C466" s="292"/>
      <c r="D466" s="292"/>
      <c r="E466" s="292"/>
      <c r="F466" s="292"/>
      <c r="G466" s="292"/>
      <c r="H466" s="292"/>
      <c r="I466" s="292"/>
    </row>
    <row r="467" spans="3:9">
      <c r="C467" s="292"/>
      <c r="D467" s="292"/>
      <c r="E467" s="292"/>
      <c r="F467" s="292"/>
      <c r="G467" s="292"/>
      <c r="H467" s="292"/>
      <c r="I467" s="292"/>
    </row>
    <row r="468" spans="3:9">
      <c r="C468" s="292"/>
      <c r="D468" s="292"/>
      <c r="E468" s="292"/>
      <c r="F468" s="292"/>
      <c r="G468" s="292"/>
      <c r="H468" s="292"/>
      <c r="I468" s="292"/>
    </row>
    <row r="469" spans="3:9">
      <c r="C469" s="292"/>
      <c r="D469" s="292"/>
      <c r="E469" s="292"/>
      <c r="F469" s="292"/>
      <c r="G469" s="292"/>
      <c r="H469" s="292"/>
      <c r="I469" s="292"/>
    </row>
    <row r="470" spans="3:9">
      <c r="C470" s="292"/>
      <c r="D470" s="292"/>
      <c r="E470" s="292"/>
      <c r="F470" s="292"/>
      <c r="G470" s="292"/>
      <c r="H470" s="292"/>
      <c r="I470" s="292"/>
    </row>
    <row r="471" spans="3:9">
      <c r="C471" s="292"/>
      <c r="D471" s="292"/>
      <c r="E471" s="292"/>
      <c r="F471" s="292"/>
      <c r="G471" s="292"/>
      <c r="H471" s="292"/>
      <c r="I471" s="292"/>
    </row>
    <row r="472" spans="3:9">
      <c r="C472" s="292"/>
      <c r="D472" s="292"/>
      <c r="E472" s="292"/>
      <c r="F472" s="292"/>
      <c r="G472" s="292"/>
      <c r="H472" s="292"/>
      <c r="I472" s="292"/>
    </row>
    <row r="473" spans="3:9">
      <c r="C473" s="292"/>
      <c r="D473" s="292"/>
      <c r="E473" s="292"/>
      <c r="F473" s="292"/>
      <c r="G473" s="292"/>
      <c r="H473" s="292"/>
      <c r="I473" s="292"/>
    </row>
    <row r="474" spans="3:9">
      <c r="C474" s="292"/>
      <c r="D474" s="292"/>
      <c r="E474" s="292"/>
      <c r="F474" s="292"/>
      <c r="G474" s="292"/>
      <c r="H474" s="292"/>
      <c r="I474" s="292"/>
    </row>
    <row r="475" spans="3:9">
      <c r="C475" s="292"/>
      <c r="D475" s="292"/>
      <c r="E475" s="292"/>
      <c r="F475" s="292"/>
      <c r="G475" s="292"/>
      <c r="H475" s="292"/>
      <c r="I475" s="292"/>
    </row>
    <row r="476" spans="3:9">
      <c r="C476" s="292"/>
      <c r="D476" s="292"/>
      <c r="E476" s="292"/>
      <c r="F476" s="292"/>
      <c r="G476" s="292"/>
      <c r="H476" s="292"/>
      <c r="I476" s="292"/>
    </row>
    <row r="477" spans="3:9">
      <c r="C477" s="292"/>
      <c r="D477" s="292"/>
      <c r="E477" s="292"/>
      <c r="F477" s="292"/>
      <c r="G477" s="292"/>
      <c r="H477" s="292"/>
      <c r="I477" s="292"/>
    </row>
    <row r="478" spans="3:9">
      <c r="C478" s="292"/>
      <c r="D478" s="292"/>
      <c r="E478" s="292"/>
      <c r="F478" s="292"/>
      <c r="G478" s="292"/>
      <c r="H478" s="292"/>
      <c r="I478" s="292"/>
    </row>
    <row r="479" spans="3:9">
      <c r="C479" s="292"/>
      <c r="D479" s="292"/>
      <c r="E479" s="292"/>
      <c r="F479" s="292"/>
      <c r="G479" s="292"/>
      <c r="H479" s="292"/>
      <c r="I479" s="292"/>
    </row>
    <row r="480" spans="3:9">
      <c r="C480" s="292"/>
      <c r="D480" s="292"/>
      <c r="E480" s="292"/>
      <c r="F480" s="292"/>
      <c r="G480" s="292"/>
      <c r="H480" s="292"/>
      <c r="I480" s="292"/>
    </row>
    <row r="481" spans="3:9">
      <c r="C481" s="292"/>
      <c r="D481" s="292"/>
      <c r="E481" s="292"/>
      <c r="F481" s="292"/>
      <c r="G481" s="292"/>
      <c r="H481" s="292"/>
      <c r="I481" s="292"/>
    </row>
    <row r="482" spans="3:9">
      <c r="C482" s="292"/>
      <c r="D482" s="292"/>
      <c r="E482" s="292"/>
      <c r="F482" s="292"/>
      <c r="G482" s="292"/>
      <c r="H482" s="292"/>
      <c r="I482" s="292"/>
    </row>
    <row r="483" spans="3:9">
      <c r="C483" s="292"/>
      <c r="D483" s="292"/>
      <c r="E483" s="292"/>
      <c r="F483" s="292"/>
      <c r="G483" s="292"/>
      <c r="H483" s="292"/>
      <c r="I483" s="292"/>
    </row>
    <row r="484" spans="3:9">
      <c r="C484" s="292"/>
      <c r="D484" s="292"/>
      <c r="E484" s="292"/>
      <c r="F484" s="292"/>
      <c r="G484" s="292"/>
      <c r="H484" s="292"/>
      <c r="I484" s="292"/>
    </row>
    <row r="485" spans="3:9">
      <c r="C485" s="292"/>
      <c r="D485" s="292"/>
      <c r="E485" s="292"/>
      <c r="F485" s="292"/>
      <c r="G485" s="292"/>
      <c r="H485" s="292"/>
      <c r="I485" s="292"/>
    </row>
    <row r="486" spans="3:9">
      <c r="C486" s="292"/>
      <c r="D486" s="292"/>
      <c r="E486" s="292"/>
      <c r="F486" s="292"/>
      <c r="G486" s="292"/>
      <c r="H486" s="292"/>
      <c r="I486" s="292"/>
    </row>
    <row r="487" spans="3:9">
      <c r="C487" s="292"/>
      <c r="D487" s="292"/>
      <c r="E487" s="292"/>
      <c r="F487" s="292"/>
      <c r="G487" s="292"/>
      <c r="H487" s="292"/>
      <c r="I487" s="292"/>
    </row>
    <row r="488" spans="3:9">
      <c r="C488" s="292"/>
      <c r="D488" s="292"/>
      <c r="E488" s="292"/>
      <c r="F488" s="292"/>
      <c r="G488" s="292"/>
      <c r="H488" s="292"/>
      <c r="I488" s="292"/>
    </row>
    <row r="489" spans="3:9">
      <c r="C489" s="292"/>
      <c r="D489" s="292"/>
      <c r="E489" s="292"/>
      <c r="F489" s="292"/>
      <c r="G489" s="292"/>
      <c r="H489" s="292"/>
      <c r="I489" s="292"/>
    </row>
    <row r="490" spans="3:9">
      <c r="C490" s="292"/>
      <c r="D490" s="292"/>
      <c r="E490" s="292"/>
      <c r="F490" s="292"/>
      <c r="G490" s="292"/>
      <c r="H490" s="292"/>
      <c r="I490" s="292"/>
    </row>
    <row r="491" spans="3:9">
      <c r="C491" s="292"/>
      <c r="D491" s="292"/>
      <c r="E491" s="292"/>
      <c r="F491" s="292"/>
      <c r="G491" s="292"/>
      <c r="H491" s="292"/>
      <c r="I491" s="292"/>
    </row>
    <row r="492" spans="3:9">
      <c r="C492" s="292"/>
      <c r="D492" s="292"/>
      <c r="E492" s="292"/>
      <c r="F492" s="292"/>
      <c r="G492" s="292"/>
      <c r="H492" s="292"/>
      <c r="I492" s="292"/>
    </row>
    <row r="493" spans="3:9">
      <c r="C493" s="292"/>
      <c r="D493" s="292"/>
      <c r="E493" s="292"/>
      <c r="F493" s="292"/>
      <c r="G493" s="292"/>
      <c r="H493" s="292"/>
      <c r="I493" s="292"/>
    </row>
    <row r="494" spans="3:9">
      <c r="C494" s="292"/>
      <c r="D494" s="292"/>
      <c r="E494" s="292"/>
      <c r="F494" s="292"/>
      <c r="G494" s="292"/>
      <c r="H494" s="292"/>
      <c r="I494" s="292"/>
    </row>
    <row r="495" spans="3:9">
      <c r="C495" s="292"/>
      <c r="D495" s="292"/>
      <c r="E495" s="292"/>
      <c r="F495" s="292"/>
      <c r="G495" s="292"/>
      <c r="H495" s="292"/>
      <c r="I495" s="292"/>
    </row>
    <row r="496" spans="3:9">
      <c r="C496" s="292"/>
      <c r="D496" s="292"/>
      <c r="E496" s="292"/>
      <c r="F496" s="292"/>
      <c r="G496" s="292"/>
      <c r="H496" s="292"/>
      <c r="I496" s="292"/>
    </row>
    <row r="497" spans="3:9">
      <c r="C497" s="292"/>
      <c r="D497" s="292"/>
      <c r="E497" s="292"/>
      <c r="F497" s="292"/>
      <c r="G497" s="292"/>
      <c r="H497" s="292"/>
      <c r="I497" s="292"/>
    </row>
    <row r="498" spans="3:9">
      <c r="C498" s="292"/>
      <c r="D498" s="292"/>
      <c r="E498" s="292"/>
      <c r="F498" s="292"/>
      <c r="G498" s="292"/>
      <c r="H498" s="292"/>
      <c r="I498" s="292"/>
    </row>
    <row r="499" spans="3:9">
      <c r="C499" s="292"/>
      <c r="D499" s="292"/>
      <c r="E499" s="292"/>
      <c r="F499" s="292"/>
      <c r="G499" s="292"/>
      <c r="H499" s="292"/>
      <c r="I499" s="292"/>
    </row>
    <row r="500" spans="3:9">
      <c r="C500" s="292"/>
      <c r="D500" s="292"/>
      <c r="E500" s="292"/>
      <c r="F500" s="292"/>
      <c r="G500" s="292"/>
      <c r="H500" s="292"/>
      <c r="I500" s="292"/>
    </row>
    <row r="501" spans="3:9">
      <c r="C501" s="292"/>
      <c r="D501" s="292"/>
      <c r="E501" s="292"/>
      <c r="F501" s="292"/>
      <c r="G501" s="292"/>
      <c r="H501" s="292"/>
      <c r="I501" s="292"/>
    </row>
    <row r="502" spans="3:9">
      <c r="C502" s="292"/>
      <c r="D502" s="292"/>
      <c r="E502" s="292"/>
      <c r="F502" s="292"/>
      <c r="G502" s="292"/>
      <c r="H502" s="292"/>
      <c r="I502" s="292"/>
    </row>
    <row r="503" spans="3:9">
      <c r="C503" s="292"/>
      <c r="D503" s="292"/>
      <c r="E503" s="292"/>
      <c r="F503" s="292"/>
      <c r="G503" s="292"/>
      <c r="H503" s="292"/>
      <c r="I503" s="292"/>
    </row>
    <row r="504" spans="3:9">
      <c r="C504" s="292"/>
      <c r="D504" s="292"/>
      <c r="E504" s="292"/>
      <c r="F504" s="292"/>
      <c r="G504" s="292"/>
      <c r="H504" s="292"/>
      <c r="I504" s="292"/>
    </row>
    <row r="505" spans="3:9">
      <c r="C505" s="292"/>
      <c r="D505" s="292"/>
      <c r="E505" s="292"/>
      <c r="F505" s="292"/>
      <c r="G505" s="292"/>
      <c r="H505" s="292"/>
      <c r="I505" s="292"/>
    </row>
    <row r="506" spans="3:9">
      <c r="C506" s="292"/>
      <c r="D506" s="292"/>
      <c r="E506" s="292"/>
      <c r="F506" s="292"/>
      <c r="G506" s="292"/>
      <c r="H506" s="292"/>
      <c r="I506" s="292"/>
    </row>
    <row r="507" spans="3:9">
      <c r="C507" s="292"/>
      <c r="D507" s="292"/>
      <c r="E507" s="292"/>
      <c r="F507" s="292"/>
      <c r="G507" s="292"/>
      <c r="H507" s="292"/>
      <c r="I507" s="292"/>
    </row>
    <row r="508" spans="3:9">
      <c r="C508" s="292"/>
      <c r="D508" s="292"/>
      <c r="E508" s="292"/>
      <c r="F508" s="292"/>
      <c r="G508" s="292"/>
      <c r="H508" s="292"/>
      <c r="I508" s="292"/>
    </row>
    <row r="509" spans="3:9">
      <c r="C509" s="292"/>
      <c r="D509" s="292"/>
      <c r="E509" s="292"/>
      <c r="F509" s="292"/>
      <c r="G509" s="292"/>
      <c r="H509" s="292"/>
      <c r="I509" s="292"/>
    </row>
    <row r="510" spans="3:9">
      <c r="C510" s="292"/>
      <c r="D510" s="292"/>
      <c r="E510" s="292"/>
      <c r="F510" s="292"/>
      <c r="G510" s="292"/>
      <c r="H510" s="292"/>
      <c r="I510" s="292"/>
    </row>
    <row r="511" spans="3:9">
      <c r="C511" s="292"/>
      <c r="D511" s="292"/>
      <c r="E511" s="292"/>
      <c r="F511" s="292"/>
      <c r="G511" s="292"/>
      <c r="H511" s="292"/>
      <c r="I511" s="292"/>
    </row>
    <row r="512" spans="3:9">
      <c r="C512" s="292"/>
      <c r="D512" s="292"/>
      <c r="E512" s="292"/>
      <c r="F512" s="292"/>
      <c r="G512" s="292"/>
      <c r="H512" s="292"/>
      <c r="I512" s="292"/>
    </row>
    <row r="513" spans="3:9">
      <c r="C513" s="292"/>
      <c r="D513" s="292"/>
      <c r="E513" s="292"/>
      <c r="F513" s="292"/>
      <c r="G513" s="292"/>
      <c r="H513" s="292"/>
      <c r="I513" s="292"/>
    </row>
    <row r="514" spans="3:9">
      <c r="C514" s="292"/>
      <c r="D514" s="292"/>
      <c r="E514" s="292"/>
      <c r="F514" s="292"/>
      <c r="G514" s="292"/>
      <c r="H514" s="292"/>
      <c r="I514" s="292"/>
    </row>
    <row r="515" spans="3:9">
      <c r="C515" s="292"/>
      <c r="D515" s="292"/>
      <c r="E515" s="292"/>
      <c r="F515" s="292"/>
      <c r="G515" s="292"/>
      <c r="H515" s="292"/>
      <c r="I515" s="292"/>
    </row>
    <row r="516" spans="3:9">
      <c r="C516" s="292"/>
      <c r="D516" s="292"/>
      <c r="E516" s="292"/>
      <c r="F516" s="292"/>
      <c r="G516" s="292"/>
      <c r="H516" s="292"/>
      <c r="I516" s="292"/>
    </row>
    <row r="517" spans="3:9">
      <c r="C517" s="292"/>
      <c r="D517" s="292"/>
      <c r="E517" s="292"/>
      <c r="F517" s="292"/>
      <c r="G517" s="292"/>
      <c r="H517" s="292"/>
      <c r="I517" s="292"/>
    </row>
    <row r="518" spans="3:9">
      <c r="C518" s="292"/>
      <c r="D518" s="292"/>
      <c r="E518" s="292"/>
      <c r="F518" s="292"/>
      <c r="G518" s="292"/>
      <c r="H518" s="292"/>
      <c r="I518" s="292"/>
    </row>
    <row r="519" spans="3:9">
      <c r="C519" s="292"/>
      <c r="D519" s="292"/>
      <c r="E519" s="292"/>
      <c r="F519" s="292"/>
      <c r="G519" s="292"/>
      <c r="H519" s="292"/>
      <c r="I519" s="292"/>
    </row>
    <row r="520" spans="3:9">
      <c r="C520" s="292"/>
      <c r="D520" s="292"/>
      <c r="E520" s="292"/>
      <c r="F520" s="292"/>
      <c r="G520" s="292"/>
      <c r="H520" s="292"/>
      <c r="I520" s="292"/>
    </row>
    <row r="521" spans="3:9">
      <c r="C521" s="292"/>
      <c r="D521" s="292"/>
      <c r="E521" s="292"/>
      <c r="F521" s="292"/>
      <c r="G521" s="292"/>
      <c r="H521" s="292"/>
      <c r="I521" s="292"/>
    </row>
    <row r="522" spans="3:9">
      <c r="C522" s="292"/>
      <c r="D522" s="292"/>
      <c r="E522" s="292"/>
      <c r="F522" s="292"/>
      <c r="G522" s="292"/>
      <c r="H522" s="292"/>
      <c r="I522" s="292"/>
    </row>
    <row r="523" spans="3:9">
      <c r="C523" s="292"/>
      <c r="D523" s="292"/>
      <c r="E523" s="292"/>
      <c r="F523" s="292"/>
      <c r="G523" s="292"/>
      <c r="H523" s="292"/>
      <c r="I523" s="292"/>
    </row>
    <row r="524" spans="3:9">
      <c r="C524" s="292"/>
      <c r="D524" s="292"/>
      <c r="E524" s="292"/>
      <c r="F524" s="292"/>
      <c r="G524" s="292"/>
      <c r="H524" s="292"/>
      <c r="I524" s="292"/>
    </row>
    <row r="525" spans="3:9">
      <c r="C525" s="292"/>
      <c r="D525" s="292"/>
      <c r="E525" s="292"/>
      <c r="F525" s="292"/>
      <c r="G525" s="292"/>
      <c r="H525" s="292"/>
      <c r="I525" s="292"/>
    </row>
    <row r="526" spans="3:9">
      <c r="C526" s="292"/>
      <c r="D526" s="292"/>
      <c r="E526" s="292"/>
      <c r="F526" s="292"/>
      <c r="G526" s="292"/>
      <c r="H526" s="292"/>
      <c r="I526" s="292"/>
    </row>
    <row r="527" spans="3:9">
      <c r="C527" s="292"/>
      <c r="D527" s="292"/>
      <c r="E527" s="292"/>
      <c r="F527" s="292"/>
      <c r="G527" s="292"/>
      <c r="H527" s="292"/>
      <c r="I527" s="292"/>
    </row>
    <row r="528" spans="3:9">
      <c r="C528" s="292"/>
      <c r="D528" s="292"/>
      <c r="E528" s="292"/>
      <c r="F528" s="292"/>
      <c r="G528" s="292"/>
      <c r="H528" s="292"/>
      <c r="I528" s="292"/>
    </row>
    <row r="529" spans="3:9">
      <c r="C529" s="292"/>
      <c r="D529" s="292"/>
      <c r="E529" s="292"/>
      <c r="F529" s="292"/>
      <c r="G529" s="292"/>
      <c r="H529" s="292"/>
      <c r="I529" s="292"/>
    </row>
    <row r="530" spans="3:9">
      <c r="C530" s="292"/>
      <c r="D530" s="292"/>
      <c r="E530" s="292"/>
      <c r="F530" s="292"/>
      <c r="G530" s="292"/>
      <c r="H530" s="292"/>
      <c r="I530" s="292"/>
    </row>
    <row r="531" spans="3:9">
      <c r="C531" s="292"/>
      <c r="D531" s="292"/>
      <c r="E531" s="292"/>
      <c r="F531" s="292"/>
      <c r="G531" s="292"/>
      <c r="H531" s="292"/>
      <c r="I531" s="292"/>
    </row>
    <row r="532" spans="3:9">
      <c r="C532" s="292"/>
      <c r="D532" s="292"/>
      <c r="E532" s="292"/>
      <c r="F532" s="292"/>
      <c r="G532" s="292"/>
      <c r="H532" s="292"/>
      <c r="I532" s="292"/>
    </row>
    <row r="533" spans="3:9">
      <c r="C533" s="292"/>
      <c r="D533" s="292"/>
      <c r="E533" s="292"/>
      <c r="F533" s="292"/>
      <c r="G533" s="292"/>
      <c r="H533" s="292"/>
      <c r="I533" s="292"/>
    </row>
    <row r="534" spans="3:9">
      <c r="C534" s="292"/>
      <c r="D534" s="292"/>
      <c r="E534" s="292"/>
      <c r="F534" s="292"/>
      <c r="G534" s="292"/>
      <c r="H534" s="292"/>
      <c r="I534" s="292"/>
    </row>
    <row r="535" spans="3:9">
      <c r="C535" s="292"/>
      <c r="D535" s="292"/>
      <c r="E535" s="292"/>
      <c r="F535" s="292"/>
      <c r="G535" s="292"/>
      <c r="H535" s="292"/>
      <c r="I535" s="292"/>
    </row>
    <row r="536" spans="3:9">
      <c r="C536" s="292"/>
      <c r="D536" s="292"/>
      <c r="E536" s="292"/>
      <c r="F536" s="292"/>
      <c r="G536" s="292"/>
      <c r="H536" s="292"/>
      <c r="I536" s="292"/>
    </row>
    <row r="537" spans="3:9">
      <c r="C537" s="292"/>
      <c r="D537" s="292"/>
      <c r="E537" s="292"/>
      <c r="F537" s="292"/>
      <c r="G537" s="292"/>
      <c r="H537" s="292"/>
      <c r="I537" s="292"/>
    </row>
    <row r="538" spans="3:9">
      <c r="C538" s="292"/>
      <c r="D538" s="292"/>
      <c r="E538" s="292"/>
      <c r="F538" s="292"/>
      <c r="G538" s="292"/>
      <c r="H538" s="292"/>
      <c r="I538" s="292"/>
    </row>
    <row r="539" spans="3:9">
      <c r="C539" s="292"/>
      <c r="D539" s="292"/>
      <c r="E539" s="292"/>
      <c r="F539" s="292"/>
      <c r="G539" s="292"/>
      <c r="H539" s="292"/>
      <c r="I539" s="292"/>
    </row>
    <row r="540" spans="3:9">
      <c r="C540" s="292"/>
      <c r="D540" s="292"/>
      <c r="E540" s="292"/>
      <c r="F540" s="292"/>
      <c r="G540" s="292"/>
      <c r="H540" s="292"/>
      <c r="I540" s="292"/>
    </row>
    <row r="541" spans="3:9">
      <c r="C541" s="292"/>
      <c r="D541" s="292"/>
      <c r="E541" s="292"/>
      <c r="F541" s="292"/>
      <c r="G541" s="292"/>
      <c r="H541" s="292"/>
      <c r="I541" s="292"/>
    </row>
    <row r="542" spans="3:9">
      <c r="C542" s="292"/>
      <c r="D542" s="292"/>
      <c r="E542" s="292"/>
      <c r="F542" s="292"/>
      <c r="G542" s="292"/>
      <c r="H542" s="292"/>
      <c r="I542" s="292"/>
    </row>
    <row r="543" spans="3:9">
      <c r="C543" s="292"/>
      <c r="D543" s="292"/>
      <c r="E543" s="292"/>
      <c r="F543" s="292"/>
      <c r="G543" s="292"/>
      <c r="H543" s="292"/>
      <c r="I543" s="292"/>
    </row>
    <row r="544" spans="3:9">
      <c r="C544" s="292"/>
      <c r="D544" s="292"/>
      <c r="E544" s="292"/>
      <c r="F544" s="292"/>
      <c r="G544" s="292"/>
      <c r="H544" s="292"/>
      <c r="I544" s="292"/>
    </row>
    <row r="545" spans="3:9">
      <c r="C545" s="292"/>
      <c r="D545" s="292"/>
      <c r="E545" s="292"/>
      <c r="F545" s="292"/>
      <c r="G545" s="292"/>
      <c r="H545" s="292"/>
      <c r="I545" s="292"/>
    </row>
    <row r="546" spans="3:9">
      <c r="C546" s="292"/>
      <c r="D546" s="292"/>
      <c r="E546" s="292"/>
      <c r="F546" s="292"/>
      <c r="G546" s="292"/>
      <c r="H546" s="292"/>
      <c r="I546" s="292"/>
    </row>
    <row r="547" spans="3:9">
      <c r="C547" s="292"/>
      <c r="D547" s="292"/>
      <c r="E547" s="292"/>
      <c r="F547" s="292"/>
      <c r="G547" s="292"/>
      <c r="H547" s="292"/>
      <c r="I547" s="292"/>
    </row>
    <row r="548" spans="3:9">
      <c r="C548" s="292"/>
      <c r="D548" s="292"/>
      <c r="E548" s="292"/>
      <c r="F548" s="292"/>
      <c r="G548" s="292"/>
      <c r="H548" s="292"/>
      <c r="I548" s="292"/>
    </row>
    <row r="549" spans="3:9">
      <c r="C549" s="292"/>
      <c r="D549" s="292"/>
      <c r="E549" s="292"/>
      <c r="F549" s="292"/>
      <c r="G549" s="292"/>
      <c r="H549" s="292"/>
      <c r="I549" s="292"/>
    </row>
    <row r="550" spans="3:9">
      <c r="C550" s="292"/>
      <c r="D550" s="292"/>
      <c r="E550" s="292"/>
      <c r="F550" s="292"/>
      <c r="G550" s="292"/>
      <c r="H550" s="292"/>
      <c r="I550" s="292"/>
    </row>
    <row r="551" spans="3:9">
      <c r="C551" s="292"/>
      <c r="D551" s="292"/>
      <c r="E551" s="292"/>
      <c r="F551" s="292"/>
      <c r="G551" s="292"/>
      <c r="H551" s="292"/>
      <c r="I551" s="292"/>
    </row>
    <row r="552" spans="3:9">
      <c r="C552" s="292"/>
      <c r="D552" s="292"/>
      <c r="E552" s="292"/>
      <c r="F552" s="292"/>
      <c r="G552" s="292"/>
      <c r="H552" s="292"/>
      <c r="I552" s="292"/>
    </row>
    <row r="553" spans="3:9">
      <c r="C553" s="292"/>
      <c r="D553" s="292"/>
      <c r="E553" s="292"/>
      <c r="F553" s="292"/>
      <c r="G553" s="292"/>
      <c r="H553" s="292"/>
      <c r="I553" s="292"/>
    </row>
    <row r="554" spans="3:9">
      <c r="C554" s="292"/>
      <c r="D554" s="292"/>
      <c r="E554" s="292"/>
      <c r="F554" s="292"/>
      <c r="G554" s="292"/>
      <c r="H554" s="292"/>
      <c r="I554" s="292"/>
    </row>
    <row r="555" spans="3:9">
      <c r="C555" s="292"/>
      <c r="D555" s="292"/>
      <c r="E555" s="292"/>
      <c r="F555" s="292"/>
      <c r="G555" s="292"/>
      <c r="H555" s="292"/>
      <c r="I555" s="292"/>
    </row>
    <row r="556" spans="3:9">
      <c r="C556" s="292"/>
      <c r="D556" s="292"/>
      <c r="E556" s="292"/>
      <c r="F556" s="292"/>
      <c r="G556" s="292"/>
      <c r="H556" s="292"/>
      <c r="I556" s="292"/>
    </row>
    <row r="557" spans="3:9">
      <c r="C557" s="292"/>
      <c r="D557" s="292"/>
      <c r="E557" s="292"/>
      <c r="F557" s="292"/>
      <c r="G557" s="292"/>
      <c r="H557" s="292"/>
      <c r="I557" s="292"/>
    </row>
    <row r="558" spans="3:9">
      <c r="C558" s="292"/>
      <c r="D558" s="292"/>
      <c r="E558" s="292"/>
      <c r="F558" s="292"/>
      <c r="G558" s="292"/>
      <c r="H558" s="292"/>
      <c r="I558" s="292"/>
    </row>
    <row r="559" spans="3:9">
      <c r="C559" s="292"/>
      <c r="D559" s="292"/>
      <c r="E559" s="292"/>
      <c r="F559" s="292"/>
      <c r="G559" s="292"/>
      <c r="H559" s="292"/>
      <c r="I559" s="292"/>
    </row>
    <row r="560" spans="3:9">
      <c r="C560" s="292"/>
      <c r="D560" s="292"/>
      <c r="E560" s="292"/>
      <c r="F560" s="292"/>
      <c r="G560" s="292"/>
      <c r="H560" s="292"/>
      <c r="I560" s="292"/>
    </row>
    <row r="561" spans="3:9">
      <c r="C561" s="292"/>
      <c r="D561" s="292"/>
      <c r="E561" s="292"/>
      <c r="F561" s="292"/>
      <c r="G561" s="292"/>
      <c r="H561" s="292"/>
      <c r="I561" s="292"/>
    </row>
    <row r="562" spans="3:9">
      <c r="C562" s="292"/>
      <c r="D562" s="292"/>
      <c r="E562" s="292"/>
      <c r="F562" s="292"/>
      <c r="G562" s="292"/>
      <c r="H562" s="292"/>
      <c r="I562" s="292"/>
    </row>
    <row r="563" spans="3:9">
      <c r="C563" s="292"/>
      <c r="D563" s="292"/>
      <c r="E563" s="292"/>
      <c r="F563" s="292"/>
      <c r="G563" s="292"/>
      <c r="H563" s="292"/>
      <c r="I563" s="292"/>
    </row>
    <row r="564" spans="3:9">
      <c r="C564" s="292"/>
      <c r="D564" s="292"/>
      <c r="E564" s="292"/>
      <c r="F564" s="292"/>
      <c r="G564" s="292"/>
      <c r="H564" s="292"/>
      <c r="I564" s="292"/>
    </row>
    <row r="565" spans="3:9">
      <c r="C565" s="292"/>
      <c r="D565" s="292"/>
      <c r="E565" s="292"/>
      <c r="F565" s="292"/>
      <c r="G565" s="292"/>
      <c r="H565" s="292"/>
      <c r="I565" s="292"/>
    </row>
    <row r="566" spans="3:9">
      <c r="C566" s="292"/>
      <c r="D566" s="292"/>
      <c r="E566" s="292"/>
      <c r="F566" s="292"/>
      <c r="G566" s="292"/>
      <c r="H566" s="292"/>
      <c r="I566" s="292"/>
    </row>
    <row r="567" spans="3:9">
      <c r="C567" s="292"/>
      <c r="D567" s="292"/>
      <c r="E567" s="292"/>
      <c r="F567" s="292"/>
      <c r="G567" s="292"/>
      <c r="H567" s="292"/>
      <c r="I567" s="292"/>
    </row>
    <row r="568" spans="3:9">
      <c r="C568" s="292"/>
      <c r="D568" s="292"/>
      <c r="E568" s="292"/>
      <c r="F568" s="292"/>
      <c r="G568" s="292"/>
      <c r="H568" s="292"/>
      <c r="I568" s="292"/>
    </row>
    <row r="569" spans="3:9">
      <c r="C569" s="292"/>
      <c r="D569" s="292"/>
      <c r="E569" s="292"/>
      <c r="F569" s="292"/>
      <c r="G569" s="292"/>
      <c r="H569" s="292"/>
      <c r="I569" s="292"/>
    </row>
    <row r="570" spans="3:9">
      <c r="C570" s="292"/>
      <c r="D570" s="292"/>
      <c r="E570" s="292"/>
      <c r="F570" s="292"/>
      <c r="G570" s="292"/>
      <c r="H570" s="292"/>
      <c r="I570" s="292"/>
    </row>
    <row r="571" spans="3:9">
      <c r="C571" s="292"/>
      <c r="D571" s="292"/>
      <c r="E571" s="292"/>
      <c r="F571" s="292"/>
      <c r="G571" s="292"/>
      <c r="H571" s="292"/>
      <c r="I571" s="292"/>
    </row>
    <row r="572" spans="3:9">
      <c r="C572" s="292"/>
      <c r="D572" s="292"/>
      <c r="E572" s="292"/>
      <c r="F572" s="292"/>
      <c r="G572" s="292"/>
      <c r="H572" s="292"/>
      <c r="I572" s="292"/>
    </row>
    <row r="573" spans="3:9">
      <c r="C573" s="292"/>
      <c r="D573" s="292"/>
      <c r="E573" s="292"/>
      <c r="F573" s="292"/>
      <c r="G573" s="292"/>
      <c r="H573" s="292"/>
      <c r="I573" s="292"/>
    </row>
    <row r="574" spans="3:9">
      <c r="C574" s="292"/>
      <c r="D574" s="292"/>
      <c r="E574" s="292"/>
      <c r="F574" s="292"/>
      <c r="G574" s="292"/>
      <c r="H574" s="292"/>
      <c r="I574" s="292"/>
    </row>
    <row r="575" spans="3:9">
      <c r="C575" s="292"/>
      <c r="D575" s="292"/>
      <c r="E575" s="292"/>
      <c r="F575" s="292"/>
      <c r="G575" s="292"/>
      <c r="H575" s="292"/>
      <c r="I575" s="292"/>
    </row>
    <row r="576" spans="3:9">
      <c r="C576" s="292"/>
      <c r="D576" s="292"/>
      <c r="E576" s="292"/>
      <c r="F576" s="292"/>
      <c r="G576" s="292"/>
      <c r="H576" s="292"/>
      <c r="I576" s="292"/>
    </row>
    <row r="577" spans="3:9">
      <c r="C577" s="292"/>
      <c r="D577" s="292"/>
      <c r="E577" s="292"/>
      <c r="F577" s="292"/>
      <c r="G577" s="292"/>
      <c r="H577" s="292"/>
      <c r="I577" s="292"/>
    </row>
    <row r="578" spans="3:9">
      <c r="C578" s="292"/>
      <c r="D578" s="292"/>
      <c r="E578" s="292"/>
      <c r="F578" s="292"/>
      <c r="G578" s="292"/>
      <c r="H578" s="292"/>
      <c r="I578" s="292"/>
    </row>
    <row r="579" spans="3:9">
      <c r="C579" s="292"/>
      <c r="D579" s="292"/>
      <c r="E579" s="292"/>
      <c r="F579" s="292"/>
      <c r="G579" s="292"/>
      <c r="H579" s="292"/>
      <c r="I579" s="292"/>
    </row>
    <row r="580" spans="3:9">
      <c r="C580" s="292"/>
      <c r="D580" s="292"/>
      <c r="E580" s="292"/>
      <c r="F580" s="292"/>
      <c r="G580" s="292"/>
      <c r="H580" s="292"/>
      <c r="I580" s="292"/>
    </row>
    <row r="581" spans="3:9">
      <c r="C581" s="292"/>
      <c r="D581" s="292"/>
      <c r="E581" s="292"/>
      <c r="F581" s="292"/>
      <c r="G581" s="292"/>
      <c r="H581" s="292"/>
      <c r="I581" s="292"/>
    </row>
    <row r="582" spans="3:9">
      <c r="C582" s="292"/>
      <c r="D582" s="292"/>
      <c r="E582" s="292"/>
      <c r="F582" s="292"/>
      <c r="G582" s="292"/>
      <c r="H582" s="292"/>
      <c r="I582" s="292"/>
    </row>
    <row r="583" spans="3:9">
      <c r="C583" s="292"/>
      <c r="D583" s="292"/>
      <c r="E583" s="292"/>
      <c r="F583" s="292"/>
      <c r="G583" s="292"/>
      <c r="H583" s="292"/>
      <c r="I583" s="292"/>
    </row>
    <row r="584" spans="3:9">
      <c r="C584" s="292"/>
      <c r="D584" s="292"/>
      <c r="E584" s="292"/>
      <c r="F584" s="292"/>
      <c r="G584" s="292"/>
      <c r="H584" s="292"/>
      <c r="I584" s="292"/>
    </row>
    <row r="585" spans="3:9">
      <c r="C585" s="292"/>
      <c r="D585" s="292"/>
      <c r="E585" s="292"/>
      <c r="F585" s="292"/>
      <c r="G585" s="292"/>
      <c r="H585" s="292"/>
      <c r="I585" s="292"/>
    </row>
    <row r="586" spans="3:9">
      <c r="C586" s="292"/>
      <c r="D586" s="292"/>
      <c r="E586" s="292"/>
      <c r="F586" s="292"/>
      <c r="G586" s="292"/>
      <c r="H586" s="292"/>
      <c r="I586" s="292"/>
    </row>
    <row r="587" spans="3:9">
      <c r="C587" s="292"/>
      <c r="D587" s="292"/>
      <c r="E587" s="292"/>
      <c r="F587" s="292"/>
      <c r="G587" s="292"/>
      <c r="H587" s="292"/>
      <c r="I587" s="292"/>
    </row>
    <row r="588" spans="3:9">
      <c r="C588" s="292"/>
      <c r="D588" s="292"/>
      <c r="E588" s="292"/>
      <c r="F588" s="292"/>
      <c r="G588" s="292"/>
      <c r="H588" s="292"/>
      <c r="I588" s="292"/>
    </row>
    <row r="589" spans="3:9">
      <c r="C589" s="292"/>
      <c r="D589" s="292"/>
      <c r="E589" s="292"/>
      <c r="F589" s="292"/>
      <c r="G589" s="292"/>
      <c r="H589" s="292"/>
      <c r="I589" s="292"/>
    </row>
    <row r="590" spans="3:9">
      <c r="C590" s="292"/>
      <c r="D590" s="292"/>
      <c r="E590" s="292"/>
      <c r="F590" s="292"/>
      <c r="G590" s="292"/>
      <c r="H590" s="292"/>
      <c r="I590" s="292"/>
    </row>
    <row r="591" spans="3:9">
      <c r="C591" s="292"/>
      <c r="D591" s="292"/>
      <c r="E591" s="292"/>
      <c r="F591" s="292"/>
      <c r="G591" s="292"/>
      <c r="H591" s="292"/>
      <c r="I591" s="292"/>
    </row>
    <row r="592" spans="3:9">
      <c r="C592" s="292"/>
      <c r="D592" s="292"/>
      <c r="E592" s="292"/>
      <c r="F592" s="292"/>
      <c r="G592" s="292"/>
      <c r="H592" s="292"/>
      <c r="I592" s="292"/>
    </row>
    <row r="593" spans="3:9">
      <c r="C593" s="292"/>
      <c r="D593" s="292"/>
      <c r="E593" s="292"/>
      <c r="F593" s="292"/>
      <c r="G593" s="292"/>
      <c r="H593" s="292"/>
      <c r="I593" s="292"/>
    </row>
    <row r="594" spans="3:9">
      <c r="C594" s="292"/>
      <c r="D594" s="292"/>
      <c r="E594" s="292"/>
      <c r="F594" s="292"/>
      <c r="G594" s="292"/>
      <c r="H594" s="292"/>
      <c r="I594" s="292"/>
    </row>
    <row r="595" spans="3:9">
      <c r="C595" s="292"/>
      <c r="D595" s="292"/>
      <c r="E595" s="292"/>
      <c r="F595" s="292"/>
      <c r="G595" s="292"/>
      <c r="H595" s="292"/>
      <c r="I595" s="292"/>
    </row>
    <row r="596" spans="3:9">
      <c r="C596" s="292"/>
      <c r="D596" s="292"/>
      <c r="E596" s="292"/>
      <c r="F596" s="292"/>
      <c r="G596" s="292"/>
      <c r="H596" s="292"/>
      <c r="I596" s="292"/>
    </row>
    <row r="597" spans="3:9">
      <c r="C597" s="292"/>
      <c r="D597" s="292"/>
      <c r="E597" s="292"/>
      <c r="F597" s="292"/>
      <c r="G597" s="292"/>
      <c r="H597" s="292"/>
      <c r="I597" s="292"/>
    </row>
    <row r="598" spans="3:9">
      <c r="C598" s="292"/>
      <c r="D598" s="292"/>
      <c r="E598" s="292"/>
      <c r="F598" s="292"/>
      <c r="G598" s="292"/>
      <c r="H598" s="292"/>
      <c r="I598" s="292"/>
    </row>
    <row r="599" spans="3:9">
      <c r="C599" s="292"/>
      <c r="D599" s="292"/>
      <c r="E599" s="292"/>
      <c r="F599" s="292"/>
      <c r="G599" s="292"/>
      <c r="H599" s="292"/>
      <c r="I599" s="292"/>
    </row>
    <row r="600" spans="3:9">
      <c r="C600" s="292"/>
      <c r="D600" s="292"/>
      <c r="E600" s="292"/>
      <c r="F600" s="292"/>
      <c r="G600" s="292"/>
      <c r="H600" s="292"/>
      <c r="I600" s="292"/>
    </row>
    <row r="601" spans="3:9">
      <c r="C601" s="292"/>
      <c r="D601" s="292"/>
      <c r="E601" s="292"/>
      <c r="F601" s="292"/>
      <c r="G601" s="292"/>
      <c r="H601" s="292"/>
      <c r="I601" s="292"/>
    </row>
    <row r="602" spans="3:9">
      <c r="C602" s="292"/>
      <c r="D602" s="292"/>
      <c r="E602" s="292"/>
      <c r="F602" s="292"/>
      <c r="G602" s="292"/>
      <c r="H602" s="292"/>
      <c r="I602" s="292"/>
    </row>
    <row r="603" spans="3:9">
      <c r="C603" s="292"/>
      <c r="D603" s="292"/>
      <c r="E603" s="292"/>
      <c r="F603" s="292"/>
      <c r="G603" s="292"/>
      <c r="H603" s="292"/>
      <c r="I603" s="292"/>
    </row>
    <row r="604" spans="3:9">
      <c r="C604" s="292"/>
      <c r="D604" s="292"/>
      <c r="E604" s="292"/>
      <c r="F604" s="292"/>
      <c r="G604" s="292"/>
      <c r="H604" s="292"/>
      <c r="I604" s="292"/>
    </row>
    <row r="605" spans="3:9">
      <c r="C605" s="292"/>
      <c r="D605" s="292"/>
      <c r="E605" s="292"/>
      <c r="F605" s="292"/>
      <c r="G605" s="292"/>
      <c r="H605" s="292"/>
      <c r="I605" s="292"/>
    </row>
    <row r="606" spans="3:9">
      <c r="C606" s="292"/>
      <c r="D606" s="292"/>
      <c r="E606" s="292"/>
      <c r="F606" s="292"/>
      <c r="G606" s="292"/>
      <c r="H606" s="292"/>
      <c r="I606" s="292"/>
    </row>
    <row r="607" spans="3:9">
      <c r="C607" s="292"/>
      <c r="D607" s="292"/>
      <c r="E607" s="292"/>
      <c r="F607" s="292"/>
      <c r="G607" s="292"/>
      <c r="H607" s="292"/>
      <c r="I607" s="292"/>
    </row>
    <row r="608" spans="3:9">
      <c r="C608" s="292"/>
      <c r="D608" s="292"/>
      <c r="E608" s="292"/>
      <c r="F608" s="292"/>
      <c r="G608" s="292"/>
      <c r="H608" s="292"/>
      <c r="I608" s="292"/>
    </row>
    <row r="609" spans="3:9">
      <c r="C609" s="292"/>
      <c r="D609" s="292"/>
      <c r="E609" s="292"/>
      <c r="F609" s="292"/>
      <c r="G609" s="292"/>
      <c r="H609" s="292"/>
      <c r="I609" s="292"/>
    </row>
    <row r="610" spans="3:9">
      <c r="C610" s="292"/>
      <c r="D610" s="292"/>
      <c r="E610" s="292"/>
      <c r="F610" s="292"/>
      <c r="G610" s="292"/>
      <c r="H610" s="292"/>
      <c r="I610" s="292"/>
    </row>
    <row r="611" spans="3:9">
      <c r="C611" s="292"/>
      <c r="D611" s="292"/>
      <c r="E611" s="292"/>
      <c r="F611" s="292"/>
      <c r="G611" s="292"/>
      <c r="H611" s="292"/>
      <c r="I611" s="292"/>
    </row>
    <row r="612" spans="3:9">
      <c r="C612" s="292"/>
      <c r="D612" s="292"/>
      <c r="E612" s="292"/>
      <c r="F612" s="292"/>
      <c r="G612" s="292"/>
      <c r="H612" s="292"/>
      <c r="I612" s="292"/>
    </row>
    <row r="613" spans="3:9">
      <c r="C613" s="292"/>
      <c r="D613" s="292"/>
      <c r="E613" s="292"/>
      <c r="F613" s="292"/>
      <c r="G613" s="292"/>
      <c r="H613" s="292"/>
      <c r="I613" s="292"/>
    </row>
    <row r="614" spans="3:9">
      <c r="C614" s="292"/>
      <c r="D614" s="292"/>
      <c r="E614" s="292"/>
      <c r="F614" s="292"/>
      <c r="G614" s="292"/>
      <c r="H614" s="292"/>
      <c r="I614" s="292"/>
    </row>
    <row r="615" spans="3:9">
      <c r="C615" s="292"/>
      <c r="D615" s="292"/>
      <c r="E615" s="292"/>
      <c r="F615" s="292"/>
      <c r="G615" s="292"/>
      <c r="H615" s="292"/>
      <c r="I615" s="292"/>
    </row>
    <row r="616" spans="3:9">
      <c r="C616" s="292"/>
      <c r="D616" s="292"/>
      <c r="E616" s="292"/>
      <c r="F616" s="292"/>
      <c r="G616" s="292"/>
      <c r="H616" s="292"/>
      <c r="I616" s="292"/>
    </row>
    <row r="617" spans="3:9">
      <c r="C617" s="292"/>
      <c r="D617" s="292"/>
      <c r="E617" s="292"/>
      <c r="F617" s="292"/>
      <c r="G617" s="292"/>
      <c r="H617" s="292"/>
      <c r="I617" s="292"/>
    </row>
    <row r="618" spans="3:9">
      <c r="C618" s="292"/>
      <c r="D618" s="292"/>
      <c r="E618" s="292"/>
      <c r="F618" s="292"/>
      <c r="G618" s="292"/>
      <c r="H618" s="292"/>
      <c r="I618" s="292"/>
    </row>
    <row r="619" spans="3:9">
      <c r="C619" s="292"/>
      <c r="D619" s="292"/>
      <c r="E619" s="292"/>
      <c r="F619" s="292"/>
      <c r="G619" s="292"/>
      <c r="H619" s="292"/>
      <c r="I619" s="292"/>
    </row>
    <row r="620" spans="3:9">
      <c r="C620" s="292"/>
      <c r="D620" s="292"/>
      <c r="E620" s="292"/>
      <c r="F620" s="292"/>
      <c r="G620" s="292"/>
      <c r="H620" s="292"/>
      <c r="I620" s="292"/>
    </row>
    <row r="621" spans="3:9">
      <c r="C621" s="292"/>
      <c r="D621" s="292"/>
      <c r="E621" s="292"/>
      <c r="F621" s="292"/>
      <c r="G621" s="292"/>
      <c r="H621" s="292"/>
      <c r="I621" s="292"/>
    </row>
    <row r="622" spans="3:9">
      <c r="C622" s="292"/>
      <c r="D622" s="292"/>
      <c r="E622" s="292"/>
      <c r="F622" s="292"/>
      <c r="G622" s="292"/>
      <c r="H622" s="292"/>
      <c r="I622" s="292"/>
    </row>
    <row r="623" spans="3:9">
      <c r="C623" s="292"/>
      <c r="D623" s="292"/>
      <c r="E623" s="292"/>
      <c r="F623" s="292"/>
      <c r="G623" s="292"/>
      <c r="H623" s="292"/>
      <c r="I623" s="292"/>
    </row>
    <row r="624" spans="3:9">
      <c r="C624" s="292"/>
      <c r="D624" s="292"/>
      <c r="E624" s="292"/>
      <c r="F624" s="292"/>
      <c r="G624" s="292"/>
      <c r="H624" s="292"/>
      <c r="I624" s="292"/>
    </row>
    <row r="625" spans="3:9">
      <c r="C625" s="292"/>
      <c r="D625" s="292"/>
      <c r="E625" s="292"/>
      <c r="F625" s="292"/>
      <c r="G625" s="292"/>
      <c r="H625" s="292"/>
      <c r="I625" s="292"/>
    </row>
    <row r="626" spans="3:9">
      <c r="C626" s="292"/>
      <c r="D626" s="292"/>
      <c r="E626" s="292"/>
      <c r="F626" s="292"/>
      <c r="G626" s="292"/>
      <c r="H626" s="292"/>
      <c r="I626" s="292"/>
    </row>
    <row r="627" spans="3:9">
      <c r="C627" s="292"/>
      <c r="D627" s="292"/>
      <c r="E627" s="292"/>
      <c r="F627" s="292"/>
      <c r="G627" s="292"/>
      <c r="H627" s="292"/>
      <c r="I627" s="292"/>
    </row>
    <row r="628" spans="3:9">
      <c r="C628" s="292"/>
      <c r="D628" s="292"/>
      <c r="E628" s="292"/>
      <c r="F628" s="292"/>
      <c r="G628" s="292"/>
      <c r="H628" s="292"/>
      <c r="I628" s="292"/>
    </row>
    <row r="629" spans="3:9">
      <c r="C629" s="292"/>
      <c r="D629" s="292"/>
      <c r="E629" s="292"/>
      <c r="F629" s="292"/>
      <c r="G629" s="292"/>
      <c r="H629" s="292"/>
      <c r="I629" s="292"/>
    </row>
    <row r="630" spans="3:9">
      <c r="C630" s="292"/>
      <c r="D630" s="292"/>
      <c r="E630" s="292"/>
      <c r="F630" s="292"/>
      <c r="G630" s="292"/>
      <c r="H630" s="292"/>
      <c r="I630" s="292"/>
    </row>
    <row r="631" spans="3:9">
      <c r="C631" s="292"/>
      <c r="D631" s="292"/>
      <c r="E631" s="292"/>
      <c r="F631" s="292"/>
      <c r="G631" s="292"/>
      <c r="H631" s="292"/>
      <c r="I631" s="292"/>
    </row>
    <row r="632" spans="3:9">
      <c r="C632" s="292"/>
      <c r="D632" s="292"/>
      <c r="E632" s="292"/>
      <c r="F632" s="292"/>
      <c r="G632" s="292"/>
      <c r="H632" s="292"/>
      <c r="I632" s="292"/>
    </row>
    <row r="633" spans="3:9">
      <c r="C633" s="292"/>
      <c r="D633" s="292"/>
      <c r="E633" s="292"/>
      <c r="F633" s="292"/>
      <c r="G633" s="292"/>
      <c r="H633" s="292"/>
      <c r="I633" s="292"/>
    </row>
    <row r="634" spans="3:9">
      <c r="C634" s="292"/>
      <c r="D634" s="292"/>
      <c r="E634" s="292"/>
      <c r="F634" s="292"/>
      <c r="G634" s="292"/>
      <c r="H634" s="292"/>
      <c r="I634" s="292"/>
    </row>
    <row r="635" spans="3:9">
      <c r="C635" s="292"/>
      <c r="D635" s="292"/>
      <c r="E635" s="292"/>
      <c r="F635" s="292"/>
      <c r="G635" s="292"/>
      <c r="H635" s="292"/>
      <c r="I635" s="292"/>
    </row>
    <row r="636" spans="3:9">
      <c r="C636" s="292"/>
      <c r="D636" s="292"/>
      <c r="E636" s="292"/>
      <c r="F636" s="292"/>
      <c r="G636" s="292"/>
      <c r="H636" s="292"/>
      <c r="I636" s="292"/>
    </row>
    <row r="637" spans="3:9">
      <c r="C637" s="292"/>
      <c r="D637" s="292"/>
      <c r="E637" s="292"/>
      <c r="F637" s="292"/>
      <c r="G637" s="292"/>
      <c r="H637" s="292"/>
      <c r="I637" s="292"/>
    </row>
    <row r="638" spans="3:9">
      <c r="C638" s="292"/>
      <c r="D638" s="292"/>
      <c r="E638" s="292"/>
      <c r="F638" s="292"/>
      <c r="G638" s="292"/>
      <c r="H638" s="292"/>
      <c r="I638" s="292"/>
    </row>
    <row r="639" spans="3:9">
      <c r="C639" s="292"/>
      <c r="D639" s="292"/>
      <c r="E639" s="292"/>
      <c r="F639" s="292"/>
      <c r="G639" s="292"/>
      <c r="H639" s="292"/>
      <c r="I639" s="292"/>
    </row>
    <row r="640" spans="3:9">
      <c r="C640" s="292"/>
      <c r="D640" s="292"/>
      <c r="E640" s="292"/>
      <c r="F640" s="292"/>
      <c r="G640" s="292"/>
      <c r="H640" s="292"/>
      <c r="I640" s="292"/>
    </row>
    <row r="641" spans="3:9">
      <c r="C641" s="292"/>
      <c r="D641" s="292"/>
      <c r="E641" s="292"/>
      <c r="F641" s="292"/>
      <c r="G641" s="292"/>
      <c r="H641" s="292"/>
      <c r="I641" s="292"/>
    </row>
    <row r="642" spans="3:9">
      <c r="C642" s="292"/>
      <c r="D642" s="292"/>
      <c r="E642" s="292"/>
      <c r="F642" s="292"/>
      <c r="G642" s="292"/>
      <c r="H642" s="292"/>
      <c r="I642" s="292"/>
    </row>
    <row r="643" spans="3:9">
      <c r="C643" s="292"/>
      <c r="D643" s="292"/>
      <c r="E643" s="292"/>
      <c r="F643" s="292"/>
      <c r="G643" s="292"/>
      <c r="H643" s="292"/>
      <c r="I643" s="292"/>
    </row>
    <row r="644" spans="3:9">
      <c r="C644" s="292"/>
      <c r="D644" s="292"/>
      <c r="E644" s="292"/>
      <c r="F644" s="292"/>
      <c r="G644" s="292"/>
      <c r="H644" s="292"/>
      <c r="I644" s="292"/>
    </row>
    <row r="645" spans="3:9">
      <c r="C645" s="292"/>
      <c r="D645" s="292"/>
      <c r="E645" s="292"/>
      <c r="F645" s="292"/>
      <c r="G645" s="292"/>
      <c r="H645" s="292"/>
      <c r="I645" s="292"/>
    </row>
    <row r="646" spans="3:9">
      <c r="C646" s="292"/>
      <c r="D646" s="292"/>
      <c r="E646" s="292"/>
      <c r="F646" s="292"/>
      <c r="G646" s="292"/>
      <c r="H646" s="292"/>
      <c r="I646" s="292"/>
    </row>
    <row r="647" spans="3:9">
      <c r="C647" s="292"/>
      <c r="D647" s="292"/>
      <c r="E647" s="292"/>
      <c r="F647" s="292"/>
      <c r="G647" s="292"/>
      <c r="H647" s="292"/>
      <c r="I647" s="292"/>
    </row>
    <row r="648" spans="3:9">
      <c r="C648" s="292"/>
      <c r="D648" s="292"/>
      <c r="E648" s="292"/>
      <c r="F648" s="292"/>
      <c r="G648" s="292"/>
      <c r="H648" s="292"/>
      <c r="I648" s="292"/>
    </row>
    <row r="649" spans="3:9">
      <c r="C649" s="292"/>
      <c r="D649" s="292"/>
      <c r="E649" s="292"/>
      <c r="F649" s="292"/>
      <c r="G649" s="292"/>
      <c r="H649" s="292"/>
      <c r="I649" s="292"/>
    </row>
    <row r="650" spans="3:9">
      <c r="C650" s="292"/>
      <c r="D650" s="292"/>
      <c r="E650" s="292"/>
      <c r="F650" s="292"/>
      <c r="G650" s="292"/>
      <c r="H650" s="292"/>
      <c r="I650" s="292"/>
    </row>
    <row r="651" spans="3:9">
      <c r="C651" s="292"/>
      <c r="D651" s="292"/>
      <c r="E651" s="292"/>
      <c r="F651" s="292"/>
      <c r="G651" s="292"/>
      <c r="H651" s="292"/>
      <c r="I651" s="292"/>
    </row>
    <row r="652" spans="3:9">
      <c r="C652" s="292"/>
      <c r="D652" s="292"/>
      <c r="E652" s="292"/>
      <c r="F652" s="292"/>
      <c r="G652" s="292"/>
      <c r="H652" s="292"/>
      <c r="I652" s="292"/>
    </row>
    <row r="653" spans="3:9">
      <c r="C653" s="292"/>
      <c r="D653" s="292"/>
      <c r="E653" s="292"/>
      <c r="F653" s="292"/>
      <c r="G653" s="292"/>
      <c r="H653" s="292"/>
      <c r="I653" s="292"/>
    </row>
    <row r="654" spans="3:9">
      <c r="C654" s="292"/>
      <c r="D654" s="292"/>
      <c r="E654" s="292"/>
      <c r="F654" s="292"/>
      <c r="G654" s="292"/>
      <c r="H654" s="292"/>
      <c r="I654" s="292"/>
    </row>
    <row r="655" spans="3:9">
      <c r="C655" s="292"/>
      <c r="D655" s="292"/>
      <c r="E655" s="292"/>
      <c r="F655" s="292"/>
      <c r="G655" s="292"/>
      <c r="H655" s="292"/>
      <c r="I655" s="292"/>
    </row>
    <row r="656" spans="3:9">
      <c r="C656" s="292"/>
      <c r="D656" s="292"/>
      <c r="E656" s="292"/>
      <c r="F656" s="292"/>
      <c r="G656" s="292"/>
      <c r="H656" s="292"/>
      <c r="I656" s="292"/>
    </row>
    <row r="657" spans="3:9">
      <c r="C657" s="292"/>
      <c r="D657" s="292"/>
      <c r="E657" s="292"/>
      <c r="F657" s="292"/>
      <c r="G657" s="292"/>
      <c r="H657" s="292"/>
      <c r="I657" s="292"/>
    </row>
    <row r="658" spans="3:9">
      <c r="C658" s="292"/>
      <c r="D658" s="292"/>
      <c r="E658" s="292"/>
      <c r="F658" s="292"/>
      <c r="G658" s="292"/>
      <c r="H658" s="292"/>
      <c r="I658" s="292"/>
    </row>
    <row r="659" spans="3:9">
      <c r="C659" s="292"/>
      <c r="D659" s="292"/>
      <c r="E659" s="292"/>
      <c r="F659" s="292"/>
      <c r="G659" s="292"/>
      <c r="H659" s="292"/>
      <c r="I659" s="292"/>
    </row>
    <row r="660" spans="3:9">
      <c r="C660" s="292"/>
      <c r="D660" s="292"/>
      <c r="E660" s="292"/>
      <c r="F660" s="292"/>
      <c r="G660" s="292"/>
      <c r="H660" s="292"/>
      <c r="I660" s="292"/>
    </row>
    <row r="661" spans="3:9">
      <c r="C661" s="292"/>
      <c r="D661" s="292"/>
      <c r="E661" s="292"/>
      <c r="F661" s="292"/>
      <c r="G661" s="292"/>
      <c r="H661" s="292"/>
      <c r="I661" s="292"/>
    </row>
    <row r="662" spans="3:9">
      <c r="C662" s="292"/>
      <c r="D662" s="292"/>
      <c r="E662" s="292"/>
      <c r="F662" s="292"/>
      <c r="G662" s="292"/>
      <c r="H662" s="292"/>
      <c r="I662" s="292"/>
    </row>
    <row r="663" spans="3:9">
      <c r="C663" s="292"/>
      <c r="D663" s="292"/>
      <c r="E663" s="292"/>
      <c r="F663" s="292"/>
      <c r="G663" s="292"/>
      <c r="H663" s="292"/>
      <c r="I663" s="292"/>
    </row>
    <row r="664" spans="3:9">
      <c r="C664" s="292"/>
      <c r="D664" s="292"/>
      <c r="E664" s="292"/>
      <c r="F664" s="292"/>
      <c r="G664" s="292"/>
      <c r="H664" s="292"/>
      <c r="I664" s="292"/>
    </row>
    <row r="665" spans="3:9">
      <c r="C665" s="292"/>
      <c r="D665" s="292"/>
      <c r="E665" s="292"/>
      <c r="F665" s="292"/>
      <c r="G665" s="292"/>
      <c r="H665" s="292"/>
      <c r="I665" s="292"/>
    </row>
    <row r="666" spans="3:9">
      <c r="C666" s="292"/>
      <c r="D666" s="292"/>
      <c r="E666" s="292"/>
      <c r="F666" s="292"/>
      <c r="G666" s="292"/>
      <c r="H666" s="292"/>
      <c r="I666" s="292"/>
    </row>
    <row r="667" spans="3:9">
      <c r="C667" s="292"/>
      <c r="D667" s="292"/>
      <c r="E667" s="292"/>
      <c r="F667" s="292"/>
      <c r="G667" s="292"/>
      <c r="H667" s="292"/>
      <c r="I667" s="292"/>
    </row>
    <row r="668" spans="3:9">
      <c r="C668" s="292"/>
      <c r="D668" s="292"/>
      <c r="E668" s="292"/>
      <c r="F668" s="292"/>
      <c r="G668" s="292"/>
      <c r="H668" s="292"/>
      <c r="I668" s="292"/>
    </row>
    <row r="669" spans="3:9">
      <c r="C669" s="292"/>
      <c r="D669" s="292"/>
      <c r="E669" s="292"/>
      <c r="F669" s="292"/>
      <c r="G669" s="292"/>
      <c r="H669" s="292"/>
      <c r="I669" s="292"/>
    </row>
    <row r="670" spans="3:9">
      <c r="C670" s="292"/>
      <c r="D670" s="292"/>
      <c r="E670" s="292"/>
      <c r="F670" s="292"/>
      <c r="G670" s="292"/>
      <c r="H670" s="292"/>
      <c r="I670" s="292"/>
    </row>
    <row r="671" spans="3:9">
      <c r="C671" s="292"/>
      <c r="D671" s="292"/>
      <c r="E671" s="292"/>
      <c r="F671" s="292"/>
      <c r="G671" s="292"/>
      <c r="H671" s="292"/>
      <c r="I671" s="292"/>
    </row>
    <row r="672" spans="3:9">
      <c r="C672" s="292"/>
      <c r="D672" s="292"/>
      <c r="E672" s="292"/>
      <c r="F672" s="292"/>
      <c r="G672" s="292"/>
      <c r="H672" s="292"/>
      <c r="I672" s="292"/>
    </row>
    <row r="673" spans="3:9">
      <c r="C673" s="292"/>
      <c r="D673" s="292"/>
      <c r="E673" s="292"/>
      <c r="F673" s="292"/>
      <c r="G673" s="292"/>
      <c r="H673" s="292"/>
      <c r="I673" s="292"/>
    </row>
    <row r="674" spans="3:9">
      <c r="C674" s="292"/>
      <c r="D674" s="292"/>
      <c r="E674" s="292"/>
      <c r="F674" s="292"/>
      <c r="G674" s="292"/>
      <c r="H674" s="292"/>
      <c r="I674" s="292"/>
    </row>
    <row r="675" spans="3:9">
      <c r="C675" s="292"/>
      <c r="D675" s="292"/>
      <c r="E675" s="292"/>
      <c r="F675" s="292"/>
      <c r="G675" s="292"/>
      <c r="H675" s="292"/>
      <c r="I675" s="292"/>
    </row>
    <row r="676" spans="3:9">
      <c r="C676" s="292"/>
      <c r="D676" s="292"/>
      <c r="E676" s="292"/>
      <c r="F676" s="292"/>
      <c r="G676" s="292"/>
      <c r="H676" s="292"/>
      <c r="I676" s="292"/>
    </row>
    <row r="677" spans="3:9">
      <c r="C677" s="292"/>
      <c r="D677" s="292"/>
      <c r="E677" s="292"/>
      <c r="F677" s="292"/>
      <c r="G677" s="292"/>
      <c r="H677" s="292"/>
      <c r="I677" s="292"/>
    </row>
    <row r="678" spans="3:9">
      <c r="C678" s="292"/>
      <c r="D678" s="292"/>
      <c r="E678" s="292"/>
      <c r="F678" s="292"/>
      <c r="G678" s="292"/>
      <c r="H678" s="292"/>
      <c r="I678" s="292"/>
    </row>
    <row r="679" spans="3:9">
      <c r="C679" s="292"/>
      <c r="D679" s="292"/>
      <c r="E679" s="292"/>
      <c r="F679" s="292"/>
      <c r="G679" s="292"/>
      <c r="H679" s="292"/>
      <c r="I679" s="292"/>
    </row>
    <row r="680" spans="3:9">
      <c r="C680" s="292"/>
      <c r="D680" s="292"/>
      <c r="E680" s="292"/>
      <c r="F680" s="292"/>
      <c r="G680" s="292"/>
      <c r="H680" s="292"/>
      <c r="I680" s="292"/>
    </row>
    <row r="681" spans="3:9">
      <c r="C681" s="292"/>
      <c r="D681" s="292"/>
      <c r="E681" s="292"/>
      <c r="F681" s="292"/>
      <c r="G681" s="292"/>
      <c r="H681" s="292"/>
      <c r="I681" s="292"/>
    </row>
    <row r="682" spans="3:9">
      <c r="C682" s="292"/>
      <c r="D682" s="292"/>
      <c r="E682" s="292"/>
      <c r="F682" s="292"/>
      <c r="G682" s="292"/>
      <c r="H682" s="292"/>
      <c r="I682" s="292"/>
    </row>
    <row r="683" spans="3:9">
      <c r="C683" s="292"/>
      <c r="D683" s="292"/>
      <c r="E683" s="292"/>
      <c r="F683" s="292"/>
      <c r="G683" s="292"/>
      <c r="H683" s="292"/>
      <c r="I683" s="292"/>
    </row>
    <row r="684" spans="3:9">
      <c r="C684" s="292"/>
      <c r="D684" s="292"/>
      <c r="E684" s="292"/>
      <c r="F684" s="292"/>
      <c r="G684" s="292"/>
      <c r="H684" s="292"/>
      <c r="I684" s="292"/>
    </row>
    <row r="685" spans="3:9">
      <c r="C685" s="292"/>
      <c r="D685" s="292"/>
      <c r="E685" s="292"/>
      <c r="F685" s="292"/>
      <c r="G685" s="292"/>
      <c r="H685" s="292"/>
      <c r="I685" s="292"/>
    </row>
    <row r="686" spans="3:9">
      <c r="C686" s="292"/>
      <c r="D686" s="292"/>
      <c r="E686" s="292"/>
      <c r="F686" s="292"/>
      <c r="G686" s="292"/>
      <c r="H686" s="292"/>
      <c r="I686" s="292"/>
    </row>
    <row r="687" spans="3:9">
      <c r="C687" s="292"/>
      <c r="D687" s="292"/>
      <c r="E687" s="292"/>
      <c r="F687" s="292"/>
      <c r="G687" s="292"/>
      <c r="H687" s="292"/>
      <c r="I687" s="292"/>
    </row>
    <row r="688" spans="3:9">
      <c r="C688" s="292"/>
      <c r="D688" s="292"/>
      <c r="E688" s="292"/>
      <c r="F688" s="292"/>
      <c r="G688" s="292"/>
      <c r="H688" s="292"/>
      <c r="I688" s="292"/>
    </row>
    <row r="689" spans="3:9">
      <c r="C689" s="292"/>
      <c r="D689" s="292"/>
      <c r="E689" s="292"/>
      <c r="F689" s="292"/>
      <c r="G689" s="292"/>
      <c r="H689" s="292"/>
      <c r="I689" s="292"/>
    </row>
    <row r="690" spans="3:9">
      <c r="C690" s="292"/>
      <c r="D690" s="292"/>
      <c r="E690" s="292"/>
      <c r="F690" s="292"/>
      <c r="G690" s="292"/>
      <c r="H690" s="292"/>
      <c r="I690" s="292"/>
    </row>
    <row r="691" spans="3:9">
      <c r="C691" s="292"/>
      <c r="D691" s="292"/>
      <c r="E691" s="292"/>
      <c r="F691" s="292"/>
      <c r="G691" s="292"/>
      <c r="H691" s="292"/>
      <c r="I691" s="292"/>
    </row>
    <row r="692" spans="3:9">
      <c r="C692" s="292"/>
      <c r="D692" s="292"/>
      <c r="E692" s="292"/>
      <c r="F692" s="292"/>
      <c r="G692" s="292"/>
      <c r="H692" s="292"/>
      <c r="I692" s="292"/>
    </row>
    <row r="693" spans="3:9">
      <c r="C693" s="292"/>
      <c r="D693" s="292"/>
      <c r="E693" s="292"/>
      <c r="F693" s="292"/>
      <c r="G693" s="292"/>
      <c r="H693" s="292"/>
      <c r="I693" s="292"/>
    </row>
    <row r="694" spans="3:9">
      <c r="C694" s="292"/>
      <c r="D694" s="292"/>
      <c r="E694" s="292"/>
      <c r="F694" s="292"/>
      <c r="G694" s="292"/>
      <c r="H694" s="292"/>
      <c r="I694" s="292"/>
    </row>
    <row r="695" spans="3:9">
      <c r="C695" s="292"/>
      <c r="D695" s="292"/>
      <c r="E695" s="292"/>
      <c r="F695" s="292"/>
      <c r="G695" s="292"/>
      <c r="H695" s="292"/>
      <c r="I695" s="292"/>
    </row>
    <row r="696" spans="3:9">
      <c r="C696" s="292"/>
      <c r="D696" s="292"/>
      <c r="E696" s="292"/>
      <c r="F696" s="292"/>
      <c r="G696" s="292"/>
      <c r="H696" s="292"/>
      <c r="I696" s="292"/>
    </row>
    <row r="697" spans="3:9">
      <c r="C697" s="292"/>
      <c r="D697" s="292"/>
      <c r="E697" s="292"/>
      <c r="F697" s="292"/>
      <c r="G697" s="292"/>
      <c r="H697" s="292"/>
      <c r="I697" s="292"/>
    </row>
    <row r="698" spans="3:9">
      <c r="C698" s="292"/>
      <c r="D698" s="292"/>
      <c r="E698" s="292"/>
      <c r="F698" s="292"/>
      <c r="G698" s="292"/>
      <c r="H698" s="292"/>
      <c r="I698" s="292"/>
    </row>
    <row r="699" spans="3:9">
      <c r="C699" s="292"/>
      <c r="D699" s="292"/>
      <c r="E699" s="292"/>
      <c r="F699" s="292"/>
      <c r="G699" s="292"/>
      <c r="H699" s="292"/>
      <c r="I699" s="292"/>
    </row>
    <row r="700" spans="3:9">
      <c r="C700" s="292"/>
      <c r="D700" s="292"/>
      <c r="E700" s="292"/>
      <c r="F700" s="292"/>
      <c r="G700" s="292"/>
      <c r="H700" s="292"/>
      <c r="I700" s="292"/>
    </row>
    <row r="701" spans="3:9">
      <c r="C701" s="292"/>
      <c r="D701" s="292"/>
      <c r="E701" s="292"/>
      <c r="F701" s="292"/>
      <c r="G701" s="292"/>
      <c r="H701" s="292"/>
      <c r="I701" s="292"/>
    </row>
    <row r="702" spans="3:9">
      <c r="C702" s="292"/>
      <c r="D702" s="292"/>
      <c r="E702" s="292"/>
      <c r="F702" s="292"/>
      <c r="G702" s="292"/>
      <c r="H702" s="292"/>
      <c r="I702" s="292"/>
    </row>
    <row r="703" spans="3:9">
      <c r="C703" s="292"/>
      <c r="D703" s="292"/>
      <c r="E703" s="292"/>
      <c r="F703" s="292"/>
      <c r="G703" s="292"/>
      <c r="H703" s="292"/>
      <c r="I703" s="292"/>
    </row>
    <row r="704" spans="3:9">
      <c r="C704" s="292"/>
      <c r="D704" s="292"/>
      <c r="E704" s="292"/>
      <c r="F704" s="292"/>
      <c r="G704" s="292"/>
      <c r="H704" s="292"/>
      <c r="I704" s="292"/>
    </row>
    <row r="705" spans="3:9">
      <c r="C705" s="292"/>
      <c r="D705" s="292"/>
      <c r="E705" s="292"/>
      <c r="F705" s="292"/>
      <c r="G705" s="292"/>
      <c r="H705" s="292"/>
      <c r="I705" s="292"/>
    </row>
    <row r="706" spans="3:9">
      <c r="C706" s="292"/>
      <c r="D706" s="292"/>
      <c r="E706" s="292"/>
      <c r="F706" s="292"/>
      <c r="G706" s="292"/>
      <c r="H706" s="292"/>
      <c r="I706" s="292"/>
    </row>
    <row r="707" spans="3:9">
      <c r="C707" s="292"/>
      <c r="D707" s="292"/>
      <c r="E707" s="292"/>
      <c r="F707" s="292"/>
      <c r="G707" s="292"/>
      <c r="H707" s="292"/>
      <c r="I707" s="292"/>
    </row>
    <row r="708" spans="3:9">
      <c r="C708" s="292"/>
      <c r="D708" s="292"/>
      <c r="E708" s="292"/>
      <c r="F708" s="292"/>
      <c r="G708" s="292"/>
      <c r="H708" s="292"/>
      <c r="I708" s="292"/>
    </row>
    <row r="709" spans="3:9">
      <c r="C709" s="292"/>
      <c r="D709" s="292"/>
      <c r="E709" s="292"/>
      <c r="F709" s="292"/>
      <c r="G709" s="292"/>
      <c r="H709" s="292"/>
      <c r="I709" s="292"/>
    </row>
    <row r="710" spans="3:9">
      <c r="C710" s="292"/>
      <c r="D710" s="292"/>
      <c r="E710" s="292"/>
      <c r="F710" s="292"/>
      <c r="G710" s="292"/>
      <c r="H710" s="292"/>
      <c r="I710" s="292"/>
    </row>
    <row r="711" spans="3:9">
      <c r="C711" s="292"/>
      <c r="D711" s="292"/>
      <c r="E711" s="292"/>
      <c r="F711" s="292"/>
      <c r="G711" s="292"/>
      <c r="H711" s="292"/>
      <c r="I711" s="292"/>
    </row>
    <row r="712" spans="3:9">
      <c r="C712" s="292"/>
      <c r="D712" s="292"/>
      <c r="E712" s="292"/>
      <c r="F712" s="292"/>
      <c r="G712" s="292"/>
      <c r="H712" s="292"/>
      <c r="I712" s="292"/>
    </row>
    <row r="713" spans="3:9">
      <c r="C713" s="292"/>
      <c r="D713" s="292"/>
      <c r="E713" s="292"/>
      <c r="F713" s="292"/>
      <c r="G713" s="292"/>
      <c r="H713" s="292"/>
      <c r="I713" s="292"/>
    </row>
    <row r="714" spans="3:9">
      <c r="C714" s="292"/>
      <c r="D714" s="292"/>
      <c r="E714" s="292"/>
      <c r="F714" s="292"/>
      <c r="G714" s="292"/>
      <c r="H714" s="292"/>
      <c r="I714" s="292"/>
    </row>
    <row r="715" spans="3:9">
      <c r="C715" s="292"/>
      <c r="D715" s="292"/>
      <c r="E715" s="292"/>
      <c r="F715" s="292"/>
      <c r="G715" s="292"/>
      <c r="H715" s="292"/>
      <c r="I715" s="292"/>
    </row>
    <row r="716" spans="3:9">
      <c r="C716" s="292"/>
      <c r="D716" s="292"/>
      <c r="E716" s="292"/>
      <c r="F716" s="292"/>
      <c r="G716" s="292"/>
      <c r="H716" s="292"/>
      <c r="I716" s="292"/>
    </row>
    <row r="717" spans="3:9">
      <c r="C717" s="292"/>
      <c r="D717" s="292"/>
      <c r="E717" s="292"/>
      <c r="F717" s="292"/>
      <c r="G717" s="292"/>
      <c r="H717" s="292"/>
      <c r="I717" s="292"/>
    </row>
    <row r="718" spans="3:9">
      <c r="C718" s="292"/>
      <c r="D718" s="292"/>
      <c r="E718" s="292"/>
      <c r="F718" s="292"/>
      <c r="G718" s="292"/>
      <c r="H718" s="292"/>
      <c r="I718" s="292"/>
    </row>
    <row r="719" spans="3:9">
      <c r="C719" s="292"/>
      <c r="D719" s="292"/>
      <c r="E719" s="292"/>
      <c r="F719" s="292"/>
      <c r="G719" s="292"/>
      <c r="H719" s="292"/>
      <c r="I719" s="292"/>
    </row>
    <row r="720" spans="3:9">
      <c r="C720" s="292"/>
      <c r="D720" s="292"/>
      <c r="E720" s="292"/>
      <c r="F720" s="292"/>
      <c r="G720" s="292"/>
      <c r="H720" s="292"/>
      <c r="I720" s="292"/>
    </row>
    <row r="721" spans="3:9">
      <c r="C721" s="292"/>
      <c r="D721" s="292"/>
      <c r="E721" s="292"/>
      <c r="F721" s="292"/>
      <c r="G721" s="292"/>
      <c r="H721" s="292"/>
      <c r="I721" s="292"/>
    </row>
    <row r="722" spans="3:9">
      <c r="C722" s="292"/>
      <c r="D722" s="292"/>
      <c r="E722" s="292"/>
      <c r="F722" s="292"/>
      <c r="G722" s="292"/>
      <c r="H722" s="292"/>
      <c r="I722" s="292"/>
    </row>
    <row r="723" spans="3:9">
      <c r="C723" s="292"/>
      <c r="D723" s="292"/>
      <c r="E723" s="292"/>
      <c r="F723" s="292"/>
      <c r="G723" s="292"/>
      <c r="H723" s="292"/>
      <c r="I723" s="292"/>
    </row>
    <row r="724" spans="3:9">
      <c r="C724" s="292"/>
      <c r="D724" s="292"/>
      <c r="E724" s="292"/>
      <c r="F724" s="292"/>
      <c r="G724" s="292"/>
      <c r="H724" s="292"/>
      <c r="I724" s="292"/>
    </row>
    <row r="725" spans="3:9">
      <c r="C725" s="292"/>
      <c r="D725" s="292"/>
      <c r="E725" s="292"/>
      <c r="F725" s="292"/>
      <c r="G725" s="292"/>
      <c r="H725" s="292"/>
      <c r="I725" s="292"/>
    </row>
    <row r="726" spans="3:9">
      <c r="C726" s="292"/>
      <c r="D726" s="292"/>
      <c r="E726" s="292"/>
      <c r="F726" s="292"/>
      <c r="G726" s="292"/>
      <c r="H726" s="292"/>
      <c r="I726" s="292"/>
    </row>
    <row r="727" spans="3:9">
      <c r="C727" s="292"/>
      <c r="D727" s="292"/>
      <c r="E727" s="292"/>
      <c r="F727" s="292"/>
      <c r="G727" s="292"/>
      <c r="H727" s="292"/>
      <c r="I727" s="292"/>
    </row>
    <row r="728" spans="3:9">
      <c r="C728" s="292"/>
      <c r="D728" s="292"/>
      <c r="E728" s="292"/>
      <c r="F728" s="292"/>
      <c r="G728" s="292"/>
      <c r="H728" s="292"/>
      <c r="I728" s="292"/>
    </row>
    <row r="729" spans="3:9">
      <c r="C729" s="292"/>
      <c r="D729" s="292"/>
      <c r="E729" s="292"/>
      <c r="F729" s="292"/>
      <c r="G729" s="292"/>
      <c r="H729" s="292"/>
      <c r="I729" s="292"/>
    </row>
    <row r="730" spans="3:9">
      <c r="C730" s="292"/>
      <c r="D730" s="292"/>
      <c r="E730" s="292"/>
      <c r="F730" s="292"/>
      <c r="G730" s="292"/>
      <c r="H730" s="292"/>
      <c r="I730" s="292"/>
    </row>
    <row r="731" spans="3:9">
      <c r="C731" s="292"/>
      <c r="D731" s="292"/>
      <c r="E731" s="292"/>
      <c r="F731" s="292"/>
      <c r="G731" s="292"/>
      <c r="H731" s="292"/>
      <c r="I731" s="292"/>
    </row>
    <row r="732" spans="3:9">
      <c r="C732" s="292"/>
      <c r="D732" s="292"/>
      <c r="E732" s="292"/>
      <c r="F732" s="292"/>
      <c r="G732" s="292"/>
      <c r="H732" s="292"/>
      <c r="I732" s="292"/>
    </row>
    <row r="733" spans="3:9">
      <c r="C733" s="292"/>
      <c r="D733" s="292"/>
      <c r="E733" s="292"/>
      <c r="F733" s="292"/>
      <c r="G733" s="292"/>
      <c r="H733" s="292"/>
      <c r="I733" s="292"/>
    </row>
    <row r="734" spans="3:9">
      <c r="C734" s="292"/>
      <c r="D734" s="292"/>
      <c r="E734" s="292"/>
      <c r="F734" s="292"/>
      <c r="G734" s="292"/>
      <c r="H734" s="292"/>
      <c r="I734" s="292"/>
    </row>
    <row r="735" spans="3:9">
      <c r="C735" s="292"/>
      <c r="D735" s="292"/>
      <c r="E735" s="292"/>
      <c r="F735" s="292"/>
      <c r="G735" s="292"/>
      <c r="H735" s="292"/>
      <c r="I735" s="292"/>
    </row>
    <row r="736" spans="3:9">
      <c r="C736" s="292"/>
      <c r="D736" s="292"/>
      <c r="E736" s="292"/>
      <c r="F736" s="292"/>
      <c r="G736" s="292"/>
      <c r="H736" s="292"/>
      <c r="I736" s="292"/>
    </row>
    <row r="737" spans="3:9">
      <c r="C737" s="292"/>
      <c r="D737" s="292"/>
      <c r="E737" s="292"/>
      <c r="F737" s="292"/>
      <c r="G737" s="292"/>
      <c r="H737" s="292"/>
      <c r="I737" s="292"/>
    </row>
    <row r="738" spans="3:9">
      <c r="C738" s="292"/>
      <c r="D738" s="292"/>
      <c r="E738" s="292"/>
      <c r="F738" s="292"/>
      <c r="G738" s="292"/>
      <c r="H738" s="292"/>
      <c r="I738" s="292"/>
    </row>
    <row r="739" spans="3:9">
      <c r="C739" s="292"/>
      <c r="D739" s="292"/>
      <c r="E739" s="292"/>
      <c r="F739" s="292"/>
      <c r="G739" s="292"/>
      <c r="H739" s="292"/>
      <c r="I739" s="292"/>
    </row>
    <row r="740" spans="3:9">
      <c r="C740" s="292"/>
      <c r="D740" s="292"/>
      <c r="E740" s="292"/>
      <c r="F740" s="292"/>
      <c r="G740" s="292"/>
      <c r="H740" s="292"/>
      <c r="I740" s="292"/>
    </row>
    <row r="741" spans="3:9">
      <c r="C741" s="292"/>
      <c r="D741" s="292"/>
      <c r="E741" s="292"/>
      <c r="F741" s="292"/>
      <c r="G741" s="292"/>
      <c r="H741" s="292"/>
      <c r="I741" s="292"/>
    </row>
    <row r="742" spans="3:9">
      <c r="C742" s="292"/>
      <c r="D742" s="292"/>
      <c r="E742" s="292"/>
      <c r="F742" s="292"/>
      <c r="G742" s="292"/>
      <c r="H742" s="292"/>
      <c r="I742" s="292"/>
    </row>
    <row r="743" spans="3:9">
      <c r="C743" s="292"/>
      <c r="D743" s="292"/>
      <c r="E743" s="292"/>
      <c r="F743" s="292"/>
      <c r="G743" s="292"/>
      <c r="H743" s="292"/>
      <c r="I743" s="292"/>
    </row>
    <row r="744" spans="3:9">
      <c r="C744" s="292"/>
      <c r="D744" s="292"/>
      <c r="E744" s="292"/>
      <c r="F744" s="292"/>
      <c r="G744" s="292"/>
      <c r="H744" s="292"/>
      <c r="I744" s="292"/>
    </row>
    <row r="745" spans="3:9">
      <c r="C745" s="292"/>
      <c r="D745" s="292"/>
      <c r="E745" s="292"/>
      <c r="F745" s="292"/>
      <c r="G745" s="292"/>
      <c r="H745" s="292"/>
      <c r="I745" s="292"/>
    </row>
    <row r="746" spans="3:9">
      <c r="C746" s="292"/>
      <c r="D746" s="292"/>
      <c r="E746" s="292"/>
      <c r="F746" s="292"/>
      <c r="G746" s="292"/>
      <c r="H746" s="292"/>
      <c r="I746" s="292"/>
    </row>
    <row r="747" spans="3:9">
      <c r="C747" s="292"/>
      <c r="D747" s="292"/>
      <c r="E747" s="292"/>
      <c r="F747" s="292"/>
      <c r="G747" s="292"/>
      <c r="H747" s="292"/>
      <c r="I747" s="292"/>
    </row>
    <row r="748" spans="3:9">
      <c r="C748" s="292"/>
      <c r="D748" s="292"/>
      <c r="E748" s="292"/>
      <c r="F748" s="292"/>
      <c r="G748" s="292"/>
      <c r="H748" s="292"/>
      <c r="I748" s="292"/>
    </row>
    <row r="749" spans="3:9">
      <c r="C749" s="292"/>
      <c r="D749" s="292"/>
      <c r="E749" s="292"/>
      <c r="F749" s="292"/>
      <c r="G749" s="292"/>
      <c r="H749" s="292"/>
      <c r="I749" s="292"/>
    </row>
    <row r="750" spans="3:9">
      <c r="C750" s="292"/>
      <c r="D750" s="292"/>
      <c r="E750" s="292"/>
      <c r="F750" s="292"/>
      <c r="G750" s="292"/>
      <c r="H750" s="292"/>
      <c r="I750" s="292"/>
    </row>
    <row r="751" spans="3:9">
      <c r="C751" s="292"/>
      <c r="D751" s="292"/>
      <c r="E751" s="292"/>
      <c r="F751" s="292"/>
      <c r="G751" s="292"/>
      <c r="H751" s="292"/>
      <c r="I751" s="292"/>
    </row>
    <row r="752" spans="3:9">
      <c r="C752" s="292"/>
      <c r="D752" s="292"/>
      <c r="E752" s="292"/>
      <c r="F752" s="292"/>
      <c r="G752" s="292"/>
      <c r="H752" s="292"/>
      <c r="I752" s="292"/>
    </row>
    <row r="753" spans="3:9">
      <c r="C753" s="292"/>
      <c r="D753" s="292"/>
      <c r="E753" s="292"/>
      <c r="F753" s="292"/>
      <c r="G753" s="292"/>
      <c r="H753" s="292"/>
      <c r="I753" s="292"/>
    </row>
    <row r="754" spans="3:9">
      <c r="C754" s="292"/>
      <c r="D754" s="292"/>
      <c r="E754" s="292"/>
      <c r="F754" s="292"/>
      <c r="G754" s="292"/>
      <c r="H754" s="292"/>
      <c r="I754" s="292"/>
    </row>
    <row r="755" spans="3:9">
      <c r="C755" s="292"/>
      <c r="D755" s="292"/>
      <c r="E755" s="292"/>
      <c r="F755" s="292"/>
      <c r="G755" s="292"/>
      <c r="H755" s="292"/>
      <c r="I755" s="292"/>
    </row>
    <row r="756" spans="3:9">
      <c r="C756" s="292"/>
      <c r="D756" s="292"/>
      <c r="E756" s="292"/>
      <c r="F756" s="292"/>
      <c r="G756" s="292"/>
      <c r="H756" s="292"/>
      <c r="I756" s="292"/>
    </row>
    <row r="757" spans="3:9">
      <c r="C757" s="292"/>
      <c r="D757" s="292"/>
      <c r="E757" s="292"/>
      <c r="F757" s="292"/>
      <c r="G757" s="292"/>
      <c r="H757" s="292"/>
      <c r="I757" s="292"/>
    </row>
    <row r="758" spans="3:9">
      <c r="C758" s="292"/>
      <c r="D758" s="292"/>
      <c r="E758" s="292"/>
      <c r="F758" s="292"/>
      <c r="G758" s="292"/>
      <c r="H758" s="292"/>
      <c r="I758" s="292"/>
    </row>
    <row r="759" spans="3:9">
      <c r="C759" s="292"/>
      <c r="D759" s="292"/>
      <c r="E759" s="292"/>
      <c r="F759" s="292"/>
      <c r="G759" s="292"/>
      <c r="H759" s="292"/>
      <c r="I759" s="292"/>
    </row>
    <row r="760" spans="3:9">
      <c r="C760" s="292"/>
      <c r="D760" s="292"/>
      <c r="E760" s="292"/>
      <c r="F760" s="292"/>
      <c r="G760" s="292"/>
      <c r="H760" s="292"/>
      <c r="I760" s="292"/>
    </row>
    <row r="761" spans="3:9">
      <c r="C761" s="292"/>
      <c r="D761" s="292"/>
      <c r="E761" s="292"/>
      <c r="F761" s="292"/>
      <c r="G761" s="292"/>
      <c r="H761" s="292"/>
      <c r="I761" s="292"/>
    </row>
    <row r="762" spans="3:9">
      <c r="C762" s="292"/>
      <c r="D762" s="292"/>
      <c r="E762" s="292"/>
      <c r="F762" s="292"/>
      <c r="G762" s="292"/>
      <c r="H762" s="292"/>
      <c r="I762" s="292"/>
    </row>
    <row r="763" spans="3:9">
      <c r="C763" s="292"/>
      <c r="D763" s="292"/>
      <c r="E763" s="292"/>
      <c r="F763" s="292"/>
      <c r="G763" s="292"/>
      <c r="H763" s="292"/>
      <c r="I763" s="292"/>
    </row>
    <row r="764" spans="3:9">
      <c r="C764" s="292"/>
      <c r="D764" s="292"/>
      <c r="E764" s="292"/>
      <c r="F764" s="292"/>
      <c r="G764" s="292"/>
      <c r="H764" s="292"/>
      <c r="I764" s="292"/>
    </row>
    <row r="765" spans="3:9">
      <c r="C765" s="292"/>
      <c r="D765" s="292"/>
      <c r="E765" s="292"/>
      <c r="F765" s="292"/>
      <c r="G765" s="292"/>
      <c r="H765" s="292"/>
      <c r="I765" s="292"/>
    </row>
    <row r="766" spans="3:9">
      <c r="C766" s="292"/>
      <c r="D766" s="292"/>
      <c r="E766" s="292"/>
      <c r="F766" s="292"/>
      <c r="G766" s="292"/>
      <c r="H766" s="292"/>
      <c r="I766" s="292"/>
    </row>
    <row r="767" spans="3:9">
      <c r="C767" s="292"/>
      <c r="D767" s="292"/>
      <c r="E767" s="292"/>
      <c r="F767" s="292"/>
      <c r="G767" s="292"/>
      <c r="H767" s="292"/>
      <c r="I767" s="292"/>
    </row>
    <row r="768" spans="3:9">
      <c r="C768" s="292"/>
      <c r="D768" s="292"/>
      <c r="E768" s="292"/>
      <c r="F768" s="292"/>
      <c r="G768" s="292"/>
      <c r="H768" s="292"/>
      <c r="I768" s="292"/>
    </row>
    <row r="769" spans="3:9">
      <c r="C769" s="292"/>
      <c r="D769" s="292"/>
      <c r="E769" s="292"/>
      <c r="F769" s="292"/>
      <c r="G769" s="292"/>
      <c r="H769" s="292"/>
      <c r="I769" s="292"/>
    </row>
    <row r="770" spans="3:9">
      <c r="C770" s="292"/>
      <c r="D770" s="292"/>
      <c r="E770" s="292"/>
      <c r="F770" s="292"/>
      <c r="G770" s="292"/>
      <c r="H770" s="292"/>
      <c r="I770" s="292"/>
    </row>
    <row r="771" spans="3:9">
      <c r="C771" s="292"/>
      <c r="D771" s="292"/>
      <c r="E771" s="292"/>
      <c r="F771" s="292"/>
      <c r="G771" s="292"/>
      <c r="H771" s="292"/>
      <c r="I771" s="292"/>
    </row>
    <row r="772" spans="3:9">
      <c r="C772" s="292"/>
      <c r="D772" s="292"/>
      <c r="E772" s="292"/>
      <c r="F772" s="292"/>
      <c r="G772" s="292"/>
      <c r="H772" s="292"/>
      <c r="I772" s="292"/>
    </row>
    <row r="773" spans="3:9">
      <c r="C773" s="292"/>
      <c r="D773" s="292"/>
      <c r="E773" s="292"/>
      <c r="F773" s="292"/>
      <c r="G773" s="292"/>
      <c r="H773" s="292"/>
      <c r="I773" s="292"/>
    </row>
    <row r="774" spans="3:9">
      <c r="C774" s="292"/>
      <c r="D774" s="292"/>
      <c r="E774" s="292"/>
      <c r="F774" s="292"/>
      <c r="G774" s="292"/>
      <c r="H774" s="292"/>
      <c r="I774" s="292"/>
    </row>
    <row r="775" spans="3:9">
      <c r="C775" s="292"/>
      <c r="D775" s="292"/>
      <c r="E775" s="292"/>
      <c r="F775" s="292"/>
      <c r="G775" s="292"/>
      <c r="H775" s="292"/>
      <c r="I775" s="292"/>
    </row>
    <row r="776" spans="3:9">
      <c r="C776" s="292"/>
      <c r="D776" s="292"/>
      <c r="E776" s="292"/>
      <c r="F776" s="292"/>
      <c r="G776" s="292"/>
      <c r="H776" s="292"/>
      <c r="I776" s="292"/>
    </row>
    <row r="777" spans="3:9">
      <c r="C777" s="292"/>
      <c r="D777" s="292"/>
      <c r="E777" s="292"/>
      <c r="F777" s="292"/>
      <c r="G777" s="292"/>
      <c r="H777" s="292"/>
      <c r="I777" s="292"/>
    </row>
    <row r="778" spans="3:9">
      <c r="C778" s="292"/>
      <c r="D778" s="292"/>
      <c r="E778" s="292"/>
      <c r="F778" s="292"/>
      <c r="G778" s="292"/>
      <c r="H778" s="292"/>
      <c r="I778" s="292"/>
    </row>
    <row r="779" spans="3:9">
      <c r="C779" s="292"/>
      <c r="D779" s="292"/>
      <c r="E779" s="292"/>
      <c r="F779" s="292"/>
      <c r="G779" s="292"/>
      <c r="H779" s="292"/>
      <c r="I779" s="292"/>
    </row>
    <row r="780" spans="3:9">
      <c r="C780" s="292"/>
      <c r="D780" s="292"/>
      <c r="E780" s="292"/>
      <c r="F780" s="292"/>
      <c r="G780" s="292"/>
      <c r="H780" s="292"/>
      <c r="I780" s="292"/>
    </row>
    <row r="781" spans="3:9">
      <c r="C781" s="292"/>
      <c r="D781" s="292"/>
      <c r="E781" s="292"/>
      <c r="F781" s="292"/>
      <c r="G781" s="292"/>
      <c r="H781" s="292"/>
      <c r="I781" s="292"/>
    </row>
    <row r="782" spans="3:9">
      <c r="C782" s="292"/>
      <c r="D782" s="292"/>
      <c r="E782" s="292"/>
      <c r="F782" s="292"/>
      <c r="G782" s="292"/>
      <c r="H782" s="292"/>
      <c r="I782" s="292"/>
    </row>
    <row r="783" spans="3:9">
      <c r="C783" s="292"/>
      <c r="D783" s="292"/>
      <c r="E783" s="292"/>
      <c r="F783" s="292"/>
      <c r="G783" s="292"/>
      <c r="H783" s="292"/>
      <c r="I783" s="292"/>
    </row>
    <row r="784" spans="3:9">
      <c r="C784" s="292"/>
      <c r="D784" s="292"/>
      <c r="E784" s="292"/>
      <c r="F784" s="292"/>
      <c r="G784" s="292"/>
      <c r="H784" s="292"/>
      <c r="I784" s="292"/>
    </row>
    <row r="785" spans="3:9">
      <c r="C785" s="292"/>
      <c r="D785" s="292"/>
      <c r="E785" s="292"/>
      <c r="F785" s="292"/>
      <c r="G785" s="292"/>
      <c r="H785" s="292"/>
      <c r="I785" s="292"/>
    </row>
    <row r="786" spans="3:9">
      <c r="C786" s="292"/>
      <c r="D786" s="292"/>
      <c r="E786" s="292"/>
      <c r="F786" s="292"/>
      <c r="G786" s="292"/>
      <c r="H786" s="292"/>
      <c r="I786" s="292"/>
    </row>
    <row r="787" spans="3:9">
      <c r="C787" s="292"/>
      <c r="D787" s="292"/>
      <c r="E787" s="292"/>
      <c r="F787" s="292"/>
      <c r="G787" s="292"/>
      <c r="H787" s="292"/>
      <c r="I787" s="292"/>
    </row>
    <row r="788" spans="3:9">
      <c r="C788" s="292"/>
      <c r="D788" s="292"/>
      <c r="E788" s="292"/>
      <c r="F788" s="292"/>
      <c r="G788" s="292"/>
      <c r="H788" s="292"/>
      <c r="I788" s="292"/>
    </row>
    <row r="789" spans="3:9">
      <c r="C789" s="292"/>
      <c r="D789" s="292"/>
      <c r="E789" s="292"/>
      <c r="F789" s="292"/>
      <c r="G789" s="292"/>
      <c r="H789" s="292"/>
      <c r="I789" s="292"/>
    </row>
    <row r="790" spans="3:9">
      <c r="C790" s="292"/>
      <c r="D790" s="292"/>
      <c r="E790" s="292"/>
      <c r="F790" s="292"/>
      <c r="G790" s="292"/>
      <c r="H790" s="292"/>
      <c r="I790" s="292"/>
    </row>
    <row r="791" spans="3:9">
      <c r="C791" s="292"/>
      <c r="D791" s="292"/>
      <c r="E791" s="292"/>
      <c r="F791" s="292"/>
      <c r="G791" s="292"/>
      <c r="H791" s="292"/>
      <c r="I791" s="292"/>
    </row>
    <row r="792" spans="3:9">
      <c r="C792" s="292"/>
      <c r="D792" s="292"/>
      <c r="E792" s="292"/>
      <c r="F792" s="292"/>
      <c r="G792" s="292"/>
      <c r="H792" s="292"/>
      <c r="I792" s="292"/>
    </row>
    <row r="793" spans="3:9">
      <c r="C793" s="292"/>
      <c r="D793" s="292"/>
      <c r="E793" s="292"/>
      <c r="F793" s="292"/>
      <c r="G793" s="292"/>
      <c r="H793" s="292"/>
      <c r="I793" s="292"/>
    </row>
    <row r="794" spans="3:9">
      <c r="C794" s="292"/>
      <c r="D794" s="292"/>
      <c r="E794" s="292"/>
      <c r="F794" s="292"/>
      <c r="G794" s="292"/>
      <c r="H794" s="292"/>
      <c r="I794" s="292"/>
    </row>
    <row r="795" spans="3:9">
      <c r="C795" s="292"/>
      <c r="D795" s="292"/>
      <c r="E795" s="292"/>
      <c r="F795" s="292"/>
      <c r="G795" s="292"/>
      <c r="H795" s="292"/>
      <c r="I795" s="292"/>
    </row>
    <row r="796" spans="3:9">
      <c r="C796" s="292"/>
      <c r="D796" s="292"/>
      <c r="E796" s="292"/>
      <c r="F796" s="292"/>
      <c r="G796" s="292"/>
      <c r="H796" s="292"/>
      <c r="I796" s="292"/>
    </row>
    <row r="797" spans="3:9">
      <c r="C797" s="292"/>
      <c r="D797" s="292"/>
      <c r="E797" s="292"/>
      <c r="F797" s="292"/>
      <c r="G797" s="292"/>
      <c r="H797" s="292"/>
      <c r="I797" s="292"/>
    </row>
    <row r="798" spans="3:9">
      <c r="C798" s="292"/>
      <c r="D798" s="292"/>
      <c r="E798" s="292"/>
      <c r="F798" s="292"/>
      <c r="G798" s="292"/>
      <c r="H798" s="292"/>
      <c r="I798" s="292"/>
    </row>
    <row r="799" spans="3:9">
      <c r="C799" s="292"/>
      <c r="D799" s="292"/>
      <c r="E799" s="292"/>
      <c r="F799" s="292"/>
      <c r="G799" s="292"/>
      <c r="H799" s="292"/>
      <c r="I799" s="292"/>
    </row>
    <row r="800" spans="3:9">
      <c r="C800" s="292"/>
      <c r="D800" s="292"/>
      <c r="E800" s="292"/>
      <c r="F800" s="292"/>
      <c r="G800" s="292"/>
      <c r="H800" s="292"/>
      <c r="I800" s="292"/>
    </row>
    <row r="801" spans="3:9">
      <c r="C801" s="292"/>
      <c r="D801" s="292"/>
      <c r="E801" s="292"/>
      <c r="F801" s="292"/>
      <c r="G801" s="292"/>
      <c r="H801" s="292"/>
      <c r="I801" s="292"/>
    </row>
    <row r="802" spans="3:9">
      <c r="C802" s="292"/>
      <c r="D802" s="292"/>
      <c r="E802" s="292"/>
      <c r="F802" s="292"/>
      <c r="G802" s="292"/>
      <c r="H802" s="292"/>
      <c r="I802" s="292"/>
    </row>
    <row r="803" spans="3:9">
      <c r="C803" s="292"/>
      <c r="D803" s="292"/>
      <c r="E803" s="292"/>
      <c r="F803" s="292"/>
      <c r="G803" s="292"/>
      <c r="H803" s="292"/>
      <c r="I803" s="292"/>
    </row>
    <row r="804" spans="3:9">
      <c r="C804" s="292"/>
      <c r="D804" s="292"/>
      <c r="E804" s="292"/>
      <c r="F804" s="292"/>
      <c r="G804" s="292"/>
      <c r="H804" s="292"/>
      <c r="I804" s="292"/>
    </row>
    <row r="805" spans="3:9">
      <c r="C805" s="292"/>
      <c r="D805" s="292"/>
      <c r="E805" s="292"/>
      <c r="F805" s="292"/>
      <c r="G805" s="292"/>
      <c r="H805" s="292"/>
      <c r="I805" s="292"/>
    </row>
    <row r="806" spans="3:9">
      <c r="C806" s="292"/>
      <c r="D806" s="292"/>
      <c r="E806" s="292"/>
      <c r="F806" s="292"/>
      <c r="G806" s="292"/>
      <c r="H806" s="292"/>
      <c r="I806" s="292"/>
    </row>
    <row r="807" spans="3:9">
      <c r="C807" s="292"/>
      <c r="D807" s="292"/>
      <c r="E807" s="292"/>
      <c r="F807" s="292"/>
      <c r="G807" s="292"/>
      <c r="H807" s="292"/>
      <c r="I807" s="292"/>
    </row>
    <row r="808" spans="3:9">
      <c r="C808" s="292"/>
      <c r="D808" s="292"/>
      <c r="E808" s="292"/>
      <c r="F808" s="292"/>
      <c r="G808" s="292"/>
      <c r="H808" s="292"/>
      <c r="I808" s="292"/>
    </row>
    <row r="809" spans="3:9">
      <c r="C809" s="292"/>
      <c r="D809" s="292"/>
      <c r="E809" s="292"/>
      <c r="F809" s="292"/>
      <c r="G809" s="292"/>
      <c r="H809" s="292"/>
      <c r="I809" s="292"/>
    </row>
    <row r="810" spans="3:9">
      <c r="C810" s="292"/>
      <c r="D810" s="292"/>
      <c r="E810" s="292"/>
      <c r="F810" s="292"/>
      <c r="G810" s="292"/>
      <c r="H810" s="292"/>
      <c r="I810" s="292"/>
    </row>
    <row r="811" spans="3:9">
      <c r="C811" s="292"/>
      <c r="D811" s="292"/>
      <c r="E811" s="292"/>
      <c r="F811" s="292"/>
      <c r="G811" s="292"/>
      <c r="H811" s="292"/>
      <c r="I811" s="292"/>
    </row>
    <row r="812" spans="3:9">
      <c r="C812" s="292"/>
      <c r="D812" s="292"/>
      <c r="E812" s="292"/>
      <c r="F812" s="292"/>
      <c r="G812" s="292"/>
      <c r="H812" s="292"/>
      <c r="I812" s="292"/>
    </row>
    <row r="813" spans="3:9">
      <c r="C813" s="292"/>
      <c r="D813" s="292"/>
      <c r="E813" s="292"/>
      <c r="F813" s="292"/>
      <c r="G813" s="292"/>
      <c r="H813" s="292"/>
      <c r="I813" s="292"/>
    </row>
    <row r="814" spans="3:9">
      <c r="C814" s="292"/>
      <c r="D814" s="292"/>
      <c r="E814" s="292"/>
      <c r="F814" s="292"/>
      <c r="G814" s="292"/>
      <c r="H814" s="292"/>
      <c r="I814" s="292"/>
    </row>
    <row r="815" spans="3:9">
      <c r="C815" s="292"/>
      <c r="D815" s="292"/>
      <c r="E815" s="292"/>
      <c r="F815" s="292"/>
      <c r="G815" s="292"/>
      <c r="H815" s="292"/>
      <c r="I815" s="292"/>
    </row>
    <row r="816" spans="3:9">
      <c r="C816" s="292"/>
      <c r="D816" s="292"/>
      <c r="E816" s="292"/>
      <c r="F816" s="292"/>
      <c r="G816" s="292"/>
      <c r="H816" s="292"/>
      <c r="I816" s="292"/>
    </row>
    <row r="817" spans="3:9">
      <c r="C817" s="292"/>
      <c r="D817" s="292"/>
      <c r="E817" s="292"/>
      <c r="F817" s="292"/>
      <c r="G817" s="292"/>
      <c r="H817" s="292"/>
      <c r="I817" s="292"/>
    </row>
    <row r="818" spans="3:9">
      <c r="C818" s="292"/>
      <c r="D818" s="292"/>
      <c r="E818" s="292"/>
      <c r="F818" s="292"/>
      <c r="G818" s="292"/>
      <c r="H818" s="292"/>
      <c r="I818" s="292"/>
    </row>
    <row r="819" spans="3:9">
      <c r="C819" s="292"/>
      <c r="D819" s="292"/>
      <c r="E819" s="292"/>
      <c r="F819" s="292"/>
      <c r="G819" s="292"/>
      <c r="H819" s="292"/>
      <c r="I819" s="292"/>
    </row>
    <row r="820" spans="3:9">
      <c r="C820" s="292"/>
      <c r="D820" s="292"/>
      <c r="E820" s="292"/>
      <c r="F820" s="292"/>
      <c r="G820" s="292"/>
      <c r="H820" s="292"/>
      <c r="I820" s="292"/>
    </row>
    <row r="821" spans="3:9">
      <c r="C821" s="292"/>
      <c r="D821" s="292"/>
      <c r="E821" s="292"/>
      <c r="F821" s="292"/>
      <c r="G821" s="292"/>
      <c r="H821" s="292"/>
      <c r="I821" s="292"/>
    </row>
    <row r="822" spans="3:9">
      <c r="C822" s="292"/>
      <c r="D822" s="292"/>
      <c r="E822" s="292"/>
      <c r="F822" s="292"/>
      <c r="G822" s="292"/>
      <c r="H822" s="292"/>
      <c r="I822" s="292"/>
    </row>
    <row r="823" spans="3:9">
      <c r="C823" s="292"/>
      <c r="D823" s="292"/>
      <c r="E823" s="292"/>
      <c r="F823" s="292"/>
      <c r="G823" s="292"/>
      <c r="H823" s="292"/>
      <c r="I823" s="292"/>
    </row>
    <row r="824" spans="3:9">
      <c r="C824" s="292"/>
      <c r="D824" s="292"/>
      <c r="E824" s="292"/>
      <c r="F824" s="292"/>
      <c r="G824" s="292"/>
      <c r="H824" s="292"/>
      <c r="I824" s="292"/>
    </row>
    <row r="825" spans="3:9">
      <c r="C825" s="292"/>
      <c r="D825" s="292"/>
      <c r="E825" s="292"/>
      <c r="F825" s="292"/>
      <c r="G825" s="292"/>
      <c r="H825" s="292"/>
      <c r="I825" s="292"/>
    </row>
    <row r="826" spans="3:9">
      <c r="C826" s="292"/>
      <c r="D826" s="292"/>
      <c r="E826" s="292"/>
      <c r="F826" s="292"/>
      <c r="G826" s="292"/>
      <c r="H826" s="292"/>
      <c r="I826" s="292"/>
    </row>
    <row r="827" spans="3:9">
      <c r="C827" s="292"/>
      <c r="D827" s="292"/>
      <c r="E827" s="292"/>
      <c r="F827" s="292"/>
      <c r="G827" s="292"/>
      <c r="H827" s="292"/>
      <c r="I827" s="292"/>
    </row>
    <row r="828" spans="3:9">
      <c r="C828" s="292"/>
      <c r="D828" s="292"/>
      <c r="E828" s="292"/>
      <c r="F828" s="292"/>
      <c r="G828" s="292"/>
      <c r="H828" s="292"/>
      <c r="I828" s="292"/>
    </row>
    <row r="829" spans="3:9">
      <c r="C829" s="292"/>
      <c r="D829" s="292"/>
      <c r="E829" s="292"/>
      <c r="F829" s="292"/>
      <c r="G829" s="292"/>
      <c r="H829" s="292"/>
      <c r="I829" s="292"/>
    </row>
    <row r="830" spans="3:9">
      <c r="C830" s="292"/>
      <c r="D830" s="292"/>
      <c r="E830" s="292"/>
      <c r="F830" s="292"/>
      <c r="G830" s="292"/>
      <c r="H830" s="292"/>
      <c r="I830" s="292"/>
    </row>
    <row r="831" spans="3:9">
      <c r="C831" s="292"/>
      <c r="D831" s="292"/>
      <c r="E831" s="292"/>
      <c r="F831" s="292"/>
      <c r="G831" s="292"/>
      <c r="H831" s="292"/>
      <c r="I831" s="292"/>
    </row>
    <row r="832" spans="3:9">
      <c r="C832" s="292"/>
      <c r="D832" s="292"/>
      <c r="E832" s="292"/>
      <c r="F832" s="292"/>
      <c r="G832" s="292"/>
      <c r="H832" s="292"/>
      <c r="I832" s="292"/>
    </row>
    <row r="833" spans="3:9">
      <c r="C833" s="292"/>
      <c r="D833" s="292"/>
      <c r="E833" s="292"/>
      <c r="F833" s="292"/>
      <c r="G833" s="292"/>
      <c r="H833" s="292"/>
      <c r="I833" s="292"/>
    </row>
    <row r="834" spans="3:9">
      <c r="C834" s="292"/>
      <c r="D834" s="292"/>
      <c r="E834" s="292"/>
      <c r="F834" s="292"/>
      <c r="G834" s="292"/>
      <c r="H834" s="292"/>
      <c r="I834" s="292"/>
    </row>
    <row r="835" spans="3:9">
      <c r="C835" s="292"/>
      <c r="D835" s="292"/>
      <c r="E835" s="292"/>
      <c r="F835" s="292"/>
      <c r="G835" s="292"/>
      <c r="H835" s="292"/>
      <c r="I835" s="292"/>
    </row>
    <row r="836" spans="3:9">
      <c r="C836" s="292"/>
      <c r="D836" s="292"/>
      <c r="E836" s="292"/>
      <c r="F836" s="292"/>
      <c r="G836" s="292"/>
      <c r="H836" s="292"/>
      <c r="I836" s="292"/>
    </row>
    <row r="837" spans="3:9">
      <c r="C837" s="294"/>
      <c r="D837" s="294"/>
      <c r="E837" s="294"/>
      <c r="F837" s="294"/>
      <c r="G837" s="294"/>
      <c r="H837" s="294"/>
      <c r="I837" s="294"/>
    </row>
    <row r="838" spans="3:9">
      <c r="C838" s="292"/>
      <c r="D838" s="292"/>
      <c r="E838" s="292"/>
      <c r="F838" s="292"/>
      <c r="G838" s="292"/>
      <c r="H838" s="292"/>
      <c r="I838" s="292"/>
    </row>
    <row r="839" spans="3:9">
      <c r="C839" s="292"/>
      <c r="D839" s="292"/>
      <c r="E839" s="292"/>
      <c r="F839" s="292"/>
      <c r="G839" s="292"/>
      <c r="H839" s="292"/>
      <c r="I839" s="292"/>
    </row>
    <row r="840" spans="3:9">
      <c r="C840" s="292"/>
      <c r="D840" s="292"/>
      <c r="E840" s="292"/>
      <c r="F840" s="292"/>
      <c r="G840" s="292"/>
      <c r="H840" s="292"/>
      <c r="I840" s="292"/>
    </row>
    <row r="841" spans="3:9">
      <c r="C841" s="292"/>
      <c r="D841" s="292"/>
      <c r="E841" s="292"/>
      <c r="F841" s="292"/>
      <c r="G841" s="292"/>
      <c r="H841" s="292"/>
      <c r="I841" s="292"/>
    </row>
    <row r="842" spans="3:9">
      <c r="C842" s="292"/>
      <c r="D842" s="292"/>
      <c r="E842" s="292"/>
      <c r="F842" s="292"/>
      <c r="G842" s="292"/>
      <c r="H842" s="292"/>
      <c r="I842" s="292"/>
    </row>
    <row r="843" spans="3:9">
      <c r="C843" s="292"/>
      <c r="D843" s="292"/>
      <c r="E843" s="292"/>
      <c r="F843" s="292"/>
      <c r="G843" s="292"/>
      <c r="H843" s="292"/>
      <c r="I843" s="292"/>
    </row>
    <row r="844" spans="3:9">
      <c r="C844" s="292"/>
      <c r="D844" s="292"/>
      <c r="E844" s="292"/>
      <c r="F844" s="292"/>
      <c r="G844" s="292"/>
      <c r="H844" s="292"/>
      <c r="I844" s="292"/>
    </row>
    <row r="845" spans="3:9">
      <c r="C845" s="292"/>
      <c r="D845" s="292"/>
      <c r="E845" s="292"/>
      <c r="F845" s="292"/>
      <c r="G845" s="292"/>
      <c r="H845" s="292"/>
      <c r="I845" s="292"/>
    </row>
    <row r="846" spans="3:9">
      <c r="C846" s="292"/>
      <c r="D846" s="292"/>
      <c r="E846" s="292"/>
      <c r="F846" s="292"/>
      <c r="G846" s="292"/>
      <c r="H846" s="292"/>
      <c r="I846" s="292"/>
    </row>
    <row r="847" spans="3:9">
      <c r="C847" s="292"/>
      <c r="D847" s="292"/>
      <c r="E847" s="292"/>
      <c r="F847" s="292"/>
      <c r="G847" s="292"/>
      <c r="H847" s="292"/>
      <c r="I847" s="292"/>
    </row>
    <row r="848" spans="3:9">
      <c r="C848" s="292"/>
      <c r="D848" s="292"/>
      <c r="E848" s="292"/>
      <c r="F848" s="292"/>
      <c r="G848" s="292"/>
      <c r="H848" s="292"/>
      <c r="I848" s="292"/>
    </row>
    <row r="849" spans="3:9">
      <c r="C849" s="292"/>
      <c r="D849" s="292"/>
      <c r="E849" s="292"/>
      <c r="F849" s="292"/>
      <c r="G849" s="292"/>
      <c r="H849" s="292"/>
      <c r="I849" s="292"/>
    </row>
    <row r="850" spans="3:9">
      <c r="C850" s="292"/>
      <c r="D850" s="292"/>
      <c r="E850" s="292"/>
      <c r="F850" s="292"/>
      <c r="G850" s="292"/>
      <c r="H850" s="292"/>
      <c r="I850" s="292"/>
    </row>
    <row r="851" spans="3:9">
      <c r="C851" s="292"/>
      <c r="D851" s="292"/>
      <c r="E851" s="292"/>
      <c r="F851" s="292"/>
      <c r="G851" s="292"/>
      <c r="H851" s="292"/>
      <c r="I851" s="292"/>
    </row>
    <row r="852" spans="3:9">
      <c r="C852" s="292"/>
      <c r="D852" s="292"/>
      <c r="E852" s="292"/>
      <c r="F852" s="292"/>
      <c r="G852" s="292"/>
      <c r="H852" s="292"/>
      <c r="I852" s="292"/>
    </row>
    <row r="853" spans="3:9">
      <c r="C853" s="292"/>
      <c r="D853" s="292"/>
      <c r="E853" s="292"/>
      <c r="F853" s="292"/>
      <c r="G853" s="292"/>
      <c r="H853" s="292"/>
      <c r="I853" s="292"/>
    </row>
    <row r="854" spans="3:9">
      <c r="C854" s="292"/>
      <c r="D854" s="292"/>
      <c r="E854" s="292"/>
      <c r="F854" s="292"/>
      <c r="G854" s="292"/>
      <c r="H854" s="292"/>
      <c r="I854" s="292"/>
    </row>
    <row r="855" spans="3:9">
      <c r="C855" s="292"/>
      <c r="D855" s="292"/>
      <c r="E855" s="292"/>
      <c r="F855" s="292"/>
      <c r="G855" s="292"/>
      <c r="H855" s="292"/>
      <c r="I855" s="292"/>
    </row>
    <row r="856" spans="3:9">
      <c r="C856" s="292"/>
      <c r="D856" s="292"/>
      <c r="E856" s="292"/>
      <c r="F856" s="292"/>
      <c r="G856" s="292"/>
      <c r="H856" s="292"/>
      <c r="I856" s="292"/>
    </row>
    <row r="857" spans="3:9">
      <c r="C857" s="292"/>
      <c r="D857" s="292"/>
      <c r="E857" s="292"/>
      <c r="F857" s="292"/>
      <c r="G857" s="292"/>
      <c r="H857" s="292"/>
      <c r="I857" s="292"/>
    </row>
    <row r="858" spans="3:9">
      <c r="C858" s="292"/>
      <c r="D858" s="292"/>
      <c r="E858" s="292"/>
      <c r="F858" s="292"/>
      <c r="G858" s="292"/>
      <c r="H858" s="292"/>
      <c r="I858" s="292"/>
    </row>
    <row r="859" spans="3:9">
      <c r="C859" s="292"/>
      <c r="D859" s="292"/>
      <c r="E859" s="292"/>
      <c r="F859" s="292"/>
      <c r="G859" s="292"/>
      <c r="H859" s="292"/>
      <c r="I859" s="292"/>
    </row>
    <row r="860" spans="3:9">
      <c r="C860" s="292"/>
      <c r="D860" s="292"/>
      <c r="E860" s="292"/>
      <c r="F860" s="292"/>
      <c r="G860" s="292"/>
      <c r="H860" s="292"/>
      <c r="I860" s="292"/>
    </row>
    <row r="861" spans="3:9">
      <c r="C861" s="292"/>
      <c r="D861" s="292"/>
      <c r="E861" s="292"/>
      <c r="F861" s="292"/>
      <c r="G861" s="292"/>
      <c r="H861" s="292"/>
      <c r="I861" s="292"/>
    </row>
    <row r="862" spans="3:9">
      <c r="C862" s="292"/>
      <c r="D862" s="292"/>
      <c r="E862" s="292"/>
      <c r="F862" s="292"/>
      <c r="G862" s="292"/>
      <c r="H862" s="292"/>
      <c r="I862" s="292"/>
    </row>
    <row r="863" spans="3:9">
      <c r="C863" s="292"/>
      <c r="D863" s="292"/>
      <c r="E863" s="292"/>
      <c r="F863" s="292"/>
      <c r="G863" s="292"/>
      <c r="H863" s="292"/>
      <c r="I863" s="292"/>
    </row>
    <row r="864" spans="3:9">
      <c r="C864" s="292"/>
      <c r="D864" s="292"/>
      <c r="E864" s="292"/>
      <c r="F864" s="292"/>
      <c r="G864" s="292"/>
      <c r="H864" s="292"/>
      <c r="I864" s="292"/>
    </row>
    <row r="865" spans="3:9">
      <c r="C865" s="292"/>
      <c r="D865" s="292"/>
      <c r="E865" s="292"/>
      <c r="F865" s="292"/>
      <c r="G865" s="292"/>
      <c r="H865" s="292"/>
      <c r="I865" s="292"/>
    </row>
    <row r="866" spans="3:9">
      <c r="C866" s="292"/>
      <c r="D866" s="292"/>
      <c r="E866" s="292"/>
      <c r="F866" s="292"/>
      <c r="G866" s="292"/>
      <c r="H866" s="292"/>
      <c r="I866" s="292"/>
    </row>
    <row r="867" spans="3:9">
      <c r="C867" s="292"/>
      <c r="D867" s="292"/>
      <c r="E867" s="292"/>
      <c r="F867" s="292"/>
      <c r="G867" s="292"/>
      <c r="H867" s="292"/>
      <c r="I867" s="292"/>
    </row>
    <row r="868" spans="3:9">
      <c r="C868" s="292"/>
      <c r="D868" s="292"/>
      <c r="E868" s="292"/>
      <c r="F868" s="292"/>
      <c r="G868" s="292"/>
      <c r="H868" s="292"/>
      <c r="I868" s="292"/>
    </row>
    <row r="869" spans="3:9">
      <c r="C869" s="292"/>
      <c r="D869" s="292"/>
      <c r="E869" s="292"/>
      <c r="F869" s="292"/>
      <c r="G869" s="292"/>
      <c r="H869" s="292"/>
      <c r="I869" s="292"/>
    </row>
    <row r="870" spans="3:9">
      <c r="C870" s="292"/>
      <c r="D870" s="292"/>
      <c r="E870" s="292"/>
      <c r="F870" s="292"/>
      <c r="G870" s="292"/>
      <c r="H870" s="292"/>
      <c r="I870" s="292"/>
    </row>
    <row r="871" spans="3:9">
      <c r="C871" s="292"/>
      <c r="D871" s="292"/>
      <c r="E871" s="292"/>
      <c r="F871" s="292"/>
      <c r="G871" s="292"/>
      <c r="H871" s="292"/>
      <c r="I871" s="292"/>
    </row>
    <row r="872" spans="3:9">
      <c r="C872" s="292"/>
      <c r="D872" s="292"/>
      <c r="E872" s="292"/>
      <c r="F872" s="292"/>
      <c r="G872" s="292"/>
      <c r="H872" s="292"/>
      <c r="I872" s="292"/>
    </row>
    <row r="873" spans="3:9">
      <c r="C873" s="292"/>
      <c r="D873" s="292"/>
      <c r="E873" s="292"/>
      <c r="F873" s="292"/>
      <c r="G873" s="292"/>
      <c r="H873" s="292"/>
      <c r="I873" s="292"/>
    </row>
    <row r="874" spans="3:9">
      <c r="C874" s="292"/>
      <c r="D874" s="292"/>
      <c r="E874" s="292"/>
      <c r="F874" s="292"/>
      <c r="G874" s="292"/>
      <c r="H874" s="292"/>
      <c r="I874" s="292"/>
    </row>
    <row r="875" spans="3:9">
      <c r="C875" s="292"/>
      <c r="D875" s="292"/>
      <c r="E875" s="292"/>
      <c r="F875" s="292"/>
      <c r="G875" s="292"/>
      <c r="H875" s="292"/>
      <c r="I875" s="292"/>
    </row>
    <row r="876" spans="3:9">
      <c r="C876" s="292"/>
      <c r="D876" s="292"/>
      <c r="E876" s="292"/>
      <c r="F876" s="292"/>
      <c r="G876" s="292"/>
      <c r="H876" s="292"/>
      <c r="I876" s="292"/>
    </row>
    <row r="877" spans="3:9">
      <c r="C877" s="292"/>
      <c r="D877" s="292"/>
      <c r="E877" s="292"/>
      <c r="F877" s="292"/>
      <c r="G877" s="292"/>
      <c r="H877" s="292"/>
      <c r="I877" s="292"/>
    </row>
    <row r="878" spans="3:9">
      <c r="C878" s="292"/>
      <c r="D878" s="292"/>
      <c r="E878" s="292"/>
      <c r="F878" s="292"/>
      <c r="G878" s="292"/>
      <c r="H878" s="292"/>
      <c r="I878" s="292"/>
    </row>
    <row r="879" spans="3:9">
      <c r="C879" s="292"/>
      <c r="D879" s="292"/>
      <c r="E879" s="292"/>
      <c r="F879" s="292"/>
      <c r="G879" s="292"/>
      <c r="H879" s="292"/>
      <c r="I879" s="292"/>
    </row>
    <row r="880" spans="3:9">
      <c r="C880" s="292"/>
      <c r="D880" s="292"/>
      <c r="E880" s="292"/>
      <c r="F880" s="292"/>
      <c r="G880" s="292"/>
      <c r="H880" s="292"/>
      <c r="I880" s="292"/>
    </row>
    <row r="881" spans="3:9">
      <c r="C881" s="292"/>
      <c r="D881" s="292"/>
      <c r="E881" s="292"/>
      <c r="F881" s="292"/>
      <c r="G881" s="292"/>
      <c r="H881" s="292"/>
      <c r="I881" s="292"/>
    </row>
    <row r="882" spans="3:9">
      <c r="C882" s="292"/>
      <c r="D882" s="292"/>
      <c r="E882" s="292"/>
      <c r="F882" s="292"/>
      <c r="G882" s="292"/>
      <c r="H882" s="292"/>
      <c r="I882" s="292"/>
    </row>
    <row r="883" spans="3:9">
      <c r="C883" s="292"/>
      <c r="D883" s="292"/>
      <c r="E883" s="292"/>
      <c r="F883" s="292"/>
      <c r="G883" s="292"/>
      <c r="H883" s="292"/>
      <c r="I883" s="292"/>
    </row>
    <row r="884" spans="3:9">
      <c r="C884" s="292"/>
      <c r="D884" s="292"/>
      <c r="E884" s="292"/>
      <c r="F884" s="292"/>
      <c r="G884" s="292"/>
      <c r="H884" s="292"/>
      <c r="I884" s="292"/>
    </row>
    <row r="885" spans="3:9">
      <c r="C885" s="292"/>
      <c r="D885" s="292"/>
      <c r="E885" s="292"/>
      <c r="F885" s="292"/>
      <c r="G885" s="292"/>
      <c r="H885" s="292"/>
      <c r="I885" s="292"/>
    </row>
    <row r="886" spans="3:9">
      <c r="C886" s="292"/>
      <c r="D886" s="292"/>
      <c r="E886" s="292"/>
      <c r="F886" s="292"/>
      <c r="G886" s="292"/>
      <c r="H886" s="292"/>
      <c r="I886" s="292"/>
    </row>
    <row r="887" spans="3:9">
      <c r="C887" s="292"/>
      <c r="D887" s="292"/>
      <c r="E887" s="292"/>
      <c r="F887" s="292"/>
      <c r="G887" s="292"/>
      <c r="H887" s="292"/>
      <c r="I887" s="292"/>
    </row>
    <row r="888" spans="3:9">
      <c r="C888" s="292"/>
      <c r="D888" s="292"/>
      <c r="E888" s="292"/>
      <c r="F888" s="292"/>
      <c r="G888" s="292"/>
      <c r="H888" s="292"/>
      <c r="I888" s="292"/>
    </row>
    <row r="889" spans="3:9">
      <c r="C889" s="292"/>
      <c r="D889" s="292"/>
      <c r="E889" s="292"/>
      <c r="F889" s="292"/>
      <c r="G889" s="292"/>
      <c r="H889" s="292"/>
      <c r="I889" s="292"/>
    </row>
    <row r="890" spans="3:9">
      <c r="C890" s="292"/>
      <c r="D890" s="292"/>
      <c r="E890" s="292"/>
      <c r="F890" s="292"/>
      <c r="G890" s="292"/>
      <c r="H890" s="292"/>
      <c r="I890" s="292"/>
    </row>
    <row r="891" spans="3:9">
      <c r="C891" s="292"/>
      <c r="D891" s="292"/>
      <c r="E891" s="292"/>
      <c r="F891" s="292"/>
      <c r="G891" s="292"/>
      <c r="H891" s="292"/>
      <c r="I891" s="292"/>
    </row>
    <row r="892" spans="3:9">
      <c r="C892" s="292"/>
      <c r="D892" s="292"/>
      <c r="E892" s="292"/>
      <c r="F892" s="292"/>
      <c r="G892" s="292"/>
      <c r="H892" s="292"/>
      <c r="I892" s="292"/>
    </row>
    <row r="893" spans="3:9">
      <c r="C893" s="292"/>
      <c r="D893" s="292"/>
      <c r="E893" s="292"/>
      <c r="F893" s="292"/>
      <c r="G893" s="292"/>
      <c r="H893" s="292"/>
      <c r="I893" s="292"/>
    </row>
    <row r="894" spans="3:9">
      <c r="C894" s="292"/>
      <c r="D894" s="292"/>
      <c r="E894" s="292"/>
      <c r="F894" s="292"/>
      <c r="G894" s="292"/>
      <c r="H894" s="292"/>
      <c r="I894" s="292"/>
    </row>
    <row r="895" spans="3:9">
      <c r="C895" s="292"/>
      <c r="D895" s="292"/>
      <c r="E895" s="292"/>
      <c r="F895" s="292"/>
      <c r="G895" s="292"/>
      <c r="H895" s="292"/>
      <c r="I895" s="292"/>
    </row>
    <row r="896" spans="3:9">
      <c r="C896" s="292"/>
      <c r="D896" s="292"/>
      <c r="E896" s="292"/>
      <c r="F896" s="292"/>
      <c r="G896" s="292"/>
      <c r="H896" s="292"/>
      <c r="I896" s="292"/>
    </row>
    <row r="897" spans="3:9">
      <c r="C897" s="292"/>
      <c r="D897" s="292"/>
      <c r="E897" s="292"/>
      <c r="F897" s="292"/>
      <c r="G897" s="292"/>
      <c r="H897" s="292"/>
      <c r="I897" s="292"/>
    </row>
    <row r="898" spans="3:9">
      <c r="C898" s="292"/>
      <c r="D898" s="292"/>
      <c r="E898" s="292"/>
      <c r="F898" s="292"/>
      <c r="G898" s="292"/>
      <c r="H898" s="292"/>
      <c r="I898" s="292"/>
    </row>
    <row r="899" spans="3:9">
      <c r="C899" s="292"/>
      <c r="D899" s="292"/>
      <c r="E899" s="292"/>
      <c r="F899" s="292"/>
      <c r="G899" s="292"/>
      <c r="H899" s="292"/>
      <c r="I899" s="292"/>
    </row>
    <row r="900" spans="3:9">
      <c r="C900" s="292"/>
      <c r="D900" s="292"/>
      <c r="E900" s="292"/>
      <c r="F900" s="292"/>
      <c r="G900" s="292"/>
      <c r="H900" s="292"/>
      <c r="I900" s="292"/>
    </row>
    <row r="901" spans="3:9">
      <c r="C901" s="292"/>
      <c r="D901" s="292"/>
      <c r="E901" s="292"/>
      <c r="F901" s="292"/>
      <c r="G901" s="292"/>
      <c r="H901" s="292"/>
      <c r="I901" s="292"/>
    </row>
    <row r="902" spans="3:9">
      <c r="C902" s="292"/>
      <c r="D902" s="292"/>
      <c r="E902" s="292"/>
      <c r="F902" s="292"/>
      <c r="G902" s="292"/>
      <c r="H902" s="292"/>
      <c r="I902" s="292"/>
    </row>
    <row r="903" spans="3:9">
      <c r="C903" s="292"/>
      <c r="D903" s="292"/>
      <c r="E903" s="292"/>
      <c r="F903" s="292"/>
      <c r="G903" s="292"/>
      <c r="H903" s="292"/>
      <c r="I903" s="292"/>
    </row>
    <row r="904" spans="3:9">
      <c r="C904" s="292"/>
      <c r="D904" s="292"/>
      <c r="E904" s="292"/>
      <c r="F904" s="292"/>
      <c r="G904" s="292"/>
      <c r="H904" s="292"/>
      <c r="I904" s="292"/>
    </row>
    <row r="905" spans="3:9">
      <c r="C905" s="292"/>
      <c r="D905" s="292"/>
      <c r="E905" s="292"/>
      <c r="F905" s="292"/>
      <c r="G905" s="292"/>
      <c r="H905" s="292"/>
      <c r="I905" s="292"/>
    </row>
    <row r="906" spans="3:9">
      <c r="C906" s="292"/>
      <c r="D906" s="292"/>
      <c r="E906" s="292"/>
      <c r="F906" s="292"/>
      <c r="G906" s="292"/>
      <c r="H906" s="292"/>
      <c r="I906" s="292"/>
    </row>
    <row r="907" spans="3:9">
      <c r="C907" s="292"/>
      <c r="D907" s="292"/>
      <c r="E907" s="292"/>
      <c r="F907" s="292"/>
      <c r="G907" s="292"/>
      <c r="H907" s="292"/>
      <c r="I907" s="292"/>
    </row>
    <row r="908" spans="3:9">
      <c r="C908" s="292"/>
      <c r="D908" s="292"/>
      <c r="E908" s="292"/>
      <c r="F908" s="292"/>
      <c r="G908" s="292"/>
      <c r="H908" s="292"/>
      <c r="I908" s="292"/>
    </row>
    <row r="909" spans="3:9">
      <c r="C909" s="292"/>
      <c r="D909" s="292"/>
      <c r="E909" s="292"/>
      <c r="F909" s="292"/>
      <c r="G909" s="292"/>
      <c r="H909" s="292"/>
      <c r="I909" s="292"/>
    </row>
    <row r="910" spans="3:9">
      <c r="C910" s="292"/>
      <c r="D910" s="292"/>
      <c r="E910" s="292"/>
      <c r="F910" s="292"/>
      <c r="G910" s="292"/>
      <c r="H910" s="292"/>
      <c r="I910" s="292"/>
    </row>
    <row r="911" spans="3:9">
      <c r="C911" s="292"/>
      <c r="D911" s="292"/>
      <c r="E911" s="292"/>
      <c r="F911" s="292"/>
      <c r="G911" s="292"/>
      <c r="H911" s="292"/>
      <c r="I911" s="292"/>
    </row>
    <row r="912" spans="3:9">
      <c r="C912" s="292"/>
      <c r="D912" s="292"/>
      <c r="E912" s="292"/>
      <c r="F912" s="292"/>
      <c r="G912" s="292"/>
      <c r="H912" s="292"/>
      <c r="I912" s="292"/>
    </row>
    <row r="913" spans="3:9">
      <c r="C913" s="292"/>
      <c r="D913" s="292"/>
      <c r="E913" s="292"/>
      <c r="F913" s="292"/>
      <c r="G913" s="292"/>
      <c r="H913" s="292"/>
      <c r="I913" s="292"/>
    </row>
    <row r="914" spans="3:9">
      <c r="C914" s="292"/>
      <c r="D914" s="292"/>
      <c r="E914" s="292"/>
      <c r="F914" s="292"/>
      <c r="G914" s="292"/>
      <c r="H914" s="292"/>
      <c r="I914" s="292"/>
    </row>
    <row r="915" spans="3:9">
      <c r="C915" s="292"/>
      <c r="D915" s="292"/>
      <c r="E915" s="292"/>
      <c r="F915" s="292"/>
      <c r="G915" s="292"/>
      <c r="H915" s="292"/>
      <c r="I915" s="292"/>
    </row>
    <row r="916" spans="3:9">
      <c r="C916" s="292"/>
      <c r="D916" s="292"/>
      <c r="E916" s="292"/>
      <c r="F916" s="292"/>
      <c r="G916" s="292"/>
      <c r="H916" s="292"/>
      <c r="I916" s="292"/>
    </row>
    <row r="917" spans="3:9">
      <c r="C917" s="292"/>
      <c r="D917" s="292"/>
      <c r="E917" s="292"/>
      <c r="F917" s="292"/>
      <c r="G917" s="292"/>
      <c r="H917" s="292"/>
      <c r="I917" s="292"/>
    </row>
    <row r="918" spans="3:9">
      <c r="C918" s="292"/>
      <c r="D918" s="292"/>
      <c r="E918" s="292"/>
      <c r="F918" s="292"/>
      <c r="G918" s="292"/>
      <c r="H918" s="292"/>
      <c r="I918" s="292"/>
    </row>
    <row r="919" spans="3:9">
      <c r="C919" s="292"/>
      <c r="D919" s="292"/>
      <c r="E919" s="292"/>
      <c r="F919" s="292"/>
      <c r="G919" s="292"/>
      <c r="H919" s="292"/>
      <c r="I919" s="292"/>
    </row>
    <row r="920" spans="3:9">
      <c r="C920" s="292"/>
      <c r="D920" s="292"/>
      <c r="E920" s="292"/>
      <c r="F920" s="292"/>
      <c r="G920" s="292"/>
      <c r="H920" s="292"/>
      <c r="I920" s="292"/>
    </row>
    <row r="921" spans="3:9">
      <c r="C921" s="292"/>
      <c r="D921" s="292"/>
      <c r="E921" s="292"/>
      <c r="F921" s="292"/>
      <c r="G921" s="292"/>
      <c r="H921" s="292"/>
      <c r="I921" s="292"/>
    </row>
    <row r="922" spans="3:9">
      <c r="C922" s="292"/>
      <c r="D922" s="292"/>
      <c r="E922" s="292"/>
      <c r="F922" s="292"/>
      <c r="G922" s="292"/>
      <c r="H922" s="292"/>
      <c r="I922" s="292"/>
    </row>
    <row r="923" spans="3:9">
      <c r="C923" s="292"/>
      <c r="D923" s="292"/>
      <c r="E923" s="292"/>
      <c r="F923" s="292"/>
      <c r="G923" s="292"/>
      <c r="H923" s="292"/>
      <c r="I923" s="292"/>
    </row>
    <row r="924" spans="3:9">
      <c r="C924" s="292"/>
      <c r="D924" s="292"/>
      <c r="E924" s="292"/>
      <c r="F924" s="292"/>
      <c r="G924" s="292"/>
      <c r="H924" s="292"/>
      <c r="I924" s="292"/>
    </row>
    <row r="925" spans="3:9">
      <c r="C925" s="292"/>
      <c r="D925" s="292"/>
      <c r="E925" s="292"/>
      <c r="F925" s="292"/>
      <c r="G925" s="292"/>
      <c r="H925" s="292"/>
      <c r="I925" s="292"/>
    </row>
    <row r="926" spans="3:9">
      <c r="C926" s="292"/>
      <c r="D926" s="292"/>
      <c r="E926" s="292"/>
      <c r="F926" s="292"/>
      <c r="G926" s="292"/>
      <c r="H926" s="292"/>
      <c r="I926" s="292"/>
    </row>
    <row r="927" spans="3:9">
      <c r="C927" s="292"/>
      <c r="D927" s="292"/>
      <c r="E927" s="292"/>
      <c r="F927" s="292"/>
      <c r="G927" s="292"/>
      <c r="H927" s="292"/>
      <c r="I927" s="292"/>
    </row>
    <row r="928" spans="3:9">
      <c r="C928" s="292"/>
      <c r="D928" s="292"/>
      <c r="E928" s="292"/>
      <c r="F928" s="292"/>
      <c r="G928" s="292"/>
      <c r="H928" s="292"/>
      <c r="I928" s="292"/>
    </row>
    <row r="929" spans="3:9">
      <c r="C929" s="292"/>
      <c r="D929" s="292"/>
      <c r="E929" s="292"/>
      <c r="F929" s="292"/>
      <c r="G929" s="292"/>
      <c r="H929" s="292"/>
      <c r="I929" s="292"/>
    </row>
    <row r="930" spans="3:9">
      <c r="C930" s="292"/>
      <c r="D930" s="292"/>
      <c r="E930" s="292"/>
      <c r="F930" s="292"/>
      <c r="G930" s="292"/>
      <c r="H930" s="292"/>
      <c r="I930" s="292"/>
    </row>
    <row r="931" spans="3:9">
      <c r="C931" s="292"/>
      <c r="D931" s="292"/>
      <c r="E931" s="292"/>
      <c r="F931" s="292"/>
      <c r="G931" s="292"/>
      <c r="H931" s="292"/>
      <c r="I931" s="292"/>
    </row>
    <row r="932" spans="3:9">
      <c r="C932" s="294"/>
      <c r="D932" s="294"/>
      <c r="E932" s="294"/>
      <c r="F932" s="294"/>
      <c r="G932" s="294"/>
      <c r="H932" s="294"/>
      <c r="I932" s="294"/>
    </row>
    <row r="933" spans="3:9">
      <c r="C933" s="292"/>
      <c r="D933" s="292"/>
      <c r="E933" s="292"/>
      <c r="F933" s="292"/>
      <c r="G933" s="292"/>
      <c r="H933" s="292"/>
      <c r="I933" s="292"/>
    </row>
    <row r="934" spans="3:9">
      <c r="C934" s="292"/>
      <c r="D934" s="292"/>
      <c r="E934" s="292"/>
      <c r="F934" s="292"/>
      <c r="G934" s="292"/>
      <c r="H934" s="292"/>
      <c r="I934" s="292"/>
    </row>
    <row r="935" spans="3:9">
      <c r="C935" s="292"/>
      <c r="D935" s="292"/>
      <c r="E935" s="292"/>
      <c r="F935" s="292"/>
      <c r="G935" s="292"/>
      <c r="H935" s="292"/>
      <c r="I935" s="292"/>
    </row>
    <row r="936" spans="3:9">
      <c r="C936" s="292"/>
      <c r="D936" s="292"/>
      <c r="E936" s="292"/>
      <c r="F936" s="292"/>
      <c r="G936" s="292"/>
      <c r="H936" s="292"/>
      <c r="I936" s="292"/>
    </row>
    <row r="937" spans="3:9">
      <c r="C937" s="292"/>
      <c r="D937" s="292"/>
      <c r="E937" s="292"/>
      <c r="F937" s="292"/>
      <c r="G937" s="292"/>
      <c r="H937" s="292"/>
      <c r="I937" s="292"/>
    </row>
    <row r="938" spans="3:9">
      <c r="C938" s="292"/>
      <c r="D938" s="292"/>
      <c r="E938" s="292"/>
      <c r="F938" s="292"/>
      <c r="G938" s="292"/>
      <c r="H938" s="292"/>
      <c r="I938" s="292"/>
    </row>
    <row r="939" spans="3:9">
      <c r="C939" s="292"/>
      <c r="D939" s="292"/>
      <c r="E939" s="292"/>
      <c r="F939" s="292"/>
      <c r="G939" s="292"/>
      <c r="H939" s="292"/>
      <c r="I939" s="292"/>
    </row>
    <row r="940" spans="3:9">
      <c r="C940" s="292"/>
      <c r="D940" s="292"/>
      <c r="E940" s="292"/>
      <c r="F940" s="292"/>
      <c r="G940" s="292"/>
      <c r="H940" s="292"/>
      <c r="I940" s="292"/>
    </row>
    <row r="941" spans="3:9">
      <c r="C941" s="292"/>
      <c r="D941" s="292"/>
      <c r="E941" s="292"/>
      <c r="F941" s="292"/>
      <c r="G941" s="292"/>
      <c r="H941" s="292"/>
      <c r="I941" s="292"/>
    </row>
    <row r="942" spans="3:9">
      <c r="C942" s="292"/>
      <c r="D942" s="292"/>
      <c r="E942" s="292"/>
      <c r="F942" s="292"/>
      <c r="G942" s="292"/>
      <c r="H942" s="292"/>
      <c r="I942" s="292"/>
    </row>
    <row r="943" spans="3:9">
      <c r="C943" s="292"/>
      <c r="D943" s="292"/>
      <c r="E943" s="292"/>
      <c r="F943" s="292"/>
      <c r="G943" s="292"/>
      <c r="H943" s="292"/>
      <c r="I943" s="292"/>
    </row>
    <row r="944" spans="3:9">
      <c r="C944" s="292"/>
      <c r="D944" s="292"/>
      <c r="E944" s="292"/>
      <c r="F944" s="292"/>
      <c r="G944" s="292"/>
      <c r="H944" s="292"/>
      <c r="I944" s="292"/>
    </row>
    <row r="945" spans="3:9">
      <c r="C945" s="292"/>
      <c r="D945" s="292"/>
      <c r="E945" s="292"/>
      <c r="F945" s="292"/>
      <c r="G945" s="292"/>
      <c r="H945" s="292"/>
      <c r="I945" s="292"/>
    </row>
    <row r="946" spans="3:9">
      <c r="C946" s="292"/>
      <c r="D946" s="292"/>
      <c r="E946" s="292"/>
      <c r="F946" s="292"/>
      <c r="G946" s="292"/>
      <c r="H946" s="292"/>
      <c r="I946" s="292"/>
    </row>
    <row r="947" spans="3:9">
      <c r="C947" s="292"/>
      <c r="D947" s="292"/>
      <c r="E947" s="292"/>
      <c r="F947" s="292"/>
      <c r="G947" s="292"/>
      <c r="H947" s="292"/>
      <c r="I947" s="292"/>
    </row>
    <row r="948" spans="3:9">
      <c r="C948" s="292"/>
      <c r="D948" s="292"/>
      <c r="E948" s="292"/>
      <c r="F948" s="292"/>
      <c r="G948" s="292"/>
      <c r="H948" s="292"/>
      <c r="I948" s="292"/>
    </row>
    <row r="949" spans="3:9">
      <c r="C949" s="292"/>
      <c r="D949" s="292"/>
      <c r="E949" s="292"/>
      <c r="F949" s="292"/>
      <c r="G949" s="292"/>
      <c r="H949" s="292"/>
      <c r="I949" s="292"/>
    </row>
    <row r="950" spans="3:9">
      <c r="C950" s="292"/>
      <c r="D950" s="292"/>
      <c r="E950" s="292"/>
      <c r="F950" s="292"/>
      <c r="G950" s="292"/>
      <c r="H950" s="292"/>
      <c r="I950" s="292"/>
    </row>
    <row r="951" spans="3:9">
      <c r="C951" s="292"/>
      <c r="D951" s="292"/>
      <c r="E951" s="292"/>
      <c r="F951" s="292"/>
      <c r="G951" s="292"/>
      <c r="H951" s="292"/>
      <c r="I951" s="292"/>
    </row>
    <row r="952" spans="3:9">
      <c r="C952" s="292"/>
      <c r="D952" s="292"/>
      <c r="E952" s="292"/>
      <c r="F952" s="292"/>
      <c r="G952" s="292"/>
      <c r="H952" s="292"/>
      <c r="I952" s="292"/>
    </row>
    <row r="953" spans="3:9">
      <c r="C953" s="292"/>
      <c r="D953" s="292"/>
      <c r="E953" s="292"/>
      <c r="F953" s="292"/>
      <c r="G953" s="292"/>
      <c r="H953" s="292"/>
      <c r="I953" s="292"/>
    </row>
    <row r="954" spans="3:9">
      <c r="C954" s="292"/>
      <c r="D954" s="292"/>
      <c r="E954" s="292"/>
      <c r="F954" s="292"/>
      <c r="G954" s="292"/>
      <c r="H954" s="292"/>
      <c r="I954" s="292"/>
    </row>
    <row r="955" spans="3:9">
      <c r="C955" s="292"/>
      <c r="D955" s="292"/>
      <c r="E955" s="292"/>
      <c r="F955" s="292"/>
      <c r="G955" s="292"/>
      <c r="H955" s="292"/>
      <c r="I955" s="292"/>
    </row>
    <row r="956" spans="3:9">
      <c r="C956" s="292"/>
      <c r="D956" s="292"/>
      <c r="E956" s="292"/>
      <c r="F956" s="292"/>
      <c r="G956" s="292"/>
      <c r="H956" s="292"/>
      <c r="I956" s="292"/>
    </row>
    <row r="957" spans="3:9">
      <c r="C957" s="292"/>
      <c r="D957" s="292"/>
      <c r="E957" s="292"/>
      <c r="F957" s="292"/>
      <c r="G957" s="292"/>
      <c r="H957" s="292"/>
      <c r="I957" s="292"/>
    </row>
    <row r="958" spans="3:9">
      <c r="C958" s="292"/>
      <c r="D958" s="292"/>
      <c r="E958" s="292"/>
      <c r="F958" s="292"/>
      <c r="G958" s="292"/>
      <c r="H958" s="292"/>
      <c r="I958" s="292"/>
    </row>
    <row r="959" spans="3:9">
      <c r="C959" s="292"/>
      <c r="D959" s="292"/>
      <c r="E959" s="292"/>
      <c r="F959" s="292"/>
      <c r="G959" s="292"/>
      <c r="H959" s="292"/>
      <c r="I959" s="292"/>
    </row>
    <row r="960" spans="3:9">
      <c r="C960" s="292"/>
      <c r="D960" s="292"/>
      <c r="E960" s="292"/>
      <c r="F960" s="292"/>
      <c r="G960" s="292"/>
      <c r="H960" s="292"/>
      <c r="I960" s="292"/>
    </row>
    <row r="961" spans="3:9">
      <c r="C961" s="292"/>
      <c r="D961" s="292"/>
      <c r="E961" s="292"/>
      <c r="F961" s="292"/>
      <c r="G961" s="292"/>
      <c r="H961" s="292"/>
      <c r="I961" s="292"/>
    </row>
    <row r="962" spans="3:9">
      <c r="C962" s="292"/>
      <c r="D962" s="292"/>
      <c r="E962" s="292"/>
      <c r="F962" s="292"/>
      <c r="G962" s="292"/>
      <c r="H962" s="292"/>
      <c r="I962" s="292"/>
    </row>
    <row r="963" spans="3:9">
      <c r="C963" s="292"/>
      <c r="D963" s="292"/>
      <c r="E963" s="292"/>
      <c r="F963" s="292"/>
      <c r="G963" s="292"/>
      <c r="H963" s="292"/>
      <c r="I963" s="292"/>
    </row>
    <row r="964" spans="3:9">
      <c r="C964" s="292"/>
      <c r="D964" s="292"/>
      <c r="E964" s="292"/>
      <c r="F964" s="292"/>
      <c r="G964" s="292"/>
      <c r="H964" s="292"/>
      <c r="I964" s="292"/>
    </row>
    <row r="965" spans="3:9">
      <c r="C965" s="292"/>
      <c r="D965" s="292"/>
      <c r="E965" s="292"/>
      <c r="F965" s="292"/>
      <c r="G965" s="292"/>
      <c r="H965" s="292"/>
      <c r="I965" s="292"/>
    </row>
    <row r="966" spans="3:9">
      <c r="C966" s="292"/>
      <c r="D966" s="292"/>
      <c r="E966" s="292"/>
      <c r="F966" s="292"/>
      <c r="G966" s="292"/>
      <c r="H966" s="292"/>
      <c r="I966" s="292"/>
    </row>
    <row r="967" spans="3:9">
      <c r="C967" s="292"/>
      <c r="D967" s="292"/>
      <c r="E967" s="292"/>
      <c r="F967" s="292"/>
      <c r="G967" s="292"/>
      <c r="H967" s="292"/>
      <c r="I967" s="292"/>
    </row>
    <row r="968" spans="3:9">
      <c r="C968" s="292"/>
      <c r="D968" s="292"/>
      <c r="E968" s="292"/>
      <c r="F968" s="292"/>
      <c r="G968" s="292"/>
      <c r="H968" s="292"/>
      <c r="I968" s="292"/>
    </row>
    <row r="969" spans="3:9">
      <c r="C969" s="292"/>
      <c r="D969" s="292"/>
      <c r="E969" s="292"/>
      <c r="F969" s="292"/>
      <c r="G969" s="292"/>
      <c r="H969" s="292"/>
      <c r="I969" s="292"/>
    </row>
    <row r="970" spans="3:9">
      <c r="C970" s="292"/>
      <c r="D970" s="292"/>
      <c r="E970" s="292"/>
      <c r="F970" s="292"/>
      <c r="G970" s="292"/>
      <c r="H970" s="292"/>
      <c r="I970" s="292"/>
    </row>
    <row r="971" spans="3:9">
      <c r="C971" s="292"/>
      <c r="D971" s="292"/>
      <c r="E971" s="292"/>
      <c r="F971" s="292"/>
      <c r="G971" s="292"/>
      <c r="H971" s="292"/>
      <c r="I971" s="292"/>
    </row>
    <row r="972" spans="3:9">
      <c r="C972" s="292"/>
      <c r="D972" s="292"/>
      <c r="E972" s="292"/>
      <c r="F972" s="292"/>
      <c r="G972" s="292"/>
      <c r="H972" s="292"/>
      <c r="I972" s="292"/>
    </row>
    <row r="973" spans="3:9">
      <c r="C973" s="292"/>
      <c r="D973" s="292"/>
      <c r="E973" s="292"/>
      <c r="F973" s="292"/>
      <c r="G973" s="292"/>
      <c r="H973" s="292"/>
      <c r="I973" s="292"/>
    </row>
    <row r="974" spans="3:9">
      <c r="C974" s="292"/>
      <c r="D974" s="292"/>
      <c r="E974" s="292"/>
      <c r="F974" s="292"/>
      <c r="G974" s="292"/>
      <c r="H974" s="292"/>
      <c r="I974" s="292"/>
    </row>
    <row r="975" spans="3:9">
      <c r="C975" s="292"/>
      <c r="D975" s="292"/>
      <c r="E975" s="292"/>
      <c r="F975" s="292"/>
      <c r="G975" s="292"/>
      <c r="H975" s="292"/>
      <c r="I975" s="292"/>
    </row>
    <row r="976" spans="3:9">
      <c r="C976" s="292"/>
      <c r="D976" s="292"/>
      <c r="E976" s="292"/>
      <c r="F976" s="292"/>
      <c r="G976" s="292"/>
      <c r="H976" s="292"/>
      <c r="I976" s="292"/>
    </row>
    <row r="977" spans="3:9">
      <c r="C977" s="292"/>
      <c r="D977" s="292"/>
      <c r="E977" s="292"/>
      <c r="F977" s="292"/>
      <c r="G977" s="292"/>
      <c r="H977" s="292"/>
      <c r="I977" s="292"/>
    </row>
    <row r="978" spans="3:9">
      <c r="C978" s="292"/>
      <c r="D978" s="292"/>
      <c r="E978" s="292"/>
      <c r="F978" s="292"/>
      <c r="G978" s="292"/>
      <c r="H978" s="292"/>
      <c r="I978" s="292"/>
    </row>
    <row r="979" spans="3:9">
      <c r="C979" s="292"/>
      <c r="D979" s="292"/>
      <c r="E979" s="292"/>
      <c r="F979" s="292"/>
      <c r="G979" s="292"/>
      <c r="H979" s="292"/>
      <c r="I979" s="292"/>
    </row>
    <row r="980" spans="3:9">
      <c r="C980" s="292"/>
      <c r="D980" s="292"/>
      <c r="E980" s="292"/>
      <c r="F980" s="292"/>
      <c r="G980" s="292"/>
      <c r="H980" s="292"/>
      <c r="I980" s="292"/>
    </row>
    <row r="981" spans="3:9">
      <c r="C981" s="292"/>
      <c r="D981" s="292"/>
      <c r="E981" s="292"/>
      <c r="F981" s="292"/>
      <c r="G981" s="292"/>
      <c r="H981" s="292"/>
      <c r="I981" s="292"/>
    </row>
    <row r="982" spans="3:9">
      <c r="C982" s="292"/>
      <c r="D982" s="292"/>
      <c r="E982" s="292"/>
      <c r="F982" s="292"/>
      <c r="G982" s="292"/>
      <c r="H982" s="292"/>
      <c r="I982" s="292"/>
    </row>
    <row r="983" spans="3:9">
      <c r="C983" s="292"/>
      <c r="D983" s="292"/>
      <c r="E983" s="292"/>
      <c r="F983" s="292"/>
      <c r="G983" s="292"/>
      <c r="H983" s="292"/>
      <c r="I983" s="292"/>
    </row>
    <row r="984" spans="3:9">
      <c r="C984" s="292"/>
      <c r="D984" s="292"/>
      <c r="E984" s="292"/>
      <c r="F984" s="292"/>
      <c r="G984" s="292"/>
      <c r="H984" s="292"/>
      <c r="I984" s="292"/>
    </row>
    <row r="985" spans="3:9">
      <c r="C985" s="292"/>
      <c r="D985" s="292"/>
      <c r="E985" s="292"/>
      <c r="F985" s="292"/>
      <c r="G985" s="292"/>
      <c r="H985" s="292"/>
      <c r="I985" s="292"/>
    </row>
    <row r="986" spans="3:9">
      <c r="C986" s="292"/>
      <c r="D986" s="292"/>
      <c r="E986" s="292"/>
      <c r="F986" s="292"/>
      <c r="G986" s="292"/>
      <c r="H986" s="292"/>
      <c r="I986" s="292"/>
    </row>
    <row r="987" spans="3:9">
      <c r="C987" s="292"/>
      <c r="D987" s="292"/>
      <c r="E987" s="292"/>
      <c r="F987" s="292"/>
      <c r="G987" s="292"/>
      <c r="H987" s="292"/>
      <c r="I987" s="292"/>
    </row>
    <row r="988" spans="3:9">
      <c r="C988" s="292"/>
      <c r="D988" s="292"/>
      <c r="E988" s="292"/>
      <c r="F988" s="292"/>
      <c r="G988" s="292"/>
      <c r="H988" s="292"/>
      <c r="I988" s="292"/>
    </row>
    <row r="989" spans="3:9">
      <c r="C989" s="292"/>
      <c r="D989" s="292"/>
      <c r="E989" s="292"/>
      <c r="F989" s="292"/>
      <c r="G989" s="292"/>
      <c r="H989" s="292"/>
      <c r="I989" s="292"/>
    </row>
    <row r="990" spans="3:9">
      <c r="C990" s="292"/>
      <c r="D990" s="292"/>
      <c r="E990" s="292"/>
      <c r="F990" s="292"/>
      <c r="G990" s="292"/>
      <c r="H990" s="292"/>
      <c r="I990" s="292"/>
    </row>
    <row r="991" spans="3:9">
      <c r="C991" s="292"/>
      <c r="D991" s="292"/>
      <c r="E991" s="292"/>
      <c r="F991" s="292"/>
      <c r="G991" s="292"/>
      <c r="H991" s="292"/>
      <c r="I991" s="292"/>
    </row>
    <row r="992" spans="3:9">
      <c r="C992" s="292"/>
      <c r="D992" s="292"/>
      <c r="E992" s="292"/>
      <c r="F992" s="292"/>
      <c r="G992" s="292"/>
      <c r="H992" s="292"/>
      <c r="I992" s="292"/>
    </row>
    <row r="993" spans="3:9">
      <c r="C993" s="292"/>
      <c r="D993" s="292"/>
      <c r="E993" s="292"/>
      <c r="F993" s="292"/>
      <c r="G993" s="292"/>
      <c r="H993" s="292"/>
      <c r="I993" s="292"/>
    </row>
    <row r="994" spans="3:9">
      <c r="C994" s="292"/>
      <c r="D994" s="292"/>
      <c r="E994" s="292"/>
      <c r="F994" s="292"/>
      <c r="G994" s="292"/>
      <c r="H994" s="292"/>
      <c r="I994" s="292"/>
    </row>
    <row r="995" spans="3:9">
      <c r="C995" s="292"/>
      <c r="D995" s="292"/>
      <c r="E995" s="292"/>
      <c r="F995" s="292"/>
      <c r="G995" s="292"/>
      <c r="H995" s="292"/>
      <c r="I995" s="292"/>
    </row>
    <row r="996" spans="3:9">
      <c r="C996" s="292"/>
      <c r="D996" s="292"/>
      <c r="E996" s="292"/>
      <c r="F996" s="292"/>
      <c r="G996" s="292"/>
      <c r="H996" s="292"/>
      <c r="I996" s="292"/>
    </row>
    <row r="997" spans="3:9">
      <c r="C997" s="292"/>
      <c r="D997" s="292"/>
      <c r="E997" s="292"/>
      <c r="F997" s="292"/>
      <c r="G997" s="292"/>
      <c r="H997" s="292"/>
      <c r="I997" s="292"/>
    </row>
    <row r="998" spans="3:9">
      <c r="C998" s="292"/>
      <c r="D998" s="292"/>
      <c r="E998" s="292"/>
      <c r="F998" s="292"/>
      <c r="G998" s="292"/>
      <c r="H998" s="292"/>
      <c r="I998" s="292"/>
    </row>
    <row r="999" spans="3:9">
      <c r="C999" s="292"/>
      <c r="D999" s="292"/>
      <c r="E999" s="292"/>
      <c r="F999" s="292"/>
      <c r="G999" s="292"/>
      <c r="H999" s="292"/>
      <c r="I999" s="292"/>
    </row>
    <row r="1000" spans="3:9">
      <c r="C1000" s="292"/>
      <c r="D1000" s="292"/>
      <c r="E1000" s="292"/>
      <c r="F1000" s="292"/>
      <c r="G1000" s="292"/>
      <c r="H1000" s="292"/>
      <c r="I1000" s="292"/>
    </row>
    <row r="1001" spans="3:9">
      <c r="C1001" s="292"/>
      <c r="D1001" s="292"/>
      <c r="E1001" s="292"/>
      <c r="F1001" s="292"/>
      <c r="G1001" s="292"/>
      <c r="H1001" s="292"/>
      <c r="I1001" s="292"/>
    </row>
    <row r="1002" spans="3:9">
      <c r="C1002" s="292"/>
      <c r="D1002" s="292"/>
      <c r="E1002" s="292"/>
      <c r="F1002" s="292"/>
      <c r="G1002" s="292"/>
      <c r="H1002" s="292"/>
      <c r="I1002" s="292"/>
    </row>
    <row r="1003" spans="3:9">
      <c r="C1003" s="292"/>
      <c r="D1003" s="292"/>
      <c r="E1003" s="292"/>
      <c r="F1003" s="292"/>
      <c r="G1003" s="292"/>
      <c r="H1003" s="292"/>
      <c r="I1003" s="292"/>
    </row>
    <row r="1004" spans="3:9">
      <c r="C1004" s="292"/>
      <c r="D1004" s="292"/>
      <c r="E1004" s="292"/>
      <c r="F1004" s="292"/>
      <c r="G1004" s="292"/>
      <c r="H1004" s="292"/>
      <c r="I1004" s="292"/>
    </row>
    <row r="1005" spans="3:9">
      <c r="C1005" s="292"/>
      <c r="D1005" s="292"/>
      <c r="E1005" s="292"/>
      <c r="F1005" s="292"/>
      <c r="G1005" s="292"/>
      <c r="H1005" s="292"/>
      <c r="I1005" s="292"/>
    </row>
    <row r="1006" spans="3:9">
      <c r="C1006" s="292"/>
      <c r="D1006" s="292"/>
      <c r="E1006" s="292"/>
      <c r="F1006" s="292"/>
      <c r="G1006" s="292"/>
      <c r="H1006" s="292"/>
      <c r="I1006" s="292"/>
    </row>
    <row r="1007" spans="3:9">
      <c r="C1007" s="292"/>
      <c r="D1007" s="292"/>
      <c r="E1007" s="292"/>
      <c r="F1007" s="292"/>
      <c r="G1007" s="292"/>
      <c r="H1007" s="292"/>
      <c r="I1007" s="292"/>
    </row>
    <row r="1008" spans="3:9">
      <c r="C1008" s="292"/>
      <c r="D1008" s="292"/>
      <c r="E1008" s="292"/>
      <c r="F1008" s="292"/>
      <c r="G1008" s="292"/>
      <c r="H1008" s="292"/>
      <c r="I1008" s="292"/>
    </row>
    <row r="1009" spans="3:9">
      <c r="C1009" s="292"/>
      <c r="D1009" s="292"/>
      <c r="E1009" s="292"/>
      <c r="F1009" s="292"/>
      <c r="G1009" s="292"/>
      <c r="H1009" s="292"/>
      <c r="I1009" s="292"/>
    </row>
    <row r="1010" spans="3:9">
      <c r="C1010" s="292"/>
      <c r="D1010" s="292"/>
      <c r="E1010" s="292"/>
      <c r="F1010" s="292"/>
      <c r="G1010" s="292"/>
      <c r="H1010" s="292"/>
      <c r="I1010" s="292"/>
    </row>
    <row r="1011" spans="3:9">
      <c r="C1011" s="292"/>
      <c r="D1011" s="292"/>
      <c r="E1011" s="292"/>
      <c r="F1011" s="292"/>
      <c r="G1011" s="292"/>
      <c r="H1011" s="292"/>
      <c r="I1011" s="292"/>
    </row>
    <row r="1012" spans="3:9">
      <c r="C1012" s="292"/>
      <c r="D1012" s="292"/>
      <c r="E1012" s="292"/>
      <c r="F1012" s="292"/>
      <c r="G1012" s="292"/>
      <c r="H1012" s="292"/>
      <c r="I1012" s="292"/>
    </row>
    <row r="1013" spans="3:9">
      <c r="C1013" s="292"/>
      <c r="D1013" s="292"/>
      <c r="E1013" s="292"/>
      <c r="F1013" s="292"/>
      <c r="G1013" s="292"/>
      <c r="H1013" s="292"/>
      <c r="I1013" s="292"/>
    </row>
    <row r="1014" spans="3:9">
      <c r="C1014" s="292"/>
      <c r="D1014" s="292"/>
      <c r="E1014" s="292"/>
      <c r="F1014" s="292"/>
      <c r="G1014" s="292"/>
      <c r="H1014" s="292"/>
      <c r="I1014" s="292"/>
    </row>
    <row r="1015" spans="3:9">
      <c r="C1015" s="292"/>
      <c r="D1015" s="292"/>
      <c r="E1015" s="292"/>
      <c r="F1015" s="292"/>
      <c r="G1015" s="292"/>
      <c r="H1015" s="292"/>
      <c r="I1015" s="292"/>
    </row>
    <row r="1016" spans="3:9">
      <c r="C1016" s="292"/>
      <c r="D1016" s="292"/>
      <c r="E1016" s="292"/>
      <c r="F1016" s="292"/>
      <c r="G1016" s="292"/>
      <c r="H1016" s="292"/>
      <c r="I1016" s="292"/>
    </row>
    <row r="1017" spans="3:9">
      <c r="C1017" s="292"/>
      <c r="D1017" s="292"/>
      <c r="E1017" s="292"/>
      <c r="F1017" s="292"/>
      <c r="G1017" s="292"/>
      <c r="H1017" s="292"/>
      <c r="I1017" s="292"/>
    </row>
    <row r="1018" spans="3:9">
      <c r="C1018" s="292"/>
      <c r="D1018" s="292"/>
      <c r="E1018" s="292"/>
      <c r="F1018" s="292"/>
      <c r="G1018" s="292"/>
      <c r="H1018" s="292"/>
      <c r="I1018" s="292"/>
    </row>
    <row r="1019" spans="3:9">
      <c r="C1019" s="292"/>
      <c r="D1019" s="292"/>
      <c r="E1019" s="292"/>
      <c r="F1019" s="292"/>
      <c r="G1019" s="292"/>
      <c r="H1019" s="292"/>
      <c r="I1019" s="292"/>
    </row>
    <row r="1020" spans="3:9">
      <c r="C1020" s="292"/>
      <c r="D1020" s="292"/>
      <c r="E1020" s="292"/>
      <c r="F1020" s="292"/>
      <c r="G1020" s="292"/>
      <c r="H1020" s="292"/>
      <c r="I1020" s="292"/>
    </row>
    <row r="1021" spans="3:9">
      <c r="C1021" s="292"/>
      <c r="D1021" s="292"/>
      <c r="E1021" s="292"/>
      <c r="F1021" s="292"/>
      <c r="G1021" s="292"/>
      <c r="H1021" s="292"/>
      <c r="I1021" s="292"/>
    </row>
    <row r="1022" spans="3:9">
      <c r="C1022" s="292"/>
      <c r="D1022" s="292"/>
      <c r="E1022" s="292"/>
      <c r="F1022" s="292"/>
      <c r="G1022" s="292"/>
      <c r="H1022" s="292"/>
      <c r="I1022" s="292"/>
    </row>
    <row r="1023" spans="3:9">
      <c r="C1023" s="292"/>
      <c r="D1023" s="292"/>
      <c r="E1023" s="292"/>
      <c r="F1023" s="292"/>
      <c r="G1023" s="292"/>
      <c r="H1023" s="292"/>
      <c r="I1023" s="292"/>
    </row>
    <row r="1024" spans="3:9">
      <c r="C1024" s="292"/>
      <c r="D1024" s="292"/>
      <c r="E1024" s="292"/>
      <c r="F1024" s="292"/>
      <c r="G1024" s="292"/>
      <c r="H1024" s="292"/>
      <c r="I1024" s="292"/>
    </row>
    <row r="1025" spans="3:9">
      <c r="C1025" s="292"/>
      <c r="D1025" s="292"/>
      <c r="E1025" s="292"/>
      <c r="F1025" s="292"/>
      <c r="G1025" s="292"/>
      <c r="H1025" s="292"/>
      <c r="I1025" s="292"/>
    </row>
    <row r="1026" spans="3:9">
      <c r="C1026" s="292"/>
      <c r="D1026" s="292"/>
      <c r="E1026" s="292"/>
      <c r="F1026" s="292"/>
      <c r="G1026" s="292"/>
      <c r="H1026" s="292"/>
      <c r="I1026" s="292"/>
    </row>
    <row r="1027" spans="3:9">
      <c r="C1027" s="292"/>
      <c r="D1027" s="292"/>
      <c r="E1027" s="292"/>
      <c r="F1027" s="292"/>
      <c r="G1027" s="292"/>
      <c r="H1027" s="292"/>
      <c r="I1027" s="292"/>
    </row>
    <row r="1028" spans="3:9">
      <c r="C1028" s="292"/>
      <c r="D1028" s="292"/>
      <c r="E1028" s="292"/>
      <c r="F1028" s="292"/>
      <c r="G1028" s="292"/>
      <c r="H1028" s="292"/>
      <c r="I1028" s="292"/>
    </row>
    <row r="1029" spans="3:9">
      <c r="C1029" s="292"/>
      <c r="D1029" s="292"/>
      <c r="E1029" s="292"/>
      <c r="F1029" s="292"/>
      <c r="G1029" s="292"/>
      <c r="H1029" s="292"/>
      <c r="I1029" s="292"/>
    </row>
    <row r="1030" spans="3:9">
      <c r="C1030" s="292"/>
      <c r="D1030" s="292"/>
      <c r="E1030" s="292"/>
      <c r="F1030" s="292"/>
      <c r="G1030" s="292"/>
      <c r="H1030" s="292"/>
      <c r="I1030" s="292"/>
    </row>
    <row r="1031" spans="3:9">
      <c r="C1031" s="292"/>
      <c r="D1031" s="292"/>
      <c r="E1031" s="292"/>
      <c r="F1031" s="292"/>
      <c r="G1031" s="292"/>
      <c r="H1031" s="292"/>
      <c r="I1031" s="292"/>
    </row>
    <row r="1032" spans="3:9">
      <c r="C1032" s="292"/>
      <c r="D1032" s="292"/>
      <c r="E1032" s="292"/>
      <c r="F1032" s="292"/>
      <c r="G1032" s="292"/>
      <c r="H1032" s="292"/>
      <c r="I1032" s="292"/>
    </row>
    <row r="1033" spans="3:9">
      <c r="C1033" s="292"/>
      <c r="D1033" s="292"/>
      <c r="E1033" s="292"/>
      <c r="F1033" s="292"/>
      <c r="G1033" s="292"/>
      <c r="H1033" s="292"/>
      <c r="I1033" s="292"/>
    </row>
    <row r="1034" spans="3:9">
      <c r="C1034" s="292"/>
      <c r="D1034" s="292"/>
      <c r="E1034" s="292"/>
      <c r="F1034" s="292"/>
      <c r="G1034" s="292"/>
      <c r="H1034" s="292"/>
      <c r="I1034" s="292"/>
    </row>
    <row r="1035" spans="3:9">
      <c r="C1035" s="292"/>
      <c r="D1035" s="292"/>
      <c r="E1035" s="292"/>
      <c r="F1035" s="292"/>
      <c r="G1035" s="292"/>
      <c r="H1035" s="292"/>
      <c r="I1035" s="292"/>
    </row>
    <row r="1036" spans="3:9">
      <c r="C1036" s="292"/>
      <c r="D1036" s="292"/>
      <c r="E1036" s="292"/>
      <c r="F1036" s="292"/>
      <c r="G1036" s="292"/>
      <c r="H1036" s="292"/>
      <c r="I1036" s="292"/>
    </row>
    <row r="1037" spans="3:9">
      <c r="C1037" s="292"/>
      <c r="D1037" s="292"/>
      <c r="E1037" s="292"/>
      <c r="F1037" s="292"/>
      <c r="G1037" s="292"/>
      <c r="H1037" s="292"/>
      <c r="I1037" s="292"/>
    </row>
    <row r="1038" spans="3:9">
      <c r="C1038" s="292"/>
      <c r="D1038" s="292"/>
      <c r="E1038" s="292"/>
      <c r="F1038" s="292"/>
      <c r="G1038" s="292"/>
      <c r="H1038" s="292"/>
      <c r="I1038" s="292"/>
    </row>
    <row r="1039" spans="3:9">
      <c r="C1039" s="292"/>
      <c r="D1039" s="292"/>
      <c r="E1039" s="292"/>
      <c r="F1039" s="292"/>
      <c r="G1039" s="292"/>
      <c r="H1039" s="292"/>
      <c r="I1039" s="292"/>
    </row>
    <row r="1040" spans="3:9">
      <c r="C1040" s="292"/>
      <c r="D1040" s="292"/>
      <c r="E1040" s="292"/>
      <c r="F1040" s="292"/>
      <c r="G1040" s="292"/>
      <c r="H1040" s="292"/>
      <c r="I1040" s="292"/>
    </row>
    <row r="1041" spans="3:9">
      <c r="C1041" s="292"/>
      <c r="D1041" s="292"/>
      <c r="E1041" s="292"/>
      <c r="F1041" s="292"/>
      <c r="G1041" s="292"/>
      <c r="H1041" s="292"/>
      <c r="I1041" s="292"/>
    </row>
    <row r="1042" spans="3:9">
      <c r="C1042" s="292"/>
      <c r="D1042" s="292"/>
      <c r="E1042" s="292"/>
      <c r="F1042" s="292"/>
      <c r="G1042" s="292"/>
      <c r="H1042" s="292"/>
      <c r="I1042" s="292"/>
    </row>
    <row r="1043" spans="3:9">
      <c r="C1043" s="292"/>
      <c r="D1043" s="292"/>
      <c r="E1043" s="292"/>
      <c r="F1043" s="292"/>
      <c r="G1043" s="292"/>
      <c r="H1043" s="292"/>
      <c r="I1043" s="292"/>
    </row>
    <row r="1044" spans="3:9">
      <c r="C1044" s="292"/>
      <c r="D1044" s="292"/>
      <c r="E1044" s="292"/>
      <c r="F1044" s="292"/>
      <c r="G1044" s="292"/>
      <c r="H1044" s="292"/>
      <c r="I1044" s="292"/>
    </row>
    <row r="1045" spans="3:9">
      <c r="C1045" s="292"/>
      <c r="D1045" s="292"/>
      <c r="E1045" s="292"/>
      <c r="F1045" s="292"/>
      <c r="G1045" s="292"/>
      <c r="H1045" s="292"/>
      <c r="I1045" s="292"/>
    </row>
    <row r="1046" spans="3:9">
      <c r="C1046" s="292"/>
      <c r="D1046" s="292"/>
      <c r="E1046" s="292"/>
      <c r="F1046" s="292"/>
      <c r="G1046" s="292"/>
      <c r="H1046" s="292"/>
      <c r="I1046" s="292"/>
    </row>
    <row r="1047" spans="3:9">
      <c r="C1047" s="292"/>
      <c r="D1047" s="292"/>
      <c r="E1047" s="292"/>
      <c r="F1047" s="292"/>
      <c r="G1047" s="292"/>
      <c r="H1047" s="292"/>
      <c r="I1047" s="292"/>
    </row>
    <row r="1048" spans="3:9">
      <c r="C1048" s="292"/>
      <c r="D1048" s="292"/>
      <c r="E1048" s="292"/>
      <c r="F1048" s="292"/>
      <c r="G1048" s="292"/>
      <c r="H1048" s="292"/>
      <c r="I1048" s="292"/>
    </row>
    <row r="1049" spans="3:9">
      <c r="C1049" s="292"/>
      <c r="D1049" s="292"/>
      <c r="E1049" s="292"/>
      <c r="F1049" s="292"/>
      <c r="G1049" s="292"/>
      <c r="H1049" s="292"/>
      <c r="I1049" s="292"/>
    </row>
    <row r="1050" spans="3:9">
      <c r="C1050" s="292"/>
      <c r="D1050" s="292"/>
      <c r="E1050" s="292"/>
      <c r="F1050" s="292"/>
      <c r="G1050" s="292"/>
      <c r="H1050" s="292"/>
      <c r="I1050" s="292"/>
    </row>
    <row r="1051" spans="3:9">
      <c r="C1051" s="292"/>
      <c r="D1051" s="292"/>
      <c r="E1051" s="292"/>
      <c r="F1051" s="292"/>
      <c r="G1051" s="292"/>
      <c r="H1051" s="292"/>
      <c r="I1051" s="292"/>
    </row>
    <row r="1052" spans="3:9">
      <c r="C1052" s="292"/>
      <c r="D1052" s="292"/>
      <c r="E1052" s="292"/>
      <c r="F1052" s="292"/>
      <c r="G1052" s="292"/>
      <c r="H1052" s="292"/>
      <c r="I1052" s="292"/>
    </row>
    <row r="1053" spans="3:9">
      <c r="C1053" s="292"/>
      <c r="D1053" s="292"/>
      <c r="E1053" s="292"/>
      <c r="F1053" s="292"/>
      <c r="G1053" s="292"/>
      <c r="H1053" s="292"/>
      <c r="I1053" s="292"/>
    </row>
    <row r="1054" spans="3:9">
      <c r="C1054" s="292"/>
      <c r="D1054" s="292"/>
      <c r="E1054" s="292"/>
      <c r="F1054" s="292"/>
      <c r="G1054" s="292"/>
      <c r="H1054" s="292"/>
      <c r="I1054" s="292"/>
    </row>
    <row r="1055" spans="3:9">
      <c r="C1055" s="292"/>
      <c r="D1055" s="292"/>
      <c r="E1055" s="292"/>
      <c r="F1055" s="292"/>
      <c r="G1055" s="292"/>
      <c r="H1055" s="292"/>
      <c r="I1055" s="292"/>
    </row>
    <row r="1056" spans="3:9">
      <c r="C1056" s="292"/>
      <c r="D1056" s="292"/>
      <c r="E1056" s="292"/>
      <c r="F1056" s="292"/>
      <c r="G1056" s="292"/>
      <c r="H1056" s="292"/>
      <c r="I1056" s="292"/>
    </row>
    <row r="1057" spans="3:9">
      <c r="C1057" s="292"/>
      <c r="D1057" s="292"/>
      <c r="E1057" s="292"/>
      <c r="F1057" s="292"/>
      <c r="G1057" s="292"/>
      <c r="H1057" s="292"/>
      <c r="I1057" s="292"/>
    </row>
    <row r="1058" spans="3:9">
      <c r="C1058" s="292"/>
      <c r="D1058" s="292"/>
      <c r="E1058" s="292"/>
      <c r="F1058" s="292"/>
      <c r="G1058" s="292"/>
      <c r="H1058" s="292"/>
      <c r="I1058" s="292"/>
    </row>
    <row r="1059" spans="3:9">
      <c r="C1059" s="292"/>
      <c r="D1059" s="292"/>
      <c r="E1059" s="292"/>
      <c r="F1059" s="292"/>
      <c r="G1059" s="292"/>
      <c r="H1059" s="292"/>
      <c r="I1059" s="292"/>
    </row>
    <row r="1060" spans="3:9">
      <c r="C1060" s="292"/>
      <c r="D1060" s="292"/>
      <c r="E1060" s="292"/>
      <c r="F1060" s="292"/>
      <c r="G1060" s="292"/>
      <c r="H1060" s="292"/>
      <c r="I1060" s="292"/>
    </row>
    <row r="1061" spans="3:9">
      <c r="C1061" s="292"/>
      <c r="D1061" s="292"/>
      <c r="E1061" s="292"/>
      <c r="F1061" s="292"/>
      <c r="G1061" s="292"/>
      <c r="H1061" s="292"/>
      <c r="I1061" s="292"/>
    </row>
    <row r="1062" spans="3:9">
      <c r="C1062" s="292"/>
      <c r="D1062" s="292"/>
      <c r="E1062" s="292"/>
      <c r="F1062" s="292"/>
      <c r="G1062" s="292"/>
      <c r="H1062" s="292"/>
      <c r="I1062" s="292"/>
    </row>
    <row r="1063" spans="3:9">
      <c r="C1063" s="292"/>
      <c r="D1063" s="292"/>
      <c r="E1063" s="292"/>
      <c r="F1063" s="292"/>
      <c r="G1063" s="292"/>
      <c r="H1063" s="292"/>
      <c r="I1063" s="292"/>
    </row>
    <row r="1064" spans="3:9">
      <c r="C1064" s="292"/>
      <c r="D1064" s="292"/>
      <c r="E1064" s="292"/>
      <c r="F1064" s="292"/>
      <c r="G1064" s="292"/>
      <c r="H1064" s="292"/>
      <c r="I1064" s="292"/>
    </row>
    <row r="1065" spans="3:9">
      <c r="C1065" s="292"/>
      <c r="D1065" s="292"/>
      <c r="E1065" s="292"/>
      <c r="F1065" s="292"/>
      <c r="G1065" s="292"/>
      <c r="H1065" s="292"/>
      <c r="I1065" s="292"/>
    </row>
    <row r="1066" spans="3:9">
      <c r="C1066" s="292"/>
      <c r="D1066" s="292"/>
      <c r="E1066" s="292"/>
      <c r="F1066" s="292"/>
      <c r="G1066" s="292"/>
      <c r="H1066" s="292"/>
      <c r="I1066" s="292"/>
    </row>
    <row r="1067" spans="3:9">
      <c r="C1067" s="292"/>
      <c r="D1067" s="292"/>
      <c r="E1067" s="292"/>
      <c r="F1067" s="292"/>
      <c r="G1067" s="292"/>
      <c r="H1067" s="292"/>
      <c r="I1067" s="292"/>
    </row>
    <row r="1068" spans="3:9">
      <c r="C1068" s="292"/>
      <c r="D1068" s="292"/>
      <c r="E1068" s="292"/>
      <c r="F1068" s="292"/>
      <c r="G1068" s="292"/>
      <c r="H1068" s="292"/>
      <c r="I1068" s="292"/>
    </row>
    <row r="1069" spans="3:9">
      <c r="C1069" s="292"/>
      <c r="D1069" s="292"/>
      <c r="E1069" s="292"/>
      <c r="F1069" s="292"/>
      <c r="G1069" s="292"/>
      <c r="H1069" s="292"/>
      <c r="I1069" s="292"/>
    </row>
    <row r="1070" spans="3:9">
      <c r="C1070" s="292"/>
      <c r="D1070" s="292"/>
      <c r="E1070" s="292"/>
      <c r="F1070" s="292"/>
      <c r="G1070" s="292"/>
      <c r="H1070" s="292"/>
      <c r="I1070" s="292"/>
    </row>
    <row r="1071" spans="3:9">
      <c r="C1071" s="292"/>
      <c r="D1071" s="292"/>
      <c r="E1071" s="292"/>
      <c r="F1071" s="292"/>
      <c r="G1071" s="292"/>
      <c r="H1071" s="292"/>
      <c r="I1071" s="292"/>
    </row>
    <row r="1072" spans="3:9">
      <c r="C1072" s="292"/>
      <c r="D1072" s="292"/>
      <c r="E1072" s="292"/>
      <c r="F1072" s="292"/>
      <c r="G1072" s="292"/>
      <c r="H1072" s="292"/>
      <c r="I1072" s="292"/>
    </row>
    <row r="1073" spans="3:9">
      <c r="C1073" s="292"/>
      <c r="D1073" s="292"/>
      <c r="E1073" s="292"/>
      <c r="F1073" s="292"/>
      <c r="G1073" s="292"/>
      <c r="H1073" s="292"/>
      <c r="I1073" s="292"/>
    </row>
    <row r="1074" spans="3:9">
      <c r="C1074" s="292"/>
      <c r="D1074" s="292"/>
      <c r="E1074" s="292"/>
      <c r="F1074" s="292"/>
      <c r="G1074" s="292"/>
      <c r="H1074" s="292"/>
      <c r="I1074" s="292"/>
    </row>
    <row r="1075" spans="3:9">
      <c r="C1075" s="292"/>
      <c r="D1075" s="292"/>
      <c r="E1075" s="292"/>
      <c r="F1075" s="292"/>
      <c r="G1075" s="292"/>
      <c r="H1075" s="292"/>
      <c r="I1075" s="292"/>
    </row>
    <row r="1076" spans="3:9">
      <c r="C1076" s="292"/>
      <c r="D1076" s="292"/>
      <c r="E1076" s="292"/>
      <c r="F1076" s="292"/>
      <c r="G1076" s="292"/>
      <c r="H1076" s="292"/>
      <c r="I1076" s="292"/>
    </row>
    <row r="1077" spans="3:9">
      <c r="C1077" s="292"/>
      <c r="D1077" s="292"/>
      <c r="E1077" s="292"/>
      <c r="F1077" s="292"/>
      <c r="G1077" s="292"/>
      <c r="H1077" s="292"/>
      <c r="I1077" s="292"/>
    </row>
    <row r="1078" spans="3:9">
      <c r="C1078" s="292"/>
      <c r="D1078" s="292"/>
      <c r="E1078" s="292"/>
      <c r="F1078" s="292"/>
      <c r="G1078" s="292"/>
      <c r="H1078" s="292"/>
      <c r="I1078" s="292"/>
    </row>
    <row r="1079" spans="3:9">
      <c r="C1079" s="292"/>
      <c r="D1079" s="292"/>
      <c r="E1079" s="292"/>
      <c r="F1079" s="292"/>
      <c r="G1079" s="292"/>
      <c r="H1079" s="292"/>
      <c r="I1079" s="292"/>
    </row>
    <row r="1080" spans="3:9">
      <c r="C1080" s="292"/>
      <c r="D1080" s="292"/>
      <c r="E1080" s="292"/>
      <c r="F1080" s="292"/>
      <c r="G1080" s="292"/>
      <c r="H1080" s="292"/>
      <c r="I1080" s="292"/>
    </row>
    <row r="1081" spans="3:9">
      <c r="C1081" s="292"/>
      <c r="D1081" s="292"/>
      <c r="E1081" s="292"/>
      <c r="F1081" s="292"/>
      <c r="G1081" s="292"/>
      <c r="H1081" s="292"/>
      <c r="I1081" s="292"/>
    </row>
    <row r="1082" spans="3:9">
      <c r="C1082" s="292"/>
      <c r="D1082" s="292"/>
      <c r="E1082" s="292"/>
      <c r="F1082" s="292"/>
      <c r="G1082" s="292"/>
      <c r="H1082" s="292"/>
      <c r="I1082" s="292"/>
    </row>
    <row r="1083" spans="3:9">
      <c r="C1083" s="292"/>
      <c r="D1083" s="292"/>
      <c r="E1083" s="292"/>
      <c r="F1083" s="292"/>
      <c r="G1083" s="292"/>
      <c r="H1083" s="292"/>
      <c r="I1083" s="292"/>
    </row>
    <row r="1084" spans="3:9">
      <c r="C1084" s="292"/>
      <c r="D1084" s="292"/>
      <c r="E1084" s="292"/>
      <c r="F1084" s="292"/>
      <c r="G1084" s="292"/>
      <c r="H1084" s="292"/>
      <c r="I1084" s="292"/>
    </row>
    <row r="1085" spans="3:9">
      <c r="C1085" s="292"/>
      <c r="D1085" s="292"/>
      <c r="E1085" s="292"/>
      <c r="F1085" s="292"/>
      <c r="G1085" s="292"/>
      <c r="H1085" s="292"/>
      <c r="I1085" s="292"/>
    </row>
    <row r="1086" spans="3:9">
      <c r="C1086" s="292"/>
      <c r="D1086" s="292"/>
      <c r="E1086" s="292"/>
      <c r="F1086" s="292"/>
      <c r="G1086" s="292"/>
      <c r="H1086" s="292"/>
      <c r="I1086" s="292"/>
    </row>
    <row r="1087" spans="3:9">
      <c r="C1087" s="292"/>
      <c r="D1087" s="292"/>
      <c r="E1087" s="292"/>
      <c r="F1087" s="292"/>
      <c r="G1087" s="292"/>
      <c r="H1087" s="292"/>
      <c r="I1087" s="292"/>
    </row>
    <row r="1088" spans="3:9">
      <c r="C1088" s="292"/>
      <c r="D1088" s="292"/>
      <c r="E1088" s="292"/>
      <c r="F1088" s="292"/>
      <c r="G1088" s="292"/>
      <c r="H1088" s="292"/>
      <c r="I1088" s="292"/>
    </row>
    <row r="1089" spans="3:9">
      <c r="C1089" s="292"/>
      <c r="D1089" s="292"/>
      <c r="E1089" s="292"/>
      <c r="F1089" s="292"/>
      <c r="G1089" s="292"/>
      <c r="H1089" s="292"/>
      <c r="I1089" s="292"/>
    </row>
    <row r="1090" spans="3:9">
      <c r="C1090" s="292"/>
      <c r="D1090" s="292"/>
      <c r="E1090" s="292"/>
      <c r="F1090" s="292"/>
      <c r="G1090" s="292"/>
      <c r="H1090" s="292"/>
      <c r="I1090" s="292"/>
    </row>
    <row r="1091" spans="3:9">
      <c r="C1091" s="292"/>
      <c r="D1091" s="292"/>
      <c r="E1091" s="292"/>
      <c r="F1091" s="292"/>
      <c r="G1091" s="292"/>
      <c r="H1091" s="292"/>
      <c r="I1091" s="292"/>
    </row>
    <row r="1092" spans="3:9">
      <c r="C1092" s="292"/>
      <c r="D1092" s="292"/>
      <c r="E1092" s="292"/>
      <c r="F1092" s="292"/>
      <c r="G1092" s="292"/>
      <c r="H1092" s="292"/>
      <c r="I1092" s="292"/>
    </row>
    <row r="1093" spans="3:9">
      <c r="C1093" s="292"/>
      <c r="D1093" s="292"/>
      <c r="E1093" s="292"/>
      <c r="F1093" s="292"/>
      <c r="G1093" s="292"/>
      <c r="H1093" s="292"/>
      <c r="I1093" s="292"/>
    </row>
    <row r="1094" spans="3:9">
      <c r="C1094" s="292"/>
      <c r="D1094" s="292"/>
      <c r="E1094" s="292"/>
      <c r="F1094" s="292"/>
      <c r="G1094" s="292"/>
      <c r="H1094" s="292"/>
      <c r="I1094" s="292"/>
    </row>
    <row r="1095" spans="3:9">
      <c r="C1095" s="292"/>
      <c r="D1095" s="292"/>
      <c r="E1095" s="292"/>
      <c r="F1095" s="292"/>
      <c r="G1095" s="292"/>
      <c r="H1095" s="292"/>
      <c r="I1095" s="292"/>
    </row>
    <row r="1096" spans="3:9">
      <c r="C1096" s="292"/>
      <c r="D1096" s="292"/>
      <c r="E1096" s="292"/>
      <c r="F1096" s="292"/>
      <c r="G1096" s="292"/>
      <c r="H1096" s="292"/>
      <c r="I1096" s="292"/>
    </row>
    <row r="1097" spans="3:9">
      <c r="C1097" s="292"/>
      <c r="D1097" s="292"/>
      <c r="E1097" s="292"/>
      <c r="F1097" s="292"/>
      <c r="G1097" s="292"/>
      <c r="H1097" s="292"/>
      <c r="I1097" s="292"/>
    </row>
    <row r="1098" spans="3:9">
      <c r="C1098" s="292"/>
      <c r="D1098" s="292"/>
      <c r="E1098" s="292"/>
      <c r="F1098" s="292"/>
      <c r="G1098" s="292"/>
      <c r="H1098" s="292"/>
      <c r="I1098" s="292"/>
    </row>
    <row r="1099" spans="3:9">
      <c r="C1099" s="292"/>
      <c r="D1099" s="292"/>
      <c r="E1099" s="292"/>
      <c r="F1099" s="292"/>
      <c r="G1099" s="292"/>
      <c r="H1099" s="292"/>
      <c r="I1099" s="292"/>
    </row>
    <row r="1100" spans="3:9">
      <c r="C1100" s="292"/>
      <c r="D1100" s="292"/>
      <c r="E1100" s="292"/>
      <c r="F1100" s="292"/>
      <c r="G1100" s="292"/>
      <c r="H1100" s="292"/>
      <c r="I1100" s="292"/>
    </row>
    <row r="1101" spans="3:9">
      <c r="C1101" s="292"/>
      <c r="D1101" s="292"/>
      <c r="E1101" s="292"/>
      <c r="F1101" s="292"/>
      <c r="G1101" s="292"/>
      <c r="H1101" s="292"/>
      <c r="I1101" s="292"/>
    </row>
    <row r="1102" spans="3:9">
      <c r="C1102" s="292"/>
      <c r="D1102" s="292"/>
      <c r="E1102" s="292"/>
      <c r="F1102" s="292"/>
      <c r="G1102" s="292"/>
      <c r="H1102" s="292"/>
      <c r="I1102" s="292"/>
    </row>
    <row r="1103" spans="3:9">
      <c r="C1103" s="292"/>
      <c r="D1103" s="292"/>
      <c r="E1103" s="292"/>
      <c r="F1103" s="292"/>
      <c r="G1103" s="292"/>
      <c r="H1103" s="292"/>
      <c r="I1103" s="292"/>
    </row>
    <row r="1104" spans="3:9">
      <c r="C1104" s="292"/>
      <c r="D1104" s="292"/>
      <c r="E1104" s="292"/>
      <c r="F1104" s="292"/>
      <c r="G1104" s="292"/>
      <c r="H1104" s="292"/>
      <c r="I1104" s="292"/>
    </row>
    <row r="1105" spans="3:9">
      <c r="C1105" s="292"/>
      <c r="D1105" s="292"/>
      <c r="E1105" s="292"/>
      <c r="F1105" s="292"/>
      <c r="G1105" s="292"/>
      <c r="H1105" s="292"/>
      <c r="I1105" s="292"/>
    </row>
    <row r="1106" spans="3:9">
      <c r="C1106" s="292"/>
      <c r="D1106" s="292"/>
      <c r="E1106" s="292"/>
      <c r="F1106" s="292"/>
      <c r="G1106" s="292"/>
      <c r="H1106" s="292"/>
      <c r="I1106" s="292"/>
    </row>
    <row r="1107" spans="3:9">
      <c r="C1107" s="292"/>
      <c r="D1107" s="292"/>
      <c r="E1107" s="292"/>
      <c r="F1107" s="292"/>
      <c r="G1107" s="292"/>
      <c r="H1107" s="292"/>
      <c r="I1107" s="292"/>
    </row>
    <row r="1108" spans="3:9">
      <c r="C1108" s="292"/>
      <c r="D1108" s="292"/>
      <c r="E1108" s="292"/>
      <c r="F1108" s="292"/>
      <c r="G1108" s="292"/>
      <c r="H1108" s="292"/>
      <c r="I1108" s="292"/>
    </row>
    <row r="1109" spans="3:9">
      <c r="C1109" s="292"/>
      <c r="D1109" s="292"/>
      <c r="E1109" s="292"/>
      <c r="F1109" s="292"/>
      <c r="G1109" s="292"/>
      <c r="H1109" s="292"/>
      <c r="I1109" s="292"/>
    </row>
    <row r="1110" spans="3:9">
      <c r="C1110" s="292"/>
      <c r="D1110" s="292"/>
      <c r="E1110" s="292"/>
      <c r="F1110" s="292"/>
      <c r="G1110" s="292"/>
      <c r="H1110" s="292"/>
      <c r="I1110" s="292"/>
    </row>
    <row r="1111" spans="3:9">
      <c r="C1111" s="292"/>
      <c r="D1111" s="292"/>
      <c r="E1111" s="292"/>
      <c r="F1111" s="292"/>
      <c r="G1111" s="292"/>
      <c r="H1111" s="292"/>
      <c r="I1111" s="292"/>
    </row>
    <row r="1112" spans="3:9">
      <c r="C1112" s="292"/>
      <c r="D1112" s="292"/>
      <c r="E1112" s="292"/>
      <c r="F1112" s="292"/>
      <c r="G1112" s="292"/>
      <c r="H1112" s="292"/>
      <c r="I1112" s="292"/>
    </row>
    <row r="1113" spans="3:9">
      <c r="C1113" s="292"/>
      <c r="D1113" s="292"/>
      <c r="E1113" s="292"/>
      <c r="F1113" s="292"/>
      <c r="G1113" s="292"/>
      <c r="H1113" s="292"/>
      <c r="I1113" s="292"/>
    </row>
    <row r="1114" spans="3:9">
      <c r="C1114" s="292"/>
      <c r="D1114" s="292"/>
      <c r="E1114" s="292"/>
      <c r="F1114" s="292"/>
      <c r="G1114" s="292"/>
      <c r="H1114" s="292"/>
      <c r="I1114" s="292"/>
    </row>
    <row r="1115" spans="3:9">
      <c r="C1115" s="292"/>
      <c r="D1115" s="292"/>
      <c r="E1115" s="292"/>
      <c r="F1115" s="292"/>
      <c r="G1115" s="292"/>
      <c r="H1115" s="292"/>
      <c r="I1115" s="292"/>
    </row>
    <row r="1116" spans="3:9">
      <c r="C1116" s="292"/>
      <c r="D1116" s="292"/>
      <c r="E1116" s="292"/>
      <c r="F1116" s="292"/>
      <c r="G1116" s="292"/>
      <c r="H1116" s="292"/>
      <c r="I1116" s="292"/>
    </row>
    <row r="1117" spans="3:9">
      <c r="C1117" s="292"/>
      <c r="D1117" s="292"/>
      <c r="E1117" s="292"/>
      <c r="F1117" s="292"/>
      <c r="G1117" s="292"/>
      <c r="H1117" s="292"/>
      <c r="I1117" s="292"/>
    </row>
    <row r="1118" spans="3:9">
      <c r="C1118" s="292"/>
      <c r="D1118" s="292"/>
      <c r="E1118" s="292"/>
      <c r="F1118" s="292"/>
      <c r="G1118" s="292"/>
      <c r="H1118" s="292"/>
      <c r="I1118" s="292"/>
    </row>
    <row r="1119" spans="3:9">
      <c r="C1119" s="292"/>
      <c r="D1119" s="292"/>
      <c r="E1119" s="292"/>
      <c r="F1119" s="292"/>
      <c r="G1119" s="292"/>
      <c r="H1119" s="292"/>
      <c r="I1119" s="292"/>
    </row>
    <row r="1120" spans="3:9">
      <c r="C1120" s="292"/>
      <c r="D1120" s="292"/>
      <c r="E1120" s="292"/>
      <c r="F1120" s="292"/>
      <c r="G1120" s="292"/>
      <c r="H1120" s="292"/>
      <c r="I1120" s="292"/>
    </row>
    <row r="1121" spans="3:9">
      <c r="C1121" s="292"/>
      <c r="D1121" s="292"/>
      <c r="E1121" s="292"/>
      <c r="F1121" s="292"/>
      <c r="G1121" s="292"/>
      <c r="H1121" s="292"/>
      <c r="I1121" s="292"/>
    </row>
    <row r="1122" spans="3:9">
      <c r="C1122" s="292"/>
      <c r="D1122" s="292"/>
      <c r="E1122" s="292"/>
      <c r="F1122" s="292"/>
      <c r="G1122" s="292"/>
      <c r="H1122" s="292"/>
      <c r="I1122" s="292"/>
    </row>
    <row r="1123" spans="3:9">
      <c r="C1123" s="292"/>
      <c r="D1123" s="292"/>
      <c r="E1123" s="292"/>
      <c r="F1123" s="292"/>
      <c r="G1123" s="292"/>
      <c r="H1123" s="292"/>
      <c r="I1123" s="292"/>
    </row>
    <row r="1124" spans="3:9">
      <c r="C1124" s="292"/>
      <c r="D1124" s="292"/>
      <c r="E1124" s="292"/>
      <c r="F1124" s="292"/>
      <c r="G1124" s="292"/>
      <c r="H1124" s="292"/>
      <c r="I1124" s="292"/>
    </row>
    <row r="1125" spans="3:9">
      <c r="C1125" s="292"/>
      <c r="D1125" s="292"/>
      <c r="E1125" s="292"/>
      <c r="F1125" s="292"/>
      <c r="G1125" s="292"/>
      <c r="H1125" s="292"/>
      <c r="I1125" s="292"/>
    </row>
    <row r="1126" spans="3:9">
      <c r="C1126" s="292"/>
      <c r="D1126" s="292"/>
      <c r="E1126" s="292"/>
      <c r="F1126" s="292"/>
      <c r="G1126" s="292"/>
      <c r="H1126" s="292"/>
      <c r="I1126" s="292"/>
    </row>
    <row r="1127" spans="3:9">
      <c r="C1127" s="292"/>
      <c r="D1127" s="292"/>
      <c r="E1127" s="292"/>
      <c r="F1127" s="292"/>
      <c r="G1127" s="292"/>
      <c r="H1127" s="292"/>
      <c r="I1127" s="292"/>
    </row>
    <row r="1128" spans="3:9">
      <c r="C1128" s="292"/>
      <c r="D1128" s="292"/>
      <c r="E1128" s="292"/>
      <c r="F1128" s="292"/>
      <c r="G1128" s="292"/>
      <c r="H1128" s="292"/>
      <c r="I1128" s="292"/>
    </row>
    <row r="1129" spans="3:9">
      <c r="C1129" s="292"/>
      <c r="D1129" s="292"/>
      <c r="E1129" s="292"/>
      <c r="F1129" s="292"/>
      <c r="G1129" s="292"/>
      <c r="H1129" s="292"/>
      <c r="I1129" s="292"/>
    </row>
    <row r="1130" spans="3:9">
      <c r="C1130" s="292"/>
      <c r="D1130" s="292"/>
      <c r="E1130" s="292"/>
      <c r="F1130" s="292"/>
      <c r="G1130" s="292"/>
      <c r="H1130" s="292"/>
      <c r="I1130" s="292"/>
    </row>
    <row r="1131" spans="3:9">
      <c r="C1131" s="292"/>
      <c r="D1131" s="292"/>
      <c r="E1131" s="292"/>
      <c r="F1131" s="292"/>
      <c r="G1131" s="292"/>
      <c r="H1131" s="292"/>
      <c r="I1131" s="292"/>
    </row>
    <row r="1132" spans="3:9">
      <c r="C1132" s="292"/>
      <c r="D1132" s="292"/>
      <c r="E1132" s="292"/>
      <c r="F1132" s="292"/>
      <c r="G1132" s="292"/>
      <c r="H1132" s="292"/>
      <c r="I1132" s="292"/>
    </row>
    <row r="1133" spans="3:9">
      <c r="C1133" s="292"/>
      <c r="D1133" s="292"/>
      <c r="E1133" s="292"/>
      <c r="F1133" s="292"/>
      <c r="G1133" s="292"/>
      <c r="H1133" s="292"/>
      <c r="I1133" s="292"/>
    </row>
    <row r="1134" spans="3:9">
      <c r="C1134" s="292"/>
      <c r="D1134" s="292"/>
      <c r="E1134" s="292"/>
      <c r="F1134" s="292"/>
      <c r="G1134" s="292"/>
      <c r="H1134" s="292"/>
      <c r="I1134" s="292"/>
    </row>
    <row r="1135" spans="3:9">
      <c r="C1135" s="292"/>
      <c r="D1135" s="292"/>
      <c r="E1135" s="292"/>
      <c r="F1135" s="292"/>
      <c r="G1135" s="292"/>
      <c r="H1135" s="292"/>
      <c r="I1135" s="292"/>
    </row>
    <row r="1136" spans="3:9">
      <c r="C1136" s="292"/>
      <c r="D1136" s="292"/>
      <c r="E1136" s="292"/>
      <c r="F1136" s="292"/>
      <c r="G1136" s="292"/>
      <c r="H1136" s="292"/>
      <c r="I1136" s="292"/>
    </row>
    <row r="1137" spans="3:9">
      <c r="C1137" s="292"/>
      <c r="D1137" s="292"/>
      <c r="E1137" s="292"/>
      <c r="F1137" s="292"/>
      <c r="G1137" s="292"/>
      <c r="H1137" s="292"/>
      <c r="I1137" s="292"/>
    </row>
    <row r="1138" spans="3:9">
      <c r="C1138" s="292"/>
      <c r="D1138" s="292"/>
      <c r="E1138" s="292"/>
      <c r="F1138" s="292"/>
      <c r="G1138" s="292"/>
      <c r="H1138" s="292"/>
      <c r="I1138" s="292"/>
    </row>
    <row r="1139" spans="3:9">
      <c r="C1139" s="292"/>
      <c r="D1139" s="292"/>
      <c r="E1139" s="292"/>
      <c r="F1139" s="292"/>
      <c r="G1139" s="292"/>
      <c r="H1139" s="292"/>
      <c r="I1139" s="292"/>
    </row>
    <row r="1140" spans="3:9">
      <c r="C1140" s="292"/>
      <c r="D1140" s="292"/>
      <c r="E1140" s="292"/>
      <c r="F1140" s="292"/>
      <c r="G1140" s="292"/>
      <c r="H1140" s="292"/>
      <c r="I1140" s="292"/>
    </row>
    <row r="1141" spans="3:9">
      <c r="C1141" s="292"/>
      <c r="D1141" s="292"/>
      <c r="E1141" s="292"/>
      <c r="F1141" s="292"/>
      <c r="G1141" s="292"/>
      <c r="H1141" s="292"/>
      <c r="I1141" s="292"/>
    </row>
    <row r="1142" spans="3:9">
      <c r="C1142" s="292"/>
      <c r="D1142" s="292"/>
      <c r="E1142" s="292"/>
      <c r="F1142" s="292"/>
      <c r="G1142" s="292"/>
      <c r="H1142" s="292"/>
      <c r="I1142" s="292"/>
    </row>
    <row r="1143" spans="3:9">
      <c r="C1143" s="292"/>
      <c r="D1143" s="292"/>
      <c r="E1143" s="292"/>
      <c r="F1143" s="292"/>
      <c r="G1143" s="292"/>
      <c r="H1143" s="292"/>
      <c r="I1143" s="292"/>
    </row>
    <row r="1144" spans="3:9">
      <c r="C1144" s="292"/>
      <c r="D1144" s="292"/>
      <c r="E1144" s="292"/>
      <c r="F1144" s="292"/>
      <c r="G1144" s="292"/>
      <c r="H1144" s="292"/>
      <c r="I1144" s="292"/>
    </row>
    <row r="1145" spans="3:9">
      <c r="C1145" s="292"/>
      <c r="D1145" s="292"/>
      <c r="E1145" s="292"/>
      <c r="F1145" s="292"/>
      <c r="G1145" s="292"/>
      <c r="H1145" s="292"/>
      <c r="I1145" s="292"/>
    </row>
    <row r="1146" spans="3:9">
      <c r="C1146" s="292"/>
      <c r="D1146" s="292"/>
      <c r="E1146" s="292"/>
      <c r="F1146" s="292"/>
      <c r="G1146" s="292"/>
      <c r="H1146" s="292"/>
      <c r="I1146" s="292"/>
    </row>
    <row r="1147" spans="3:9">
      <c r="C1147" s="292"/>
      <c r="D1147" s="292"/>
      <c r="E1147" s="292"/>
      <c r="F1147" s="292"/>
      <c r="G1147" s="292"/>
      <c r="H1147" s="292"/>
      <c r="I1147" s="292"/>
    </row>
    <row r="1148" spans="3:9">
      <c r="C1148" s="292"/>
      <c r="D1148" s="292"/>
      <c r="E1148" s="292"/>
      <c r="F1148" s="292"/>
      <c r="G1148" s="292"/>
      <c r="H1148" s="292"/>
      <c r="I1148" s="292"/>
    </row>
    <row r="1149" spans="3:9">
      <c r="C1149" s="292"/>
      <c r="D1149" s="292"/>
      <c r="E1149" s="292"/>
      <c r="F1149" s="292"/>
      <c r="G1149" s="292"/>
      <c r="H1149" s="292"/>
      <c r="I1149" s="292"/>
    </row>
    <row r="1150" spans="3:9">
      <c r="C1150" s="292"/>
      <c r="D1150" s="292"/>
      <c r="E1150" s="292"/>
      <c r="F1150" s="292"/>
      <c r="G1150" s="292"/>
      <c r="H1150" s="292"/>
      <c r="I1150" s="292"/>
    </row>
    <row r="1151" spans="3:9">
      <c r="C1151" s="292"/>
      <c r="D1151" s="292"/>
      <c r="E1151" s="292"/>
      <c r="F1151" s="292"/>
      <c r="G1151" s="292"/>
      <c r="H1151" s="292"/>
      <c r="I1151" s="292"/>
    </row>
    <row r="1152" spans="3:9">
      <c r="C1152" s="292"/>
      <c r="D1152" s="292"/>
      <c r="E1152" s="292"/>
      <c r="F1152" s="292"/>
      <c r="G1152" s="292"/>
      <c r="H1152" s="292"/>
      <c r="I1152" s="292"/>
    </row>
  </sheetData>
  <sheetProtection sort="0"/>
  <mergeCells count="30">
    <mergeCell ref="H1:I1"/>
    <mergeCell ref="B2:C2"/>
    <mergeCell ref="E2:F2"/>
    <mergeCell ref="H2:I2"/>
    <mergeCell ref="K2:L2"/>
    <mergeCell ref="N2:O2"/>
    <mergeCell ref="Q2:S2"/>
    <mergeCell ref="U2:W2"/>
    <mergeCell ref="Q4:R4"/>
    <mergeCell ref="U4:V4"/>
    <mergeCell ref="E12:F12"/>
    <mergeCell ref="H12:I12"/>
    <mergeCell ref="K13:L13"/>
    <mergeCell ref="N13:O13"/>
    <mergeCell ref="Q13:S13"/>
    <mergeCell ref="N25:O25"/>
    <mergeCell ref="H27:I27"/>
    <mergeCell ref="U13:V13"/>
    <mergeCell ref="U14:V14"/>
    <mergeCell ref="Q15:R15"/>
    <mergeCell ref="U15:V15"/>
    <mergeCell ref="U16:V16"/>
    <mergeCell ref="N24:O24"/>
    <mergeCell ref="E21:F21"/>
    <mergeCell ref="K22:L22"/>
    <mergeCell ref="U17:V17"/>
    <mergeCell ref="H18:I18"/>
    <mergeCell ref="U18:V18"/>
    <mergeCell ref="U19:V19"/>
    <mergeCell ref="U20:V20"/>
  </mergeCells>
  <printOptions horizontalCentered="1"/>
  <pageMargins left="0.511811023622047" right="0.511811023622047" top="0" bottom="0" header="0" footer="0"/>
  <pageSetup scale="2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theme="9" tint="0.39985351115451523"/>
    <pageSetUpPr fitToPage="1"/>
  </sheetPr>
  <dimension ref="A1:S55"/>
  <sheetViews>
    <sheetView showGridLines="0" topLeftCell="B28" zoomScale="80" zoomScaleNormal="80" zoomScaleSheetLayoutView="78" workbookViewId="0">
      <selection activeCell="L33" sqref="L33"/>
    </sheetView>
  </sheetViews>
  <sheetFormatPr baseColWidth="10" defaultColWidth="11.42578125" defaultRowHeight="15.75" customHeight="1"/>
  <cols>
    <col min="1" max="1" width="11" style="6" customWidth="1"/>
    <col min="2" max="2" width="17.5703125" style="6" customWidth="1"/>
    <col min="3" max="3" width="22.5703125" style="6" customWidth="1"/>
    <col min="4" max="4" width="26.5703125" style="6" customWidth="1"/>
    <col min="5" max="5" width="16" style="6" customWidth="1"/>
    <col min="6" max="6" width="18" style="6" bestFit="1" customWidth="1"/>
    <col min="7" max="7" width="24.5703125" style="6" customWidth="1"/>
    <col min="8" max="8" width="23.85546875" style="6" customWidth="1"/>
    <col min="9" max="9" width="14.42578125" style="6" customWidth="1"/>
    <col min="10" max="10" width="20.42578125" style="6" customWidth="1"/>
    <col min="11" max="12" width="12.85546875" style="6" customWidth="1"/>
    <col min="13" max="13" width="17" style="6" customWidth="1"/>
    <col min="14" max="14" width="20" style="6" customWidth="1"/>
    <col min="15" max="15" width="13.7109375" style="6" customWidth="1"/>
    <col min="16" max="16" width="26.5703125" style="6" customWidth="1"/>
    <col min="17" max="17" width="26.28515625" style="6" customWidth="1"/>
    <col min="18" max="18" width="14.85546875" style="6" customWidth="1"/>
    <col min="19" max="19" width="23.7109375" style="6" bestFit="1" customWidth="1"/>
    <col min="20" max="16384" width="11.42578125" style="6"/>
  </cols>
  <sheetData>
    <row r="1" spans="1:19" ht="18" customHeight="1">
      <c r="E1" s="7"/>
      <c r="F1" s="8"/>
    </row>
    <row r="2" spans="1:19" ht="15.75" customHeight="1">
      <c r="B2" s="2056" t="s">
        <v>0</v>
      </c>
      <c r="C2" s="2057"/>
      <c r="D2" s="2057"/>
      <c r="E2" s="2057"/>
      <c r="F2" s="2058"/>
      <c r="H2" s="2056" t="s">
        <v>1</v>
      </c>
      <c r="I2" s="2057"/>
      <c r="J2" s="2057"/>
      <c r="K2" s="2057"/>
      <c r="L2" s="2057"/>
      <c r="M2" s="2057"/>
      <c r="N2" s="2057"/>
      <c r="O2" s="2057"/>
      <c r="P2" s="2057"/>
      <c r="Q2" s="2057"/>
      <c r="R2" s="2058"/>
    </row>
    <row r="3" spans="1:19" ht="15.75" customHeight="1" thickBot="1">
      <c r="A3" s="9"/>
      <c r="B3" s="10"/>
      <c r="C3" s="10"/>
      <c r="D3" s="11"/>
      <c r="E3" s="12"/>
    </row>
    <row r="4" spans="1:19" ht="15.75" customHeight="1" thickBot="1">
      <c r="B4" s="2035" t="s">
        <v>2</v>
      </c>
      <c r="C4" s="2036"/>
      <c r="D4" s="1300" t="s">
        <v>3</v>
      </c>
      <c r="E4" s="1302"/>
      <c r="F4" s="6" t="s">
        <v>124</v>
      </c>
      <c r="H4" s="1304"/>
      <c r="I4" s="1305" t="s">
        <v>5</v>
      </c>
      <c r="J4" s="1306" t="s">
        <v>6</v>
      </c>
      <c r="K4" s="1306" t="s">
        <v>7</v>
      </c>
      <c r="L4" s="1306" t="s">
        <v>8</v>
      </c>
      <c r="M4" s="1306" t="s">
        <v>9</v>
      </c>
      <c r="N4" s="1304" t="s">
        <v>11</v>
      </c>
      <c r="O4" s="1304" t="s">
        <v>13</v>
      </c>
      <c r="P4" s="1304" t="s">
        <v>550</v>
      </c>
      <c r="Q4" s="1307" t="s">
        <v>18</v>
      </c>
      <c r="R4" s="1308" t="s">
        <v>12</v>
      </c>
      <c r="S4" s="1308"/>
    </row>
    <row r="5" spans="1:19" ht="15.75" customHeight="1" thickBot="1">
      <c r="B5" s="2037"/>
      <c r="C5" s="2038"/>
      <c r="D5" s="16" t="s">
        <v>6</v>
      </c>
      <c r="E5" s="17">
        <v>30</v>
      </c>
      <c r="F5" s="6">
        <v>0</v>
      </c>
      <c r="G5" s="1277"/>
      <c r="H5" s="186" t="s">
        <v>19</v>
      </c>
      <c r="I5" s="233">
        <v>720</v>
      </c>
      <c r="J5" s="234">
        <v>235</v>
      </c>
      <c r="K5" s="234">
        <v>235</v>
      </c>
      <c r="L5" s="92">
        <v>260</v>
      </c>
      <c r="M5" s="50">
        <v>235</v>
      </c>
      <c r="N5" s="50">
        <v>720</v>
      </c>
      <c r="O5" s="92" t="s">
        <v>79</v>
      </c>
      <c r="P5" s="234">
        <v>235</v>
      </c>
      <c r="Q5" s="50">
        <v>307</v>
      </c>
      <c r="R5" s="51">
        <v>720</v>
      </c>
      <c r="S5" s="51"/>
    </row>
    <row r="6" spans="1:19" ht="15.75" customHeight="1" thickBot="1">
      <c r="A6" s="6" t="s">
        <v>20</v>
      </c>
      <c r="B6" s="2059" t="s">
        <v>21</v>
      </c>
      <c r="C6" s="2060"/>
      <c r="D6" s="1301" t="s">
        <v>22</v>
      </c>
      <c r="E6" s="1309"/>
      <c r="F6" s="1303" t="s">
        <v>23</v>
      </c>
      <c r="G6" s="1277"/>
      <c r="H6" s="187" t="s">
        <v>24</v>
      </c>
      <c r="I6" s="235">
        <v>150</v>
      </c>
      <c r="J6" s="212">
        <v>100</v>
      </c>
      <c r="K6" s="212">
        <v>100</v>
      </c>
      <c r="L6" s="93">
        <v>200</v>
      </c>
      <c r="M6" s="66">
        <v>150</v>
      </c>
      <c r="N6" s="66">
        <v>100</v>
      </c>
      <c r="O6" s="93">
        <v>475</v>
      </c>
      <c r="P6" s="212">
        <v>100</v>
      </c>
      <c r="Q6" s="66">
        <v>0</v>
      </c>
      <c r="R6" s="166">
        <v>100</v>
      </c>
      <c r="S6" s="166"/>
    </row>
    <row r="7" spans="1:19" ht="15.75" customHeight="1">
      <c r="B7" s="1786" t="s">
        <v>25</v>
      </c>
      <c r="C7" s="1787"/>
      <c r="D7" s="1659">
        <f>+IF($D$5=$I$4,I6,IF($D$5=$J$4,J6,IF($D$5=$K$4,K6,IF($D$5=$L$4,L6,IF($D$5=$M$4,M6,IF($D$5=$N$4,N6,IF($D$5=$O$4,O6,IF($D$5=$P$4,P6,IF($D$5=$Q$4,Q6,IF($D$5=$R$4,R6,0)))))))))*$E$5)</f>
        <v>3000</v>
      </c>
      <c r="E7" s="191"/>
      <c r="F7" s="192">
        <f>D7+E7</f>
        <v>3000</v>
      </c>
      <c r="G7" s="1645">
        <f>+$F$5*F7</f>
        <v>0</v>
      </c>
      <c r="H7" s="187" t="s">
        <v>26</v>
      </c>
      <c r="I7" s="236">
        <v>1.8</v>
      </c>
      <c r="J7" s="69">
        <v>2.6</v>
      </c>
      <c r="K7" s="69">
        <v>3.1</v>
      </c>
      <c r="L7" s="94">
        <v>1.6</v>
      </c>
      <c r="M7" s="67">
        <v>1.8</v>
      </c>
      <c r="N7" s="66">
        <v>2.4</v>
      </c>
      <c r="O7" s="93">
        <v>3.1</v>
      </c>
      <c r="P7" s="69">
        <v>3.1</v>
      </c>
      <c r="Q7" s="66">
        <v>0</v>
      </c>
      <c r="R7" s="166">
        <v>0.09</v>
      </c>
      <c r="S7" s="166"/>
    </row>
    <row r="8" spans="1:19" ht="15.75" customHeight="1">
      <c r="B8" s="1755" t="s">
        <v>681</v>
      </c>
      <c r="C8" s="1756"/>
      <c r="D8" s="31">
        <f>+IF($D$5=$I$4,I7,IF($D$5=$J$4,J7,IF($D$5=$K$4,K7,IF($D$5=$L$4,L7,IF($D$5=$M$4,M7,IF($D$5=$N$4,N7,IF($D$5=$O$4,O7,IF($D$5=$P$4,P7,IF($D$5=$Q$4,Q7,IF($D$5=$R$4,R7,0)))))))))*$E$5)</f>
        <v>78</v>
      </c>
      <c r="E8" s="193"/>
      <c r="F8" s="194">
        <f>D8+E8</f>
        <v>78</v>
      </c>
      <c r="G8" s="1645">
        <f t="shared" ref="G8:G16" si="0">+$F$5*F8</f>
        <v>0</v>
      </c>
      <c r="H8" s="187" t="s">
        <v>28</v>
      </c>
      <c r="I8" s="236">
        <v>2.2000000000000002</v>
      </c>
      <c r="J8" s="69">
        <v>3.2</v>
      </c>
      <c r="K8" s="69">
        <v>2.6</v>
      </c>
      <c r="L8" s="94">
        <v>2.2999999999999998</v>
      </c>
      <c r="M8" s="67">
        <v>2.2000000000000002</v>
      </c>
      <c r="N8" s="66">
        <v>2.4</v>
      </c>
      <c r="O8" s="94">
        <v>4.4000000000000004</v>
      </c>
      <c r="P8" s="69">
        <v>2.6</v>
      </c>
      <c r="Q8" s="66">
        <v>0</v>
      </c>
      <c r="R8" s="166">
        <v>1.9</v>
      </c>
      <c r="S8" s="166"/>
    </row>
    <row r="9" spans="1:19">
      <c r="B9" s="1755" t="s">
        <v>682</v>
      </c>
      <c r="C9" s="1756"/>
      <c r="D9" s="31">
        <f t="shared" ref="D9:D16" si="1">+IF($D$5=$I$4,I8,IF($D$5=$J$4,J8,IF($D$5=$K$4,K8,IF($D$5=$L$4,L8,IF($D$5=$M$4,M8,IF($D$5=$N$4,N8,IF($D$5=$O$4,O8,IF($D$5=$P$4,P8,IF($D$5=$Q$4,Q8,IF($D$5=$R$4,R8,0)))))))))*$E$5)</f>
        <v>96</v>
      </c>
      <c r="E9" s="195"/>
      <c r="F9" s="194">
        <f t="shared" ref="F9:F13" si="2">D9+E9</f>
        <v>96</v>
      </c>
      <c r="G9" s="1645">
        <f t="shared" si="0"/>
        <v>0</v>
      </c>
      <c r="H9" s="187" t="s">
        <v>30</v>
      </c>
      <c r="I9" s="236">
        <v>4.3</v>
      </c>
      <c r="J9" s="69">
        <v>5</v>
      </c>
      <c r="K9" s="69">
        <v>5</v>
      </c>
      <c r="L9" s="93">
        <v>9</v>
      </c>
      <c r="M9" s="67">
        <v>4</v>
      </c>
      <c r="N9" s="66">
        <v>5.0999999999999996</v>
      </c>
      <c r="O9" s="93">
        <v>10</v>
      </c>
      <c r="P9" s="69">
        <v>5</v>
      </c>
      <c r="Q9" s="66">
        <v>1</v>
      </c>
      <c r="R9" s="166">
        <v>3.4</v>
      </c>
      <c r="S9" s="166"/>
    </row>
    <row r="10" spans="1:19" ht="16.5" customHeight="1">
      <c r="B10" s="1755" t="s">
        <v>31</v>
      </c>
      <c r="C10" s="1756"/>
      <c r="D10" s="31">
        <f t="shared" si="1"/>
        <v>150</v>
      </c>
      <c r="E10" s="193"/>
      <c r="F10" s="194">
        <f t="shared" si="2"/>
        <v>150</v>
      </c>
      <c r="G10" s="1645">
        <f t="shared" si="0"/>
        <v>0</v>
      </c>
      <c r="H10" s="187" t="s">
        <v>32</v>
      </c>
      <c r="I10" s="236">
        <v>1.23</v>
      </c>
      <c r="J10" s="69">
        <v>1.1499999999999999</v>
      </c>
      <c r="K10" s="69">
        <v>1.0900000000000001</v>
      </c>
      <c r="L10" s="94">
        <v>1.8</v>
      </c>
      <c r="M10" s="67">
        <v>1.3</v>
      </c>
      <c r="N10" s="66">
        <v>1.0900000000000001</v>
      </c>
      <c r="O10" s="93">
        <v>3.4</v>
      </c>
      <c r="P10" s="69">
        <v>1.0900000000000001</v>
      </c>
      <c r="Q10" s="66">
        <v>0.78</v>
      </c>
      <c r="R10" s="166">
        <v>1.2</v>
      </c>
      <c r="S10" s="166"/>
    </row>
    <row r="11" spans="1:19" ht="15.75" customHeight="1">
      <c r="B11" s="1755" t="s">
        <v>33</v>
      </c>
      <c r="C11" s="1756"/>
      <c r="D11" s="31">
        <f t="shared" si="1"/>
        <v>34.5</v>
      </c>
      <c r="E11" s="193"/>
      <c r="F11" s="24">
        <f t="shared" si="2"/>
        <v>34.5</v>
      </c>
      <c r="G11" s="1645">
        <f t="shared" si="0"/>
        <v>0</v>
      </c>
      <c r="H11" s="187" t="s">
        <v>34</v>
      </c>
      <c r="I11" s="236">
        <v>0.14000000000000001</v>
      </c>
      <c r="J11" s="69">
        <v>0.74</v>
      </c>
      <c r="K11" s="69">
        <v>0.66</v>
      </c>
      <c r="L11" s="94">
        <v>1.4</v>
      </c>
      <c r="M11" s="67">
        <v>0.14000000000000001</v>
      </c>
      <c r="N11" s="67">
        <v>0.5</v>
      </c>
      <c r="O11" s="93">
        <v>0</v>
      </c>
      <c r="P11" s="69">
        <v>0.8</v>
      </c>
      <c r="Q11" s="66">
        <v>0.75</v>
      </c>
      <c r="R11" s="166">
        <v>1.36</v>
      </c>
      <c r="S11" s="166"/>
    </row>
    <row r="12" spans="1:19" ht="15" customHeight="1">
      <c r="B12" s="1755" t="s">
        <v>35</v>
      </c>
      <c r="C12" s="1756"/>
      <c r="D12" s="31">
        <f t="shared" si="1"/>
        <v>22.2</v>
      </c>
      <c r="E12" s="193"/>
      <c r="F12" s="24">
        <f t="shared" si="2"/>
        <v>22.2</v>
      </c>
      <c r="G12" s="1645">
        <f t="shared" si="0"/>
        <v>0</v>
      </c>
      <c r="H12" s="194" t="s">
        <v>36</v>
      </c>
      <c r="I12" s="235">
        <v>7.9000000000000001E-2</v>
      </c>
      <c r="J12" s="237">
        <v>0.14399999999999999</v>
      </c>
      <c r="K12" s="212">
        <v>0.129</v>
      </c>
      <c r="L12" s="93">
        <v>0.21</v>
      </c>
      <c r="M12" s="66">
        <v>7.9000000000000001E-2</v>
      </c>
      <c r="N12" s="66">
        <v>0.113</v>
      </c>
      <c r="O12" s="93">
        <v>0.216</v>
      </c>
      <c r="P12" s="212">
        <v>0.129</v>
      </c>
      <c r="Q12" s="66">
        <v>0</v>
      </c>
      <c r="R12" s="166">
        <v>0.11799999999999999</v>
      </c>
      <c r="S12" s="166"/>
    </row>
    <row r="13" spans="1:19" ht="15.75" customHeight="1">
      <c r="B13" s="1789" t="s">
        <v>37</v>
      </c>
      <c r="C13" s="1790"/>
      <c r="D13" s="31">
        <f t="shared" si="1"/>
        <v>4.3199999999999994</v>
      </c>
      <c r="E13" s="197"/>
      <c r="F13" s="31">
        <f t="shared" si="2"/>
        <v>4.3199999999999994</v>
      </c>
      <c r="G13" s="1645">
        <f t="shared" si="0"/>
        <v>0</v>
      </c>
      <c r="H13" s="187" t="s">
        <v>38</v>
      </c>
      <c r="I13" s="238">
        <v>8.5999999999999993E-2</v>
      </c>
      <c r="J13" s="237">
        <v>0.16500000000000001</v>
      </c>
      <c r="K13" s="212">
        <v>0.129</v>
      </c>
      <c r="L13" s="95">
        <v>0.21</v>
      </c>
      <c r="M13" s="68">
        <v>8.5999999999999993E-2</v>
      </c>
      <c r="N13" s="66">
        <v>0.124</v>
      </c>
      <c r="O13" s="93">
        <v>0.23799999999999999</v>
      </c>
      <c r="P13" s="212">
        <v>0.129</v>
      </c>
      <c r="Q13" s="66">
        <v>0</v>
      </c>
      <c r="R13" s="166">
        <v>0.129</v>
      </c>
      <c r="S13" s="166"/>
    </row>
    <row r="14" spans="1:19" ht="15.75" customHeight="1">
      <c r="B14" s="1755" t="s">
        <v>39</v>
      </c>
      <c r="C14" s="1756"/>
      <c r="D14" s="31">
        <f t="shared" si="1"/>
        <v>4.95</v>
      </c>
      <c r="E14" s="197"/>
      <c r="F14" s="31">
        <f>D14+E14</f>
        <v>4.95</v>
      </c>
      <c r="G14" s="1645">
        <f t="shared" si="0"/>
        <v>0</v>
      </c>
      <c r="H14" s="187" t="s">
        <v>40</v>
      </c>
      <c r="I14" s="235">
        <v>0.05</v>
      </c>
      <c r="J14" s="212">
        <v>0</v>
      </c>
      <c r="K14" s="212">
        <v>0</v>
      </c>
      <c r="L14" s="94">
        <v>0.08</v>
      </c>
      <c r="M14" s="66">
        <v>0.05</v>
      </c>
      <c r="N14" s="66">
        <v>0.05</v>
      </c>
      <c r="O14" s="93">
        <v>0.13</v>
      </c>
      <c r="P14" s="212">
        <v>0</v>
      </c>
      <c r="Q14" s="66">
        <v>0</v>
      </c>
      <c r="R14" s="166">
        <v>0.05</v>
      </c>
      <c r="S14" s="166"/>
    </row>
    <row r="15" spans="1:19" ht="15.75" customHeight="1" thickBot="1">
      <c r="B15" s="1755" t="s">
        <v>41</v>
      </c>
      <c r="C15" s="1756"/>
      <c r="D15" s="31">
        <f t="shared" si="1"/>
        <v>0</v>
      </c>
      <c r="E15" s="193"/>
      <c r="F15" s="31">
        <f>D15+E15</f>
        <v>0</v>
      </c>
      <c r="G15" s="1645">
        <f t="shared" si="0"/>
        <v>0</v>
      </c>
      <c r="H15" s="198" t="s">
        <v>42</v>
      </c>
      <c r="I15" s="239">
        <v>2150</v>
      </c>
      <c r="J15" s="240">
        <v>2430</v>
      </c>
      <c r="K15" s="240">
        <v>2540</v>
      </c>
      <c r="L15" s="96">
        <v>4170</v>
      </c>
      <c r="M15" s="70">
        <v>2640</v>
      </c>
      <c r="N15" s="97">
        <v>1840</v>
      </c>
      <c r="O15" s="241">
        <v>7350</v>
      </c>
      <c r="P15" s="240">
        <v>2540</v>
      </c>
      <c r="Q15" s="97">
        <v>1500</v>
      </c>
      <c r="R15" s="254">
        <v>2100</v>
      </c>
      <c r="S15" s="254"/>
    </row>
    <row r="16" spans="1:19" ht="15.75" customHeight="1" thickBot="1">
      <c r="B16" s="1757" t="s">
        <v>43</v>
      </c>
      <c r="C16" s="1758"/>
      <c r="D16" s="1660">
        <f t="shared" si="1"/>
        <v>72900</v>
      </c>
      <c r="E16" s="200"/>
      <c r="F16" s="201">
        <f>D16+E16</f>
        <v>72900</v>
      </c>
      <c r="G16" s="1645">
        <f t="shared" si="0"/>
        <v>0</v>
      </c>
      <c r="H16" s="202" t="s">
        <v>44</v>
      </c>
      <c r="I16" s="242">
        <v>2937</v>
      </c>
      <c r="J16" s="243">
        <v>2710</v>
      </c>
      <c r="K16" s="243">
        <v>2810</v>
      </c>
      <c r="L16" s="98">
        <v>4500</v>
      </c>
      <c r="M16" s="71">
        <v>2979</v>
      </c>
      <c r="N16" s="71">
        <v>2590</v>
      </c>
      <c r="O16" s="98">
        <v>8200</v>
      </c>
      <c r="P16" s="243">
        <v>2810</v>
      </c>
      <c r="Q16" s="255">
        <v>1735</v>
      </c>
      <c r="R16" s="256">
        <v>2846</v>
      </c>
      <c r="S16" s="256"/>
    </row>
    <row r="17" spans="1:19" ht="15.75" customHeight="1" thickBot="1">
      <c r="G17" s="1646"/>
      <c r="I17" s="60"/>
      <c r="J17" s="60"/>
      <c r="K17" s="60"/>
      <c r="L17" s="60"/>
      <c r="M17" s="60"/>
      <c r="N17" s="60"/>
      <c r="O17" s="60"/>
      <c r="P17" s="60"/>
    </row>
    <row r="18" spans="1:19" ht="15.75" customHeight="1">
      <c r="B18" s="2052" t="s">
        <v>45</v>
      </c>
      <c r="C18" s="2053"/>
      <c r="D18" s="39">
        <f>+IF($D$5=$I$4,I16,IF($D$5=$J$4,J16,IF($D$5=$K$4,K16,IF($D$5=$L$4,L16,IF($D$5=$M$4,M16,IF($D$5=$N$4,N16,IF($D$5=$O$4,O16,IF($D$5=$P$4,P16,IF($D$5=$Q$4,Q16,IF($D$5=$R$4,R16,IF($D$5=#REF!,#REF!,IF($D$5=#REF!,#REF!,IF($D$5=#REF!,#REF!,IF($D$5=#REF!,#REF!,0))))))))))))))*$E$5</f>
        <v>81300</v>
      </c>
      <c r="E18" s="11">
        <f>+D18*F5</f>
        <v>0</v>
      </c>
      <c r="F18" s="203"/>
      <c r="G18" s="6" t="s">
        <v>46</v>
      </c>
      <c r="H18" s="42" t="s">
        <v>47</v>
      </c>
      <c r="I18" s="1761" t="s">
        <v>48</v>
      </c>
      <c r="J18" s="1762"/>
      <c r="K18" s="244">
        <v>235</v>
      </c>
      <c r="L18" s="99">
        <f>+K18*E5</f>
        <v>7050</v>
      </c>
    </row>
    <row r="19" spans="1:19" ht="15.75" customHeight="1">
      <c r="B19" s="7"/>
      <c r="C19" s="7"/>
      <c r="D19" s="62"/>
      <c r="E19" s="11"/>
      <c r="F19" s="203"/>
      <c r="H19" s="172"/>
      <c r="I19" s="60"/>
      <c r="J19" s="62"/>
      <c r="K19" s="64"/>
      <c r="L19" s="41"/>
    </row>
    <row r="20" spans="1:19" ht="15.75" customHeight="1">
      <c r="B20" s="7"/>
      <c r="C20" s="7"/>
      <c r="D20" s="62"/>
      <c r="E20" s="11"/>
      <c r="F20" s="204"/>
      <c r="H20" s="172"/>
      <c r="I20" s="62"/>
      <c r="J20" s="62"/>
      <c r="K20" s="64"/>
      <c r="L20" s="41"/>
    </row>
    <row r="21" spans="1:19" ht="15.75" customHeight="1">
      <c r="B21" s="2029" t="s">
        <v>551</v>
      </c>
      <c r="C21" s="2030"/>
      <c r="D21" s="2030"/>
      <c r="E21" s="2030"/>
      <c r="F21" s="2030"/>
      <c r="G21" s="2030"/>
      <c r="H21" s="2030"/>
      <c r="I21" s="2030"/>
      <c r="J21" s="2031"/>
      <c r="K21" s="64"/>
    </row>
    <row r="22" spans="1:19" ht="15.75" customHeight="1" thickBot="1">
      <c r="B22" s="2032"/>
      <c r="C22" s="2033"/>
      <c r="D22" s="2033"/>
      <c r="E22" s="2033"/>
      <c r="F22" s="2033"/>
      <c r="G22" s="2033"/>
      <c r="H22" s="2033"/>
      <c r="I22" s="2033"/>
      <c r="J22" s="2034"/>
      <c r="K22" s="245"/>
      <c r="Q22" s="61"/>
      <c r="R22" s="232"/>
    </row>
    <row r="23" spans="1:19" ht="36" customHeight="1" thickBot="1">
      <c r="B23" s="2039" t="s">
        <v>552</v>
      </c>
      <c r="C23" s="2040"/>
      <c r="D23" s="2040"/>
      <c r="E23" s="2041"/>
      <c r="F23" s="2042" t="s">
        <v>553</v>
      </c>
      <c r="G23" s="2043"/>
      <c r="H23" s="2044" t="s">
        <v>554</v>
      </c>
      <c r="I23" s="2045"/>
      <c r="J23" s="2046"/>
      <c r="K23" s="8"/>
      <c r="R23" s="232"/>
    </row>
    <row r="24" spans="1:19" ht="60">
      <c r="B24" s="205" t="s">
        <v>555</v>
      </c>
      <c r="C24" s="206" t="s">
        <v>767</v>
      </c>
      <c r="D24" s="206" t="s">
        <v>556</v>
      </c>
      <c r="E24" s="207" t="s">
        <v>557</v>
      </c>
      <c r="F24" s="208" t="s">
        <v>558</v>
      </c>
      <c r="G24" s="209" t="s">
        <v>559</v>
      </c>
      <c r="H24" s="210" t="s">
        <v>1389</v>
      </c>
      <c r="I24" s="1251" t="s">
        <v>763</v>
      </c>
      <c r="J24" s="226" t="s">
        <v>560</v>
      </c>
      <c r="K24" s="8"/>
      <c r="Q24" s="61"/>
      <c r="R24" s="61"/>
    </row>
    <row r="25" spans="1:19" ht="30.75" thickBot="1">
      <c r="A25" s="1326" t="s">
        <v>683</v>
      </c>
      <c r="B25" s="211">
        <v>90</v>
      </c>
      <c r="C25" s="212">
        <v>117.5</v>
      </c>
      <c r="D25" s="212">
        <v>135</v>
      </c>
      <c r="E25" s="213">
        <v>260</v>
      </c>
      <c r="F25" s="214"/>
      <c r="G25" s="215"/>
      <c r="H25" s="216">
        <v>260</v>
      </c>
      <c r="I25" s="1421">
        <v>250</v>
      </c>
      <c r="J25" s="213">
        <v>200</v>
      </c>
      <c r="K25" s="8"/>
    </row>
    <row r="26" spans="1:19" ht="31.5" customHeight="1" thickBot="1">
      <c r="A26" s="1326" t="s">
        <v>686</v>
      </c>
      <c r="B26" s="217">
        <f>+E5*B25</f>
        <v>2700</v>
      </c>
      <c r="C26" s="167">
        <f>+E5*C25</f>
        <v>3525</v>
      </c>
      <c r="D26" s="218">
        <f>+E5*D25</f>
        <v>4050</v>
      </c>
      <c r="E26" s="219">
        <f>+E5*E25</f>
        <v>7800</v>
      </c>
      <c r="F26" s="220">
        <f>+E5*720</f>
        <v>21600</v>
      </c>
      <c r="G26" s="221">
        <f>+E5*720</f>
        <v>21600</v>
      </c>
      <c r="H26" s="220">
        <f>+(E5)*H25</f>
        <v>7800</v>
      </c>
      <c r="I26" s="1422">
        <f>+(E5/2)*I25</f>
        <v>3750</v>
      </c>
      <c r="J26" s="1280">
        <f>+(E5)*J25</f>
        <v>6000</v>
      </c>
      <c r="K26" s="8"/>
      <c r="L26" s="8"/>
      <c r="Q26" s="2054" t="s">
        <v>594</v>
      </c>
      <c r="R26" s="2055"/>
      <c r="S26" s="1274" t="s">
        <v>668</v>
      </c>
    </row>
    <row r="27" spans="1:19" ht="21" customHeight="1" thickBot="1">
      <c r="A27" s="1331" t="s">
        <v>561</v>
      </c>
      <c r="B27" s="1328">
        <f>+B26/D33</f>
        <v>15</v>
      </c>
      <c r="C27" s="1329">
        <f>+C26/D34</f>
        <v>13.30188679245283</v>
      </c>
      <c r="D27" s="1327">
        <f>+D26/D35</f>
        <v>22.5</v>
      </c>
      <c r="E27" s="1330">
        <f>+E26/D32</f>
        <v>29.433962264150942</v>
      </c>
      <c r="F27" s="144"/>
      <c r="H27" s="148"/>
      <c r="I27" s="8"/>
      <c r="J27" s="8"/>
      <c r="K27" s="8"/>
      <c r="L27" s="8"/>
      <c r="M27" s="44"/>
      <c r="Q27" s="120" t="s">
        <v>49</v>
      </c>
      <c r="R27" s="121">
        <v>235</v>
      </c>
      <c r="S27" s="122">
        <f>+R27*1.5</f>
        <v>352.5</v>
      </c>
    </row>
    <row r="28" spans="1:19" ht="15.75" customHeight="1" thickBot="1">
      <c r="B28" s="44"/>
      <c r="C28" s="222"/>
      <c r="D28" s="45"/>
      <c r="E28" s="44"/>
      <c r="F28" s="48"/>
      <c r="H28" s="148"/>
      <c r="I28" s="8"/>
      <c r="J28" s="8"/>
      <c r="K28" s="8"/>
      <c r="L28" s="8"/>
      <c r="M28" s="44"/>
      <c r="Q28" s="120" t="s">
        <v>54</v>
      </c>
      <c r="R28" s="234">
        <v>235</v>
      </c>
      <c r="S28" s="234">
        <f>+R28*0.5</f>
        <v>117.5</v>
      </c>
    </row>
    <row r="29" spans="1:19" ht="33" customHeight="1" thickBot="1">
      <c r="B29" s="1310" t="s">
        <v>562</v>
      </c>
      <c r="C29" s="1311" t="s">
        <v>50</v>
      </c>
      <c r="D29" s="1312" t="s">
        <v>563</v>
      </c>
      <c r="E29" s="7"/>
      <c r="M29" s="44"/>
      <c r="Q29" s="123" t="s">
        <v>582</v>
      </c>
      <c r="R29" s="212">
        <v>100</v>
      </c>
      <c r="S29" s="234">
        <f t="shared" ref="S29:S39" si="3">+R29*0.5</f>
        <v>50</v>
      </c>
    </row>
    <row r="30" spans="1:19" ht="24.95" customHeight="1" thickBot="1">
      <c r="B30" s="211" t="s">
        <v>52</v>
      </c>
      <c r="C30" s="212"/>
      <c r="D30" s="213">
        <v>235</v>
      </c>
      <c r="E30" s="223"/>
      <c r="F30" s="223"/>
      <c r="H30" s="2047" t="s">
        <v>564</v>
      </c>
      <c r="I30" s="2048"/>
      <c r="J30" s="2048"/>
      <c r="K30" s="2048"/>
      <c r="L30" s="2048"/>
      <c r="M30" s="2049"/>
      <c r="Q30" s="123" t="s">
        <v>27</v>
      </c>
      <c r="R30" s="69">
        <v>2.6</v>
      </c>
      <c r="S30" s="234">
        <f t="shared" si="3"/>
        <v>1.3</v>
      </c>
    </row>
    <row r="31" spans="1:19" ht="24.95" customHeight="1">
      <c r="B31" s="211" t="s">
        <v>54</v>
      </c>
      <c r="C31" s="212"/>
      <c r="D31" s="213">
        <v>235</v>
      </c>
      <c r="E31" s="57"/>
      <c r="F31" s="57"/>
      <c r="H31" s="1313" t="s">
        <v>222</v>
      </c>
      <c r="I31" s="1314" t="s">
        <v>444</v>
      </c>
      <c r="J31" s="1314" t="s">
        <v>565</v>
      </c>
      <c r="K31" s="1314" t="s">
        <v>566</v>
      </c>
      <c r="L31" s="1315" t="s">
        <v>567</v>
      </c>
      <c r="M31" s="1316" t="s">
        <v>670</v>
      </c>
      <c r="Q31" s="123" t="s">
        <v>29</v>
      </c>
      <c r="R31" s="69">
        <v>3.2</v>
      </c>
      <c r="S31" s="234">
        <f t="shared" si="3"/>
        <v>1.6</v>
      </c>
    </row>
    <row r="32" spans="1:19" ht="29.25" customHeight="1">
      <c r="B32" s="225" t="s">
        <v>684</v>
      </c>
      <c r="C32" s="212"/>
      <c r="D32" s="226">
        <v>265</v>
      </c>
      <c r="E32" s="183"/>
      <c r="F32" s="57"/>
      <c r="H32" s="1325" t="s">
        <v>9</v>
      </c>
      <c r="I32" s="102"/>
      <c r="J32" s="102">
        <v>4000</v>
      </c>
      <c r="K32" s="103">
        <v>0</v>
      </c>
      <c r="L32" s="1333">
        <v>2000</v>
      </c>
      <c r="M32" s="104"/>
      <c r="Q32" s="22" t="s">
        <v>31</v>
      </c>
      <c r="R32" s="69">
        <v>5</v>
      </c>
      <c r="S32" s="234">
        <f t="shared" si="3"/>
        <v>2.5</v>
      </c>
    </row>
    <row r="33" spans="2:19" ht="36.75" customHeight="1">
      <c r="B33" s="225" t="s">
        <v>568</v>
      </c>
      <c r="C33" s="227"/>
      <c r="D33" s="226">
        <v>180</v>
      </c>
      <c r="E33" s="52"/>
      <c r="F33" s="57"/>
      <c r="H33" s="1317" t="s">
        <v>569</v>
      </c>
      <c r="I33" s="1729">
        <f>+I32*12</f>
        <v>0</v>
      </c>
      <c r="J33" s="1318">
        <f>+J32*6</f>
        <v>24000</v>
      </c>
      <c r="K33" s="1319">
        <f>+K32*4.8</f>
        <v>0</v>
      </c>
      <c r="L33" s="1320">
        <f>+L32*5.94</f>
        <v>11880</v>
      </c>
      <c r="M33" s="1320">
        <f>+M32*6</f>
        <v>0</v>
      </c>
      <c r="Q33" s="123" t="s">
        <v>33</v>
      </c>
      <c r="R33" s="69">
        <v>1.1499999999999999</v>
      </c>
      <c r="S33" s="234">
        <f t="shared" si="3"/>
        <v>0.57499999999999996</v>
      </c>
    </row>
    <row r="34" spans="2:19" ht="39" customHeight="1" thickBot="1">
      <c r="B34" s="225" t="s">
        <v>685</v>
      </c>
      <c r="C34" s="228"/>
      <c r="D34" s="213">
        <v>265</v>
      </c>
      <c r="E34" s="52"/>
      <c r="F34" s="57"/>
      <c r="G34" s="61"/>
      <c r="H34" s="1321" t="s">
        <v>570</v>
      </c>
      <c r="I34" s="1379">
        <f>+IF($H$32=$I$4,(I33/$I$16)*4,IF($H$32=$J$4,I33/$J$16,IF($H$32=$K$4,I33/$K$16,IF($H$32=$L$4,I33/$L$16,IF($H$32=$M$4,I33/$M$16,IF($H$32=$N$4,I33/$N$16,IF($H$32=$O$4,I33/$O$16)))))))</f>
        <v>0</v>
      </c>
      <c r="J34" s="1379">
        <f>+IF($H$32=$I$4,(J33/$I$16)*4,IF($H$32=$J$4,J33/$J$16,IF($H$32=$K$4,J33/$K$16,IF($H$32=$L$4,J33/$L$16,IF($H$32=$M$4,J33/$M$16,IF($H$32=$N$4,J33/$N$16,IF($H$32=$O$4,J33/$O$16)))))))</f>
        <v>8.0563947633434037</v>
      </c>
      <c r="K34" s="1322">
        <f>+IF($H$32=$I$4,(K33/$I$16)*4,IF($H$32=$J$4,K33/$J$16,IF($H$32=$K$4,K33/$K$16,IF($H$32=$L$4,K33/$L$16,IF($H$32=$M$4,K33/$M$16,IF($H$32=$N$4,K33/$N$16,IF($H$32=$O$4,K33/$O$16)))))))</f>
        <v>0</v>
      </c>
      <c r="L34" s="1323">
        <f>+IF($H$32=$I$4,(L33/$I$16)*4,IF($H$32=$J$4,L33/$J$16,IF($H$32=$K$4,L33/$K$16,IF($H$32=$L$4,L33/$L$16,IF($H$32=$M$4,L33/$M$16,IF($H$32=$N$4,L33/$N$16,IF($H$32=$O$4,L33/$O$16)))))))</f>
        <v>3.987915407854985</v>
      </c>
      <c r="M34" s="1323">
        <f>+IF($H$32=$I$4,(M33/$I$16)*4,IF($H$32=$J$4,M33/$J$16,IF($H$32=$K$4,M33/$K$16,IF($H$32=$L$4,M33/$L$16,IF($H$32=$M$4,M33/$M$16,IF($H$32=$N$4,M33/$N$16,IF($H$32=$O$4,M33/$O$16)))))))</f>
        <v>0</v>
      </c>
      <c r="N34" s="148">
        <f>+I34+J34+K34+L34+M34</f>
        <v>12.044310171198388</v>
      </c>
      <c r="Q34" s="123" t="s">
        <v>35</v>
      </c>
      <c r="R34" s="69">
        <v>0.74</v>
      </c>
      <c r="S34" s="234">
        <f t="shared" si="3"/>
        <v>0.37</v>
      </c>
    </row>
    <row r="35" spans="2:19" ht="24.95" customHeight="1" thickBot="1">
      <c r="B35" s="225" t="s">
        <v>571</v>
      </c>
      <c r="C35" s="228"/>
      <c r="D35" s="226">
        <v>180</v>
      </c>
      <c r="E35" s="182"/>
      <c r="F35" s="223"/>
      <c r="G35" s="223"/>
      <c r="H35" s="1324" t="s">
        <v>572</v>
      </c>
      <c r="I35" s="2050">
        <f>ROUNDUP(N34,0)</f>
        <v>13</v>
      </c>
      <c r="J35" s="2050"/>
      <c r="K35" s="2050"/>
      <c r="L35" s="2050"/>
      <c r="M35" s="2051"/>
      <c r="N35" s="8"/>
      <c r="Q35" s="123" t="s">
        <v>37</v>
      </c>
      <c r="R35" s="237">
        <v>0.14399999999999999</v>
      </c>
      <c r="S35" s="234">
        <f t="shared" si="3"/>
        <v>7.1999999999999995E-2</v>
      </c>
    </row>
    <row r="36" spans="2:19" ht="24.95" customHeight="1">
      <c r="B36" s="229" t="s">
        <v>573</v>
      </c>
      <c r="C36" s="227"/>
      <c r="D36" s="230">
        <v>180</v>
      </c>
      <c r="E36" s="182"/>
      <c r="F36" s="56"/>
      <c r="G36" s="57"/>
      <c r="H36" s="60" t="s">
        <v>689</v>
      </c>
      <c r="I36" s="232">
        <v>6000</v>
      </c>
      <c r="J36" s="232">
        <f>1875</f>
        <v>1875</v>
      </c>
      <c r="K36" s="60">
        <v>3000</v>
      </c>
      <c r="L36" s="144">
        <v>2475</v>
      </c>
      <c r="M36" s="6">
        <v>3000</v>
      </c>
      <c r="Q36" s="123" t="s">
        <v>39</v>
      </c>
      <c r="R36" s="237">
        <v>0.16500000000000001</v>
      </c>
      <c r="S36" s="234">
        <f t="shared" si="3"/>
        <v>8.2500000000000004E-2</v>
      </c>
    </row>
    <row r="37" spans="2:19" ht="24.95" customHeight="1">
      <c r="B37" s="229" t="s">
        <v>451</v>
      </c>
      <c r="C37" s="228"/>
      <c r="D37" s="230">
        <v>180</v>
      </c>
      <c r="E37" s="182"/>
      <c r="F37" s="56"/>
      <c r="G37" s="57"/>
      <c r="H37" s="60" t="s">
        <v>575</v>
      </c>
      <c r="I37" s="232">
        <f>+I33/I36</f>
        <v>0</v>
      </c>
      <c r="J37" s="232">
        <f>+J33/J36</f>
        <v>12.8</v>
      </c>
      <c r="K37" s="60">
        <f>+K33/K36</f>
        <v>0</v>
      </c>
      <c r="L37" s="60">
        <f>+L33/L36</f>
        <v>4.8</v>
      </c>
      <c r="M37" s="60">
        <f>+M33/M36</f>
        <v>0</v>
      </c>
      <c r="Q37" s="123" t="s">
        <v>41</v>
      </c>
      <c r="R37" s="212">
        <v>0</v>
      </c>
      <c r="S37" s="234">
        <f t="shared" si="3"/>
        <v>0</v>
      </c>
    </row>
    <row r="38" spans="2:19" ht="24.95" customHeight="1" thickBot="1">
      <c r="B38" s="1283"/>
      <c r="C38" s="231"/>
      <c r="D38" s="1284"/>
      <c r="E38" s="182"/>
      <c r="F38" s="57"/>
      <c r="G38" s="57"/>
      <c r="H38" s="1754"/>
      <c r="I38" s="1754"/>
      <c r="J38" s="1754"/>
      <c r="K38" s="232"/>
      <c r="L38" s="232"/>
      <c r="Q38" s="129" t="s">
        <v>43</v>
      </c>
      <c r="R38" s="240">
        <v>2430</v>
      </c>
      <c r="S38" s="234">
        <f t="shared" si="3"/>
        <v>1215</v>
      </c>
    </row>
    <row r="39" spans="2:19" ht="24.95" customHeight="1" thickBot="1">
      <c r="B39" s="61"/>
      <c r="C39" s="61"/>
      <c r="D39" s="61"/>
      <c r="E39" s="182"/>
      <c r="F39" s="57"/>
      <c r="G39" s="57"/>
      <c r="H39" s="7"/>
      <c r="I39" s="61"/>
      <c r="J39" s="232"/>
      <c r="K39" s="232"/>
      <c r="L39" s="60"/>
      <c r="Q39" s="130" t="s">
        <v>596</v>
      </c>
      <c r="R39" s="1279">
        <v>2710</v>
      </c>
      <c r="S39" s="234">
        <f t="shared" si="3"/>
        <v>1355</v>
      </c>
    </row>
    <row r="40" spans="2:19" ht="15.75" customHeight="1">
      <c r="B40" s="61"/>
      <c r="C40" s="61"/>
      <c r="D40" s="61"/>
      <c r="E40" s="182"/>
      <c r="F40" s="56"/>
      <c r="G40" s="57"/>
      <c r="H40" s="7"/>
      <c r="I40" s="61"/>
      <c r="J40" s="232"/>
      <c r="K40" s="253"/>
      <c r="L40" s="253"/>
      <c r="M40" s="76"/>
      <c r="Q40" s="59"/>
      <c r="R40" s="58"/>
      <c r="S40" s="1278"/>
    </row>
    <row r="41" spans="2:19" ht="15.75" customHeight="1">
      <c r="E41" s="61"/>
      <c r="F41" s="232"/>
      <c r="G41" s="61"/>
      <c r="H41" s="7"/>
      <c r="I41" s="232"/>
      <c r="J41" s="232"/>
      <c r="K41" s="232"/>
      <c r="L41" s="232"/>
      <c r="N41" s="44"/>
      <c r="O41" s="44"/>
      <c r="P41" s="44"/>
    </row>
    <row r="42" spans="2:19" ht="15.75" customHeight="1">
      <c r="E42" s="61"/>
      <c r="F42" s="232"/>
      <c r="G42" s="61"/>
      <c r="H42" s="7"/>
      <c r="I42" s="232"/>
      <c r="J42" s="232"/>
      <c r="K42" s="232"/>
      <c r="L42" s="232"/>
      <c r="N42" s="44"/>
      <c r="O42" s="44"/>
      <c r="P42" s="44"/>
    </row>
    <row r="43" spans="2:19" ht="15.75" customHeight="1">
      <c r="D43" s="62"/>
      <c r="F43" s="232"/>
      <c r="G43" s="61"/>
      <c r="H43" s="7"/>
      <c r="I43" s="232"/>
      <c r="J43" s="232"/>
      <c r="K43" s="232"/>
      <c r="L43" s="232"/>
      <c r="M43" s="76"/>
      <c r="N43" s="44"/>
      <c r="O43" s="44"/>
      <c r="P43" s="44"/>
      <c r="Q43" s="44"/>
    </row>
    <row r="44" spans="2:19" ht="15.75" customHeight="1">
      <c r="D44" s="60"/>
      <c r="F44" s="232"/>
      <c r="G44" s="61"/>
      <c r="H44" s="7"/>
      <c r="I44" s="232"/>
      <c r="J44" s="232"/>
      <c r="K44" s="232"/>
      <c r="L44" s="232"/>
      <c r="N44" s="44"/>
      <c r="O44" s="44"/>
      <c r="P44" s="44"/>
      <c r="Q44" s="44"/>
    </row>
    <row r="45" spans="2:19" ht="15.75" customHeight="1">
      <c r="D45" s="60"/>
      <c r="E45" s="63"/>
      <c r="F45" s="142"/>
      <c r="G45" s="61"/>
      <c r="H45" s="7"/>
      <c r="I45" s="232"/>
      <c r="J45" s="232"/>
      <c r="K45" s="232"/>
      <c r="L45" s="232"/>
      <c r="N45" s="44"/>
      <c r="O45" s="44"/>
      <c r="P45" s="44"/>
      <c r="Q45" s="44"/>
    </row>
    <row r="46" spans="2:19" ht="15.75" customHeight="1">
      <c r="D46" s="60"/>
      <c r="E46" s="63"/>
      <c r="F46" s="44"/>
      <c r="H46" s="45"/>
      <c r="I46" s="61"/>
      <c r="J46" s="142"/>
      <c r="K46" s="8"/>
      <c r="L46" s="8"/>
      <c r="M46" s="76"/>
      <c r="N46" s="44"/>
      <c r="O46" s="44"/>
      <c r="P46" s="44"/>
      <c r="Q46" s="44"/>
    </row>
    <row r="47" spans="2:19" ht="15.75" customHeight="1">
      <c r="D47" s="60"/>
      <c r="E47" s="63"/>
      <c r="F47" s="44"/>
      <c r="H47" s="7"/>
      <c r="I47" s="142"/>
      <c r="J47" s="142"/>
      <c r="K47" s="8"/>
      <c r="L47" s="8"/>
      <c r="N47" s="44"/>
      <c r="O47" s="44"/>
      <c r="P47" s="44"/>
      <c r="Q47" s="44"/>
    </row>
    <row r="48" spans="2:19" ht="15.75" customHeight="1">
      <c r="D48" s="60"/>
      <c r="E48" s="63"/>
      <c r="H48" s="7"/>
      <c r="I48" s="61"/>
      <c r="J48" s="146"/>
      <c r="K48" s="8"/>
      <c r="L48" s="8"/>
      <c r="N48" s="44"/>
      <c r="O48" s="44"/>
      <c r="P48" s="44"/>
      <c r="Q48" s="44"/>
    </row>
    <row r="49" spans="4:17" ht="15.75" customHeight="1">
      <c r="D49" s="64"/>
      <c r="E49" s="63"/>
      <c r="H49" s="7"/>
      <c r="I49" s="144"/>
      <c r="J49" s="232"/>
      <c r="M49" s="76"/>
      <c r="N49" s="44"/>
      <c r="O49" s="44"/>
      <c r="P49" s="44"/>
      <c r="Q49" s="44"/>
    </row>
    <row r="50" spans="4:17" ht="15.75" customHeight="1">
      <c r="D50" s="64"/>
      <c r="E50" s="63"/>
      <c r="H50" s="7"/>
      <c r="I50" s="53"/>
      <c r="J50" s="144"/>
      <c r="N50" s="44"/>
      <c r="O50" s="44"/>
      <c r="P50" s="44"/>
      <c r="Q50" s="44"/>
    </row>
    <row r="51" spans="4:17" ht="15.75" customHeight="1">
      <c r="D51" s="60"/>
      <c r="E51" s="63"/>
      <c r="Q51" s="44"/>
    </row>
    <row r="52" spans="4:17" ht="15.75" customHeight="1">
      <c r="D52" s="62"/>
      <c r="E52" s="63"/>
      <c r="Q52" s="44"/>
    </row>
    <row r="53" spans="4:17" ht="15.75" customHeight="1">
      <c r="E53" s="63"/>
    </row>
    <row r="54" spans="4:17" ht="15.75" customHeight="1">
      <c r="E54" s="63"/>
    </row>
    <row r="55" spans="4:17" ht="15.75" customHeight="1">
      <c r="E55" s="63"/>
      <c r="F55" s="63"/>
      <c r="G55" s="63"/>
      <c r="H55" s="63"/>
      <c r="I55" s="63"/>
      <c r="J55" s="63"/>
      <c r="K55" s="63"/>
    </row>
  </sheetData>
  <sheetProtection selectLockedCells="1"/>
  <mergeCells count="24">
    <mergeCell ref="B18:C18"/>
    <mergeCell ref="I18:J18"/>
    <mergeCell ref="Q26:R26"/>
    <mergeCell ref="B2:F2"/>
    <mergeCell ref="H2:R2"/>
    <mergeCell ref="B6:C6"/>
    <mergeCell ref="B7:C7"/>
    <mergeCell ref="B8:C8"/>
    <mergeCell ref="H38:J38"/>
    <mergeCell ref="B21:J22"/>
    <mergeCell ref="B4:C5"/>
    <mergeCell ref="B23:E23"/>
    <mergeCell ref="F23:G23"/>
    <mergeCell ref="H23:J23"/>
    <mergeCell ref="B9:C9"/>
    <mergeCell ref="B10:C10"/>
    <mergeCell ref="B11:C11"/>
    <mergeCell ref="B12:C12"/>
    <mergeCell ref="B13:C13"/>
    <mergeCell ref="B14:C14"/>
    <mergeCell ref="B15:C15"/>
    <mergeCell ref="B16:C16"/>
    <mergeCell ref="H30:M30"/>
    <mergeCell ref="I35:M35"/>
  </mergeCells>
  <dataValidations count="3">
    <dataValidation type="list" showInputMessage="1" showErrorMessage="1" sqref="D5" xr:uid="{00000000-0002-0000-0C00-000000000000}">
      <formula1>$I$4:$S$4</formula1>
    </dataValidation>
    <dataValidation type="whole" showErrorMessage="1" errorTitle="Seleccionar Sabor" error="Seleccionar el sabor de la producción de la Lista" sqref="E5" xr:uid="{00000000-0002-0000-0C00-000001000000}">
      <formula1>0</formula1>
      <formula2>1000</formula2>
    </dataValidation>
    <dataValidation type="list" allowBlank="1" showInputMessage="1" showErrorMessage="1" sqref="H32" xr:uid="{00000000-0002-0000-0C00-000002000000}">
      <formula1>$I$4:$R$4</formula1>
    </dataValidation>
  </dataValidations>
  <printOptions horizontalCentered="1" verticalCentered="1"/>
  <pageMargins left="0.31496062992126" right="0.31496062992126" top="0.59055118110236204" bottom="0.59055118110236204" header="0" footer="0"/>
  <pageSetup scale="51" fitToWidth="0" orientation="landscape" verticalDpi="300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AF5A-D187-4EA4-A0B3-413C52C0E9A8}">
  <sheetPr codeName="Hoja17">
    <tabColor rgb="FF7030A0"/>
    <pageSetUpPr fitToPage="1"/>
  </sheetPr>
  <dimension ref="A1:N55"/>
  <sheetViews>
    <sheetView showGridLines="0" tabSelected="1" zoomScale="80" zoomScaleNormal="80" zoomScaleSheetLayoutView="78" workbookViewId="0">
      <selection activeCell="D18" sqref="D18"/>
    </sheetView>
  </sheetViews>
  <sheetFormatPr baseColWidth="10" defaultColWidth="11.42578125" defaultRowHeight="15.75" customHeight="1"/>
  <cols>
    <col min="1" max="1" width="11" style="6" customWidth="1"/>
    <col min="2" max="2" width="17.5703125" style="6" customWidth="1"/>
    <col min="3" max="3" width="22.5703125" style="6" customWidth="1"/>
    <col min="4" max="4" width="26.5703125" style="6" customWidth="1"/>
    <col min="5" max="5" width="16" style="6" customWidth="1"/>
    <col min="6" max="6" width="20" style="6" customWidth="1"/>
    <col min="7" max="7" width="14" style="6" customWidth="1"/>
    <col min="8" max="8" width="23.85546875" style="6" customWidth="1"/>
    <col min="9" max="9" width="19.140625" style="6" bestFit="1" customWidth="1"/>
    <col min="10" max="10" width="20.42578125" style="6" customWidth="1"/>
    <col min="11" max="11" width="12.85546875" style="6" customWidth="1"/>
    <col min="12" max="12" width="17.140625" style="6" bestFit="1" customWidth="1"/>
    <col min="13" max="13" width="17" style="6" customWidth="1"/>
    <col min="14" max="14" width="20" style="6" customWidth="1"/>
    <col min="15" max="16384" width="11.42578125" style="6"/>
  </cols>
  <sheetData>
    <row r="1" spans="1:14" ht="18" customHeight="1" thickBot="1">
      <c r="E1" s="7"/>
      <c r="F1" s="8"/>
    </row>
    <row r="2" spans="1:14" ht="15.75" customHeight="1" thickBot="1">
      <c r="B2" s="1777" t="s">
        <v>0</v>
      </c>
      <c r="C2" s="1778"/>
      <c r="D2" s="1778"/>
      <c r="E2" s="1778"/>
      <c r="F2" s="1779"/>
      <c r="H2" s="1777" t="s">
        <v>1</v>
      </c>
      <c r="I2" s="1778"/>
      <c r="J2" s="1778"/>
      <c r="K2" s="1778"/>
      <c r="L2" s="1778"/>
      <c r="M2" s="1778"/>
      <c r="N2" s="1778"/>
    </row>
    <row r="3" spans="1:14" ht="15.75" customHeight="1" thickBot="1">
      <c r="A3" s="9"/>
      <c r="B3" s="10"/>
      <c r="C3" s="10"/>
      <c r="D3" s="11"/>
      <c r="E3" s="12"/>
    </row>
    <row r="4" spans="1:14" ht="15.75" customHeight="1" thickBot="1">
      <c r="B4" s="1780" t="s">
        <v>2</v>
      </c>
      <c r="C4" s="1781"/>
      <c r="D4" s="1211" t="s">
        <v>3</v>
      </c>
      <c r="E4" s="1212" t="s">
        <v>4</v>
      </c>
      <c r="F4" s="6" t="s">
        <v>124</v>
      </c>
      <c r="H4" s="1671"/>
      <c r="I4" s="1672" t="s">
        <v>761</v>
      </c>
      <c r="J4" s="1673" t="s">
        <v>762</v>
      </c>
      <c r="K4" s="1673" t="s">
        <v>766</v>
      </c>
      <c r="L4" s="1673" t="s">
        <v>764</v>
      </c>
      <c r="M4" s="1673"/>
      <c r="N4" s="1671"/>
    </row>
    <row r="5" spans="1:14" ht="15.75" customHeight="1" thickBot="1">
      <c r="B5" s="1782"/>
      <c r="C5" s="1783"/>
      <c r="D5" s="16" t="s">
        <v>762</v>
      </c>
      <c r="E5" s="17">
        <v>11</v>
      </c>
      <c r="F5" s="6">
        <v>2</v>
      </c>
      <c r="G5" s="1277"/>
      <c r="H5" s="186" t="s">
        <v>19</v>
      </c>
      <c r="I5" s="233">
        <v>250</v>
      </c>
      <c r="J5" s="234">
        <v>250</v>
      </c>
      <c r="K5" s="234">
        <v>0</v>
      </c>
      <c r="L5" s="92">
        <v>250</v>
      </c>
      <c r="M5" s="50"/>
      <c r="N5" s="50"/>
    </row>
    <row r="6" spans="1:14" ht="15.75" customHeight="1" thickBot="1">
      <c r="A6" s="6" t="s">
        <v>20</v>
      </c>
      <c r="B6" s="1784" t="s">
        <v>21</v>
      </c>
      <c r="C6" s="1785"/>
      <c r="D6" s="1668" t="s">
        <v>22</v>
      </c>
      <c r="E6" s="1669"/>
      <c r="F6" s="1670" t="s">
        <v>23</v>
      </c>
      <c r="G6" s="1277"/>
      <c r="H6" s="187" t="s">
        <v>24</v>
      </c>
      <c r="I6" s="235">
        <v>200</v>
      </c>
      <c r="J6" s="212">
        <v>200</v>
      </c>
      <c r="K6" s="212">
        <v>500</v>
      </c>
      <c r="L6" s="93">
        <v>800</v>
      </c>
      <c r="M6" s="66"/>
      <c r="N6" s="66"/>
    </row>
    <row r="7" spans="1:14" ht="15.75" customHeight="1">
      <c r="B7" s="1786" t="s">
        <v>25</v>
      </c>
      <c r="C7" s="1787"/>
      <c r="D7" s="190">
        <f>+IF($D$5=$I$4,I6,IF($D$5=$J$4,J6,IF($D$5=$K$4,K6,IF($D$5=$L$4,L6,IF($D$5=$M$4,M6,IF($D$5=$N$4,N6,IF($D$5=#REF!,#REF!,IF($D$5=#REF!,#REF!,IF($D$5=#REF!,#REF!,IF($D$5=#REF!,#REF!,IF($D$5=#REF!,#REF!,IF($D$5=#REF!,#REF!,IF($D$5=#REF!,#REF!,IF($D$5=#REF!,#REF!,IF($D$5=#REF!,#REF!,0)))))))))))))))*$E$5</f>
        <v>2200</v>
      </c>
      <c r="E7" s="191"/>
      <c r="F7" s="192">
        <f>D7+E7</f>
        <v>2200</v>
      </c>
      <c r="G7" s="1277">
        <f>+F7*$F$5</f>
        <v>4400</v>
      </c>
      <c r="H7" s="187" t="s">
        <v>26</v>
      </c>
      <c r="I7" s="236">
        <v>1.9</v>
      </c>
      <c r="J7" s="69">
        <v>1.9</v>
      </c>
      <c r="K7" s="69">
        <v>3.1</v>
      </c>
      <c r="L7" s="94">
        <v>5.5</v>
      </c>
      <c r="M7" s="67"/>
      <c r="N7" s="66"/>
    </row>
    <row r="8" spans="1:14" ht="15.75" customHeight="1">
      <c r="B8" s="1755" t="s">
        <v>681</v>
      </c>
      <c r="C8" s="1756"/>
      <c r="D8" s="24">
        <f>+IF($D$5=$I$4,I7,IF($D$5=$J$4,J7,IF($D$5=$K$4,K7,IF($D$5=$L$4,L7,IF($D$5=$M$4,M7,IF($D$5=$N$4,N7,IF($D$5=#REF!,#REF!,IF($D$5=#REF!,#REF!,IF($D$5=#REF!,#REF!,IF($D$5=#REF!,#REF!,IF($D$5=#REF!,#REF!,IF($D$5=#REF!,#REF!,IF($D$5=#REF!,#REF!,IF($D$5=#REF!,#REF!,IF($D$5=#REF!,#REF!,0)))))))))))))))*$E$5</f>
        <v>20.9</v>
      </c>
      <c r="E8" s="193"/>
      <c r="F8" s="194">
        <f t="shared" ref="F8:F14" si="0">D8+E8</f>
        <v>20.9</v>
      </c>
      <c r="G8" s="1277">
        <f t="shared" ref="G8:G17" si="1">+F8*$F$5</f>
        <v>41.8</v>
      </c>
      <c r="H8" s="187" t="s">
        <v>28</v>
      </c>
      <c r="I8" s="236">
        <v>2.7</v>
      </c>
      <c r="J8" s="69">
        <v>2.7</v>
      </c>
      <c r="K8" s="69">
        <v>4.4000000000000004</v>
      </c>
      <c r="L8" s="94">
        <v>7</v>
      </c>
      <c r="M8" s="67"/>
      <c r="N8" s="66"/>
    </row>
    <row r="9" spans="1:14">
      <c r="B9" s="1755" t="s">
        <v>682</v>
      </c>
      <c r="C9" s="1756"/>
      <c r="D9" s="24">
        <f>+IF($D$5=$I$4,I8,IF($D$5=$J$4,J8,IF($D$5=$K$4,K8,IF($D$5=$L$4,L8,IF($D$5=$M$4,M8,IF($D$5=$N$4,N8,IF($D$5=#REF!,#REF!,IF($D$5=#REF!,#REF!,IF($D$5=#REF!,#REF!,IF($D$5=#REF!,#REF!,IF($D$5=#REF!,#REF!,IF($D$5=#REF!,#REF!,IF($D$5=#REF!,#REF!,IF($D$5=#REF!,#REF!,IF($D$5=#REF!,#REF!,0)))))))))))))))*$E$5</f>
        <v>29.700000000000003</v>
      </c>
      <c r="E9" s="195"/>
      <c r="F9" s="194">
        <f t="shared" si="0"/>
        <v>29.700000000000003</v>
      </c>
      <c r="G9" s="1277">
        <f t="shared" si="1"/>
        <v>59.400000000000006</v>
      </c>
      <c r="H9" s="187" t="s">
        <v>30</v>
      </c>
      <c r="I9" s="236">
        <v>9</v>
      </c>
      <c r="J9" s="69">
        <v>9</v>
      </c>
      <c r="K9" s="69">
        <v>12</v>
      </c>
      <c r="L9" s="93">
        <v>50</v>
      </c>
      <c r="M9" s="67"/>
      <c r="N9" s="66"/>
    </row>
    <row r="10" spans="1:14" ht="16.5" customHeight="1">
      <c r="B10" s="1755" t="s">
        <v>31</v>
      </c>
      <c r="C10" s="1756"/>
      <c r="D10" s="24">
        <f>+IF($D$5=$I$4,I9,IF($D$5=$J$4,J9,IF($D$5=$K$4,K9,IF($D$5=$L$4,L9,IF($D$5=$M$4,M9,IF($D$5=$N$4,N9,IF($D$5=#REF!,#REF!,IF($D$5=#REF!,#REF!,IF($D$5=#REF!,#REF!,IF($D$5=#REF!,#REF!,IF($D$5=#REF!,#REF!,IF($D$5=#REF!,#REF!,IF($D$5=#REF!,#REF!,IF($D$5=#REF!,#REF!,IF($D$5=#REF!,#REF!,0)))))))))))))))*$E$5</f>
        <v>99</v>
      </c>
      <c r="E10" s="193"/>
      <c r="F10" s="194">
        <f t="shared" si="0"/>
        <v>99</v>
      </c>
      <c r="G10" s="1277">
        <f t="shared" si="1"/>
        <v>198</v>
      </c>
      <c r="H10" s="187" t="s">
        <v>32</v>
      </c>
      <c r="I10" s="236">
        <v>1.8</v>
      </c>
      <c r="J10" s="69">
        <v>1.8</v>
      </c>
      <c r="K10" s="69">
        <v>3.4</v>
      </c>
      <c r="L10" s="94">
        <v>7</v>
      </c>
      <c r="M10" s="67"/>
      <c r="N10" s="66"/>
    </row>
    <row r="11" spans="1:14" ht="15.75" customHeight="1">
      <c r="B11" s="1755" t="s">
        <v>33</v>
      </c>
      <c r="C11" s="1756"/>
      <c r="D11" s="24">
        <f>+IF($D$5=$I$4,I10,IF($D$5=$J$4,J10,IF($D$5=$K$4,K10,IF($D$5=$L$4,L10,IF($D$5=$M$4,M10,IF($D$5=$N$4,N10,IF($D$5=#REF!,#REF!,IF($D$5=#REF!,#REF!,IF($D$5=#REF!,#REF!,IF($D$5=#REF!,#REF!,IF($D$5=#REF!,#REF!,IF($D$5=#REF!,#REF!,IF($D$5=#REF!,#REF!,IF($D$5=#REF!,#REF!,IF($D$5=#REF!,#REF!,0)))))))))))))))*$E$5</f>
        <v>19.8</v>
      </c>
      <c r="E11" s="193"/>
      <c r="F11" s="24">
        <f t="shared" si="0"/>
        <v>19.8</v>
      </c>
      <c r="G11" s="1277">
        <f t="shared" si="1"/>
        <v>39.6</v>
      </c>
      <c r="H11" s="187" t="s">
        <v>34</v>
      </c>
      <c r="I11" s="236">
        <v>1.3</v>
      </c>
      <c r="J11" s="69">
        <v>0.6</v>
      </c>
      <c r="K11" s="69">
        <v>0</v>
      </c>
      <c r="L11" s="94">
        <v>14</v>
      </c>
      <c r="M11" s="67"/>
      <c r="N11" s="67"/>
    </row>
    <row r="12" spans="1:14" ht="15" customHeight="1">
      <c r="B12" s="1788" t="s">
        <v>765</v>
      </c>
      <c r="C12" s="1756"/>
      <c r="D12" s="24">
        <f>+IF($D$5=$I$4,I11,IF($D$5=$J$4,J11,IF($D$5=$K$4,K11,IF($D$5=$L$4,L11,IF($D$5=$M$4,M11,IF($D$5=$N$4,N11,IF($D$5=#REF!,#REF!,IF($D$5=#REF!,#REF!,IF($D$5=#REF!,#REF!,IF($D$5=#REF!,#REF!,IF($D$5=#REF!,#REF!,IF($D$5=#REF!,#REF!,IF($D$5=#REF!,#REF!,IF($D$5=#REF!,#REF!,IF($D$5=#REF!,#REF!,0)))))))))))))))*$E$5</f>
        <v>6.6</v>
      </c>
      <c r="E12" s="193"/>
      <c r="F12" s="24">
        <f t="shared" si="0"/>
        <v>6.6</v>
      </c>
      <c r="G12" s="1277">
        <f t="shared" si="1"/>
        <v>13.2</v>
      </c>
      <c r="H12" s="194" t="s">
        <v>36</v>
      </c>
      <c r="I12" s="235">
        <v>0.2</v>
      </c>
      <c r="J12" s="237">
        <v>0.2</v>
      </c>
      <c r="K12" s="212">
        <v>0.216</v>
      </c>
      <c r="L12" s="93">
        <v>0.72399999999999998</v>
      </c>
      <c r="M12" s="66"/>
      <c r="N12" s="66"/>
    </row>
    <row r="13" spans="1:14" ht="15.75" customHeight="1">
      <c r="B13" s="1789" t="s">
        <v>37</v>
      </c>
      <c r="C13" s="1790"/>
      <c r="D13" s="31">
        <f>+IF($D$5=$I$4,I12,IF($D$5=$J$4,J12,IF($D$5=$K$4,K12,IF($D$5=$L$4,L12,IF($D$5=$M$4,M12,IF($D$5=$N$4,N12,IF($D$5=#REF!,#REF!,IF($D$5=#REF!,#REF!,IF($D$5=#REF!,#REF!,IF($D$5=#REF!,#REF!,IF($D$5=#REF!,#REF!,IF($D$5=#REF!,#REF!,IF($D$5=#REF!,#REF!,IF($D$5=#REF!,#REF!,IF($D$5=#REF!,#REF!,0)))))))))))))))*$E$5</f>
        <v>2.2000000000000002</v>
      </c>
      <c r="E13" s="197"/>
      <c r="F13" s="31">
        <f t="shared" si="0"/>
        <v>2.2000000000000002</v>
      </c>
      <c r="G13" s="1277">
        <f t="shared" si="1"/>
        <v>4.4000000000000004</v>
      </c>
      <c r="H13" s="187" t="s">
        <v>38</v>
      </c>
      <c r="I13" s="238">
        <v>0.2</v>
      </c>
      <c r="J13" s="237">
        <v>0.2</v>
      </c>
      <c r="K13" s="212">
        <v>0.23799999999999999</v>
      </c>
      <c r="L13" s="95">
        <v>0.79500000000000004</v>
      </c>
      <c r="M13" s="68"/>
      <c r="N13" s="66"/>
    </row>
    <row r="14" spans="1:14" ht="15.75" customHeight="1">
      <c r="B14" s="1755" t="s">
        <v>39</v>
      </c>
      <c r="C14" s="1756"/>
      <c r="D14" s="31">
        <f>+IF($D$5=$I$4,I13,IF($D$5=$J$4,J13,IF($D$5=$K$4,K13,IF($D$5=$L$4,L13,IF($D$5=$M$4,M13,IF($D$5=$N$4,N13,IF($D$5=#REF!,#REF!,IF($D$5=#REF!,#REF!,IF($D$5=#REF!,#REF!,IF($D$5=#REF!,#REF!,IF($D$5=#REF!,#REF!,IF($D$5=#REF!,#REF!,IF($D$5=#REF!,#REF!,IF($D$5=#REF!,#REF!,IF($D$5=#REF!,#REF!,0)))))))))))))))*$E$5</f>
        <v>2.2000000000000002</v>
      </c>
      <c r="E14" s="197"/>
      <c r="F14" s="31">
        <f t="shared" si="0"/>
        <v>2.2000000000000002</v>
      </c>
      <c r="G14" s="1277">
        <f t="shared" si="1"/>
        <v>4.4000000000000004</v>
      </c>
      <c r="H14" s="187" t="s">
        <v>40</v>
      </c>
      <c r="I14" s="235">
        <v>0.08</v>
      </c>
      <c r="J14" s="212">
        <v>0.08</v>
      </c>
      <c r="K14" s="212">
        <v>0.13</v>
      </c>
      <c r="L14" s="94">
        <v>0.6</v>
      </c>
      <c r="M14" s="66"/>
      <c r="N14" s="66"/>
    </row>
    <row r="15" spans="1:14" ht="15.75" customHeight="1" thickBot="1">
      <c r="B15" s="1755" t="s">
        <v>41</v>
      </c>
      <c r="C15" s="1756"/>
      <c r="D15" s="31">
        <f>+IF($D$5=$I$4,I14,IF($D$5=$J$4,J14,IF($D$5=$K$4,K14,IF($D$5=$L$4,L14,IF($D$5=$M$4,M14,IF($D$5=$N$4,N14,IF($D$5=#REF!,#REF!,IF($D$5=#REF!,#REF!,IF($D$5=#REF!,#REF!,IF($D$5=#REF!,#REF!,IF($D$5=#REF!,#REF!,IF($D$5=#REF!,#REF!,IF($D$5=#REF!,#REF!,IF($D$5=#REF!,#REF!,IF($D$5=#REF!,#REF!,0)))))))))))))))*$E$5</f>
        <v>0.88</v>
      </c>
      <c r="E15" s="193"/>
      <c r="F15" s="196">
        <f>D15+E15</f>
        <v>0.88</v>
      </c>
      <c r="G15" s="1277">
        <f t="shared" si="1"/>
        <v>1.76</v>
      </c>
      <c r="H15" s="198" t="s">
        <v>42</v>
      </c>
      <c r="I15" s="239">
        <v>4000</v>
      </c>
      <c r="J15" s="240">
        <v>4000</v>
      </c>
      <c r="K15" s="240">
        <v>7350</v>
      </c>
      <c r="L15" s="96">
        <v>16500</v>
      </c>
      <c r="M15" s="70"/>
      <c r="N15" s="97"/>
    </row>
    <row r="16" spans="1:14" ht="15.75" customHeight="1" thickBot="1">
      <c r="B16" s="1757" t="s">
        <v>43</v>
      </c>
      <c r="C16" s="1758"/>
      <c r="D16" s="199">
        <f>+IF($D$5=$I$4,I15,IF($D$5=$J$4,J15,IF($D$5=$K$4,K15,IF($D$5=$L$4,L15,IF($D$5=$M$4,M15,IF($D$5=$N$4,N15,IF($D$5=#REF!,#REF!,IF($D$5=#REF!,#REF!,IF($D$5=#REF!,#REF!,IF($D$5=#REF!,#REF!,IF($D$5=#REF!,#REF!,IF($D$5=#REF!,#REF!,IF($D$5=#REF!,#REF!,IF($D$5=#REF!,#REF!,IF($D$5=#REF!,#REF!,0)))))))))))))))*$E$5</f>
        <v>44000</v>
      </c>
      <c r="E16" s="200"/>
      <c r="F16" s="201">
        <f>D16+E16</f>
        <v>44000</v>
      </c>
      <c r="G16" s="1277">
        <f t="shared" si="1"/>
        <v>88000</v>
      </c>
      <c r="H16" s="202" t="s">
        <v>44</v>
      </c>
      <c r="I16" s="242">
        <v>4320</v>
      </c>
      <c r="J16" s="243">
        <v>4320</v>
      </c>
      <c r="K16" s="243">
        <v>8190</v>
      </c>
      <c r="L16" s="98">
        <v>17300</v>
      </c>
      <c r="M16" s="71"/>
      <c r="N16" s="71"/>
    </row>
    <row r="17" spans="1:14" ht="15.75" customHeight="1" thickBot="1">
      <c r="B17" s="1757" t="s">
        <v>593</v>
      </c>
      <c r="C17" s="1758"/>
      <c r="D17" s="34">
        <f>+IF($D$5=$I$4,I17,IF($D$5=$J$4,J17,IF($D$5=$K$4,K17,IF($D$5=$L$4,L17,IF($D$5=$M$4,M17,IF($D$5=$N$4,N17,IF($D$5=#REF!,#REF!,IF($D$5=#REF!,#REF!,IF($D$5=#REF!,#REF!,IF($D$5=#REF!,#REF!,IF($D$5=#REF!,#REF!,IF($D$5=#REF!,#REF!,IF($D$5=#REF!,#REF!,IF($D$5=#REF!,#REF!,IF($D$5=#REF!,#REF!,0)))))))))))))))*$E$5</f>
        <v>0</v>
      </c>
      <c r="E17" s="200"/>
      <c r="F17" s="201">
        <f>D17+E17</f>
        <v>0</v>
      </c>
      <c r="G17" s="1277">
        <f t="shared" si="1"/>
        <v>0</v>
      </c>
      <c r="H17" s="6" t="s">
        <v>593</v>
      </c>
      <c r="I17" s="60"/>
      <c r="J17" s="60"/>
      <c r="K17" s="60"/>
      <c r="L17" s="60">
        <v>0.68</v>
      </c>
      <c r="M17" s="60"/>
      <c r="N17" s="60"/>
    </row>
    <row r="18" spans="1:14" ht="15.75" customHeight="1" thickBot="1">
      <c r="B18" s="1759" t="s">
        <v>45</v>
      </c>
      <c r="C18" s="1760"/>
      <c r="D18" s="39">
        <f>+IF($D$5=$I$4,I16,IF($D$5=$J$4,J16,IF($D$5=$K$4,K16,IF($D$5=$L$4,L16,IF($D$5=$M$4,M16,IF($D$5=$N$4,N16,IF($D$5=#REF!,#REF!,IF($D$5=#REF!,#REF!,IF($D$5=#REF!,#REF!,IF($D$5=#REF!,#REF!,IF($D$5=#REF!,#REF!,IF($D$5=#REF!,#REF!,IF($D$5=#REF!,#REF!,IF($D$5=#REF!,#REF!,0))))))))))))))*$E$5</f>
        <v>47520</v>
      </c>
      <c r="E18" s="11">
        <f>+D18*F5</f>
        <v>95040</v>
      </c>
      <c r="F18" s="203"/>
      <c r="G18" s="6" t="s">
        <v>46</v>
      </c>
      <c r="H18" s="42" t="s">
        <v>47</v>
      </c>
      <c r="I18" s="1761" t="s">
        <v>48</v>
      </c>
      <c r="J18" s="1762"/>
      <c r="K18" s="244">
        <v>235</v>
      </c>
      <c r="L18" s="99">
        <f>+K18*E5</f>
        <v>2585</v>
      </c>
    </row>
    <row r="19" spans="1:14" ht="15.75" customHeight="1">
      <c r="B19" s="7"/>
      <c r="C19" s="7"/>
      <c r="D19" s="62"/>
      <c r="E19" s="11">
        <f>+E18/8310</f>
        <v>11.436823104693142</v>
      </c>
      <c r="F19" s="203">
        <f>11*4</f>
        <v>44</v>
      </c>
      <c r="H19" s="172"/>
      <c r="I19" s="60"/>
      <c r="J19" s="62"/>
      <c r="K19" s="64"/>
      <c r="L19" s="41"/>
      <c r="N19" s="6">
        <f>+N16*11</f>
        <v>0</v>
      </c>
    </row>
    <row r="20" spans="1:14" ht="15.75" customHeight="1" thickBot="1">
      <c r="B20" s="7"/>
      <c r="C20" s="7"/>
      <c r="D20" s="62"/>
      <c r="E20" s="11"/>
      <c r="F20" s="204"/>
      <c r="H20" s="172"/>
      <c r="I20" s="62"/>
      <c r="J20" s="62"/>
      <c r="K20" s="64"/>
      <c r="L20" s="41"/>
      <c r="N20" s="6">
        <f>+N19/12</f>
        <v>0</v>
      </c>
    </row>
    <row r="21" spans="1:14" ht="15.75" customHeight="1">
      <c r="B21" s="1763" t="s">
        <v>551</v>
      </c>
      <c r="C21" s="1764"/>
      <c r="D21" s="1764"/>
      <c r="E21" s="1764"/>
      <c r="F21" s="1764"/>
      <c r="G21" s="1764"/>
      <c r="H21" s="1764"/>
      <c r="I21" s="1764"/>
      <c r="J21" s="1765"/>
      <c r="K21" s="64"/>
    </row>
    <row r="22" spans="1:14" ht="15.75" customHeight="1" thickBot="1">
      <c r="B22" s="1766"/>
      <c r="C22" s="1767"/>
      <c r="D22" s="1767"/>
      <c r="E22" s="1767"/>
      <c r="F22" s="1767"/>
      <c r="G22" s="1767"/>
      <c r="H22" s="1767"/>
      <c r="I22" s="1767"/>
      <c r="J22" s="1768"/>
      <c r="K22" s="245"/>
      <c r="L22" s="6">
        <f>4000*6/4611</f>
        <v>5.2049446974625893</v>
      </c>
    </row>
    <row r="23" spans="1:14" ht="36" customHeight="1" thickBot="1">
      <c r="B23" s="1769" t="s">
        <v>552</v>
      </c>
      <c r="C23" s="1770"/>
      <c r="D23" s="1770"/>
      <c r="E23" s="1771"/>
      <c r="F23" s="1772" t="s">
        <v>553</v>
      </c>
      <c r="G23" s="1773"/>
      <c r="H23" s="1774" t="s">
        <v>554</v>
      </c>
      <c r="I23" s="1775"/>
      <c r="J23" s="1776"/>
      <c r="K23" s="8"/>
    </row>
    <row r="24" spans="1:14" ht="60">
      <c r="B24" s="205" t="s">
        <v>555</v>
      </c>
      <c r="C24" s="206" t="s">
        <v>767</v>
      </c>
      <c r="D24" s="206" t="s">
        <v>556</v>
      </c>
      <c r="E24" s="207" t="s">
        <v>557</v>
      </c>
      <c r="F24" s="208" t="s">
        <v>558</v>
      </c>
      <c r="G24" s="209" t="s">
        <v>559</v>
      </c>
      <c r="H24" s="210" t="s">
        <v>57</v>
      </c>
      <c r="I24" s="1251" t="s">
        <v>763</v>
      </c>
      <c r="J24" s="226" t="s">
        <v>560</v>
      </c>
      <c r="K24" s="8"/>
    </row>
    <row r="25" spans="1:14" ht="30">
      <c r="A25" s="1326" t="s">
        <v>683</v>
      </c>
      <c r="B25" s="211">
        <v>90</v>
      </c>
      <c r="C25" s="212">
        <f>235/2</f>
        <v>117.5</v>
      </c>
      <c r="D25" s="212">
        <v>135</v>
      </c>
      <c r="E25" s="213">
        <v>250</v>
      </c>
      <c r="F25" s="214"/>
      <c r="G25" s="215"/>
      <c r="H25" s="216">
        <v>265</v>
      </c>
      <c r="I25" s="1421">
        <v>250</v>
      </c>
      <c r="J25" s="213">
        <v>200</v>
      </c>
      <c r="K25" s="8"/>
    </row>
    <row r="26" spans="1:14" ht="31.5" customHeight="1" thickBot="1">
      <c r="A26" s="1326" t="s">
        <v>686</v>
      </c>
      <c r="B26" s="217">
        <f>+E5*B25</f>
        <v>990</v>
      </c>
      <c r="C26" s="167">
        <f>+E5*C25</f>
        <v>1292.5</v>
      </c>
      <c r="D26" s="218">
        <f>+E5*D25</f>
        <v>1485</v>
      </c>
      <c r="E26" s="219">
        <f>+E5*E25</f>
        <v>2750</v>
      </c>
      <c r="F26" s="220">
        <f>+E5*720</f>
        <v>7920</v>
      </c>
      <c r="G26" s="221">
        <f>+E5*720</f>
        <v>7920</v>
      </c>
      <c r="H26" s="220">
        <f>+(E5)*H25</f>
        <v>2915</v>
      </c>
      <c r="I26" s="1422">
        <f>+(E5)*I25</f>
        <v>2750</v>
      </c>
      <c r="J26" s="1280">
        <f>+(E5)*J25</f>
        <v>2200</v>
      </c>
      <c r="K26" s="8"/>
      <c r="L26" s="8"/>
    </row>
    <row r="27" spans="1:14" ht="21" customHeight="1" thickBot="1">
      <c r="A27" s="1674" t="s">
        <v>561</v>
      </c>
      <c r="B27" s="1675">
        <f>+B26/D33</f>
        <v>5.5</v>
      </c>
      <c r="C27" s="1676">
        <f>+C26/D30</f>
        <v>5.5</v>
      </c>
      <c r="D27" s="1677">
        <f>+D26/D35</f>
        <v>8.25</v>
      </c>
      <c r="E27" s="1678">
        <f>+E26/D38</f>
        <v>11</v>
      </c>
      <c r="F27" s="144"/>
      <c r="H27" s="148"/>
      <c r="I27" s="8"/>
      <c r="J27" s="8"/>
      <c r="K27" s="8"/>
      <c r="L27" s="8"/>
      <c r="M27" s="44"/>
    </row>
    <row r="28" spans="1:14" ht="15.75" customHeight="1" thickBot="1">
      <c r="B28" s="44"/>
      <c r="C28" s="222"/>
      <c r="D28" s="45"/>
      <c r="E28" s="44"/>
      <c r="F28" s="48"/>
      <c r="H28" s="148"/>
      <c r="I28" s="8"/>
      <c r="J28" s="8"/>
      <c r="K28" s="8"/>
      <c r="L28" s="8"/>
      <c r="M28" s="44"/>
    </row>
    <row r="29" spans="1:14" ht="33" customHeight="1" thickBot="1">
      <c r="B29" s="1679" t="s">
        <v>562</v>
      </c>
      <c r="C29" s="1680" t="s">
        <v>50</v>
      </c>
      <c r="D29" s="1681" t="s">
        <v>563</v>
      </c>
      <c r="E29" s="7"/>
      <c r="F29" s="6">
        <f>235*18</f>
        <v>4230</v>
      </c>
      <c r="M29" s="44"/>
    </row>
    <row r="30" spans="1:14" ht="24.95" customHeight="1" thickBot="1">
      <c r="B30" s="211" t="s">
        <v>52</v>
      </c>
      <c r="C30" s="212"/>
      <c r="D30" s="213">
        <v>235</v>
      </c>
      <c r="E30" s="223"/>
      <c r="F30" s="223"/>
      <c r="H30" s="1749" t="s">
        <v>564</v>
      </c>
      <c r="I30" s="1750"/>
      <c r="J30" s="1750"/>
      <c r="K30" s="1750"/>
      <c r="L30" s="1750"/>
      <c r="M30" s="1751"/>
    </row>
    <row r="31" spans="1:14" ht="24.95" customHeight="1">
      <c r="B31" s="211" t="s">
        <v>54</v>
      </c>
      <c r="C31" s="212"/>
      <c r="D31" s="213">
        <v>235</v>
      </c>
      <c r="E31" s="57"/>
      <c r="F31" s="57"/>
      <c r="H31" s="1683" t="s">
        <v>222</v>
      </c>
      <c r="I31" s="1684" t="s">
        <v>444</v>
      </c>
      <c r="J31" s="1684" t="s">
        <v>565</v>
      </c>
      <c r="K31" s="1684" t="s">
        <v>566</v>
      </c>
      <c r="L31" s="1685" t="s">
        <v>567</v>
      </c>
      <c r="M31" s="1686" t="s">
        <v>670</v>
      </c>
    </row>
    <row r="32" spans="1:14" ht="29.25" customHeight="1">
      <c r="B32" s="225" t="s">
        <v>684</v>
      </c>
      <c r="C32" s="212"/>
      <c r="D32" s="226">
        <v>265</v>
      </c>
      <c r="E32" s="183"/>
      <c r="F32" s="57"/>
      <c r="H32" s="1682" t="s">
        <v>762</v>
      </c>
      <c r="I32" s="102">
        <v>6000</v>
      </c>
      <c r="J32" s="102">
        <v>4000</v>
      </c>
      <c r="K32" s="103"/>
      <c r="L32" s="1333"/>
      <c r="M32" s="104"/>
    </row>
    <row r="33" spans="2:14" ht="36.75" customHeight="1">
      <c r="B33" s="225" t="s">
        <v>568</v>
      </c>
      <c r="C33" s="227"/>
      <c r="D33" s="226">
        <v>180</v>
      </c>
      <c r="E33" s="52"/>
      <c r="F33" s="57"/>
      <c r="H33" s="1687" t="s">
        <v>569</v>
      </c>
      <c r="I33" s="1688">
        <f>+I32*12</f>
        <v>72000</v>
      </c>
      <c r="J33" s="1689">
        <f>+J32*6</f>
        <v>24000</v>
      </c>
      <c r="K33" s="1690">
        <f>+K32*4.8</f>
        <v>0</v>
      </c>
      <c r="L33" s="1691">
        <f>+L32*5.9</f>
        <v>0</v>
      </c>
      <c r="M33" s="1691">
        <f>+M32*6</f>
        <v>0</v>
      </c>
    </row>
    <row r="34" spans="2:14" ht="39" customHeight="1" thickBot="1">
      <c r="B34" s="225" t="s">
        <v>685</v>
      </c>
      <c r="C34" s="228"/>
      <c r="D34" s="213">
        <v>265</v>
      </c>
      <c r="E34" s="52"/>
      <c r="F34" s="57"/>
      <c r="G34" s="61"/>
      <c r="H34" s="1692" t="s">
        <v>570</v>
      </c>
      <c r="I34" s="1693">
        <f>+IF($H$32=$I$4,(I33/$I$16)*4,IF($H$32=$J$4,I33/$J$16,IF($H$32=$K$4,I33/$K$16,IF($H$32=$L$4,I33/$L$16,IF($H$32=$M$4,I33/$M$16,IF($H$32=$N$4,I33/$N$16,IF($H$32=#REF!,I33/#REF!)))))))</f>
        <v>16.666666666666668</v>
      </c>
      <c r="J34" s="1693">
        <f>+IF($H$32=$I$4,(J33/$I$16)*4,IF($H$32=$J$4,J33/$J$16,IF($H$32=$K$4,J33/$K$16,IF($H$32=$L$4,J33/$L$16,IF($H$32=$M$4,J33/$M$16,IF($H$32=$N$4,J33/$N$16,IF($H$32=#REF!,J33/#REF!)))))))</f>
        <v>5.5555555555555554</v>
      </c>
      <c r="K34" s="1694">
        <f>+IF($H$32=$I$4,(K33/$I$16)*4,IF($H$32=$J$4,K33/$J$16,IF($H$32=$K$4,K33/$K$16,IF($H$32=$L$4,K33/$L$16,IF($H$32=$M$4,K33/$M$16,IF($H$32=$N$4,K33/$N$16,IF($H$32=#REF!,K33/#REF!)))))))</f>
        <v>0</v>
      </c>
      <c r="L34" s="1695">
        <f>+IF($H$32=$I$4,(L33/$I$16)*4,IF($H$32=$J$4,L33/$J$16,IF($H$32=$K$4,L33/$K$16,IF($H$32=$L$4,L33/$L$16,IF($H$32=$M$4,L33/$M$16,IF($H$32=$N$4,L33/$N$16,IF($H$32=#REF!,L33/#REF!)))))))</f>
        <v>0</v>
      </c>
      <c r="M34" s="1695">
        <f>+IF($H$32=$I$4,(M33/$I$16)*4,IF($H$32=$J$4,M33/$J$16,IF($H$32=$K$4,M33/$K$16,IF($H$32=$L$4,M33/$L$16,IF($H$32=$M$4,M33/$M$16,IF($H$32=$N$4,M33/$N$16,IF($H$32=#REF!,M33/#REF!)))))))</f>
        <v>0</v>
      </c>
      <c r="N34" s="148">
        <f>+I34+J34+K34+L34+M34</f>
        <v>22.222222222222221</v>
      </c>
    </row>
    <row r="35" spans="2:14" ht="24.95" customHeight="1" thickBot="1">
      <c r="B35" s="225" t="s">
        <v>571</v>
      </c>
      <c r="C35" s="228"/>
      <c r="D35" s="226">
        <v>180</v>
      </c>
      <c r="E35" s="182"/>
      <c r="F35" s="223"/>
      <c r="G35" s="223"/>
      <c r="H35" s="1696" t="s">
        <v>572</v>
      </c>
      <c r="I35" s="1752">
        <f>ROUNDUP(N34,0)</f>
        <v>23</v>
      </c>
      <c r="J35" s="1752"/>
      <c r="K35" s="1752"/>
      <c r="L35" s="1752"/>
      <c r="M35" s="1753"/>
      <c r="N35" s="8">
        <f>+I34+J34</f>
        <v>22.222222222222221</v>
      </c>
    </row>
    <row r="36" spans="2:14" ht="24.95" customHeight="1">
      <c r="B36" s="229" t="s">
        <v>573</v>
      </c>
      <c r="C36" s="227"/>
      <c r="D36" s="230">
        <v>180</v>
      </c>
      <c r="E36" s="182"/>
      <c r="F36" s="56"/>
      <c r="G36" s="57"/>
      <c r="H36" s="60" t="s">
        <v>689</v>
      </c>
      <c r="I36" s="232">
        <v>8000</v>
      </c>
      <c r="J36" s="232">
        <f>1875</f>
        <v>1875</v>
      </c>
      <c r="K36" s="60">
        <v>3000</v>
      </c>
      <c r="L36" s="144">
        <v>2475</v>
      </c>
      <c r="M36" s="6">
        <v>4000</v>
      </c>
    </row>
    <row r="37" spans="2:14" ht="24.95" customHeight="1">
      <c r="B37" s="229" t="s">
        <v>451</v>
      </c>
      <c r="C37" s="228"/>
      <c r="D37" s="230">
        <v>180</v>
      </c>
      <c r="E37" s="182"/>
      <c r="F37" s="56"/>
      <c r="G37" s="57"/>
      <c r="H37" s="60" t="s">
        <v>575</v>
      </c>
      <c r="I37" s="232">
        <f>+I33/I36</f>
        <v>9</v>
      </c>
      <c r="J37" s="232">
        <f>+J33/J36</f>
        <v>12.8</v>
      </c>
      <c r="K37" s="60">
        <f>+K33/K36</f>
        <v>0</v>
      </c>
      <c r="L37" s="60">
        <f>+L33/L36</f>
        <v>0</v>
      </c>
      <c r="M37" s="60">
        <f>+M33/M36</f>
        <v>0</v>
      </c>
    </row>
    <row r="38" spans="2:14" ht="24.95" customHeight="1" thickBot="1">
      <c r="B38" s="1283" t="s">
        <v>768</v>
      </c>
      <c r="C38" s="231"/>
      <c r="D38" s="1284">
        <v>250</v>
      </c>
      <c r="E38" s="182"/>
      <c r="F38" s="57"/>
      <c r="G38" s="57"/>
      <c r="H38" s="1754"/>
      <c r="I38" s="1754"/>
      <c r="J38" s="1754"/>
      <c r="K38" s="232"/>
      <c r="L38" s="232"/>
    </row>
    <row r="39" spans="2:14" ht="24.95" customHeight="1">
      <c r="B39" s="61"/>
      <c r="C39" s="61"/>
      <c r="D39" s="61"/>
      <c r="E39" s="182"/>
      <c r="F39" s="57"/>
      <c r="G39" s="57"/>
      <c r="H39" s="7"/>
      <c r="I39" s="61"/>
      <c r="J39" s="232"/>
      <c r="K39" s="232"/>
      <c r="L39" s="60"/>
    </row>
    <row r="40" spans="2:14" ht="15.75" customHeight="1">
      <c r="B40" s="61"/>
      <c r="C40" s="61"/>
      <c r="D40" s="61"/>
      <c r="E40" s="182"/>
      <c r="F40" s="56"/>
      <c r="G40" s="57"/>
      <c r="H40" s="7"/>
      <c r="I40" s="61"/>
      <c r="J40" s="232"/>
      <c r="K40" s="253"/>
      <c r="L40" s="253"/>
      <c r="M40" s="76"/>
    </row>
    <row r="41" spans="2:14" ht="15.75" customHeight="1">
      <c r="E41" s="61"/>
      <c r="F41" s="232"/>
      <c r="G41" s="61"/>
      <c r="H41" s="7"/>
      <c r="I41" s="232"/>
      <c r="J41" s="232"/>
      <c r="K41" s="232"/>
      <c r="L41" s="232"/>
      <c r="N41" s="44"/>
    </row>
    <row r="42" spans="2:14" ht="15.75" customHeight="1">
      <c r="E42" s="61"/>
      <c r="F42" s="232"/>
      <c r="G42" s="61"/>
      <c r="H42" s="7"/>
      <c r="I42" s="232"/>
      <c r="J42" s="232"/>
      <c r="K42" s="232"/>
      <c r="L42" s="232"/>
      <c r="N42" s="44"/>
    </row>
    <row r="43" spans="2:14" ht="15.75" customHeight="1">
      <c r="D43" s="62"/>
      <c r="F43" s="232"/>
      <c r="G43" s="61"/>
      <c r="H43" s="7"/>
      <c r="I43" s="232"/>
      <c r="J43" s="232"/>
      <c r="K43" s="232"/>
      <c r="L43" s="232"/>
      <c r="M43" s="76"/>
      <c r="N43" s="44"/>
    </row>
    <row r="44" spans="2:14" ht="15.75" customHeight="1">
      <c r="D44" s="60"/>
      <c r="F44" s="232"/>
      <c r="G44" s="61"/>
      <c r="H44" s="7"/>
      <c r="I44" s="232"/>
      <c r="J44" s="232"/>
      <c r="K44" s="232"/>
      <c r="L44" s="232"/>
      <c r="N44" s="44"/>
    </row>
    <row r="45" spans="2:14" ht="15.75" customHeight="1">
      <c r="D45" s="60"/>
      <c r="E45" s="63"/>
      <c r="F45" s="142"/>
      <c r="G45" s="61"/>
      <c r="H45" s="7"/>
      <c r="I45" s="232"/>
      <c r="J45" s="232"/>
      <c r="K45" s="232"/>
      <c r="L45" s="232"/>
      <c r="N45" s="44"/>
    </row>
    <row r="46" spans="2:14" ht="15.75" customHeight="1">
      <c r="D46" s="60"/>
      <c r="E46" s="63"/>
      <c r="F46" s="44"/>
      <c r="H46" s="45"/>
      <c r="I46" s="61"/>
      <c r="J46" s="142"/>
      <c r="K46" s="8"/>
      <c r="L46" s="8"/>
      <c r="M46" s="76"/>
      <c r="N46" s="44"/>
    </row>
    <row r="47" spans="2:14" ht="15.75" customHeight="1">
      <c r="D47" s="60"/>
      <c r="E47" s="63"/>
      <c r="F47" s="44"/>
      <c r="H47" s="7"/>
      <c r="I47" s="142"/>
      <c r="J47" s="142"/>
      <c r="K47" s="8"/>
      <c r="L47" s="8"/>
      <c r="N47" s="44"/>
    </row>
    <row r="48" spans="2:14" ht="15.75" customHeight="1">
      <c r="D48" s="60"/>
      <c r="E48" s="63"/>
      <c r="H48" s="7"/>
      <c r="I48" s="61"/>
      <c r="J48" s="146"/>
      <c r="K48" s="8"/>
      <c r="L48" s="8"/>
      <c r="N48" s="44"/>
    </row>
    <row r="49" spans="4:14" ht="15.75" customHeight="1">
      <c r="D49" s="64"/>
      <c r="E49" s="63"/>
      <c r="H49" s="7"/>
      <c r="I49" s="144"/>
      <c r="J49" s="232"/>
      <c r="M49" s="76"/>
      <c r="N49" s="44"/>
    </row>
    <row r="50" spans="4:14" ht="15.75" customHeight="1">
      <c r="D50" s="64"/>
      <c r="E50" s="63"/>
      <c r="H50" s="7"/>
      <c r="I50" s="53"/>
      <c r="J50" s="144"/>
      <c r="N50" s="44"/>
    </row>
    <row r="51" spans="4:14" ht="15.75" customHeight="1">
      <c r="D51" s="60"/>
      <c r="E51" s="63"/>
    </row>
    <row r="52" spans="4:14" ht="15.75" customHeight="1">
      <c r="D52" s="62"/>
      <c r="E52" s="63"/>
    </row>
    <row r="53" spans="4:14" ht="15.75" customHeight="1">
      <c r="E53" s="63"/>
    </row>
    <row r="54" spans="4:14" ht="15.75" customHeight="1">
      <c r="E54" s="63"/>
    </row>
    <row r="55" spans="4:14" ht="15.75" customHeight="1">
      <c r="E55" s="63"/>
      <c r="F55" s="63"/>
      <c r="G55" s="63"/>
      <c r="H55" s="63"/>
      <c r="I55" s="63"/>
      <c r="J55" s="63"/>
      <c r="K55" s="63"/>
    </row>
  </sheetData>
  <sheetProtection selectLockedCells="1"/>
  <mergeCells count="24">
    <mergeCell ref="B14:C14"/>
    <mergeCell ref="B2:F2"/>
    <mergeCell ref="H2:N2"/>
    <mergeCell ref="B4:C5"/>
    <mergeCell ref="B6:C6"/>
    <mergeCell ref="B7:C7"/>
    <mergeCell ref="B8:C8"/>
    <mergeCell ref="B9:C9"/>
    <mergeCell ref="B10:C10"/>
    <mergeCell ref="B11:C11"/>
    <mergeCell ref="B12:C12"/>
    <mergeCell ref="B13:C13"/>
    <mergeCell ref="H30:M30"/>
    <mergeCell ref="I35:M35"/>
    <mergeCell ref="H38:J38"/>
    <mergeCell ref="B15:C15"/>
    <mergeCell ref="B16:C16"/>
    <mergeCell ref="B18:C18"/>
    <mergeCell ref="I18:J18"/>
    <mergeCell ref="B21:J22"/>
    <mergeCell ref="B23:E23"/>
    <mergeCell ref="F23:G23"/>
    <mergeCell ref="H23:J23"/>
    <mergeCell ref="B17:C17"/>
  </mergeCells>
  <dataValidations count="3">
    <dataValidation type="whole" showErrorMessage="1" errorTitle="Seleccionar Sabor" error="Seleccionar el sabor de la producción de la Lista" sqref="E5" xr:uid="{2C0EB513-3B22-4873-95C4-B0F806A03F33}">
      <formula1>0</formula1>
      <formula2>1000</formula2>
    </dataValidation>
    <dataValidation type="list" allowBlank="1" showInputMessage="1" showErrorMessage="1" sqref="H32" xr:uid="{C9D55C11-4E9F-4FFF-A32D-D1B667464F3C}">
      <formula1>$I$4:$N$4</formula1>
    </dataValidation>
    <dataValidation type="list" showInputMessage="1" showErrorMessage="1" sqref="D5" xr:uid="{27DF55D1-6FF0-458F-8B1C-1DA3F62CF385}">
      <formula1>$I$4:$N$4</formula1>
    </dataValidation>
  </dataValidations>
  <printOptions horizontalCentered="1" verticalCentered="1"/>
  <pageMargins left="0.31496062992126" right="0.31496062992126" top="0.59055118110236204" bottom="0.59055118110236204" header="0" footer="0"/>
  <pageSetup scale="51" fitToWidth="0" orientation="landscape" verticalDpi="300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4"/>
  <dimension ref="A1:M51"/>
  <sheetViews>
    <sheetView zoomScale="96" zoomScaleNormal="96" workbookViewId="0">
      <selection activeCell="F11" sqref="F11"/>
    </sheetView>
  </sheetViews>
  <sheetFormatPr baseColWidth="10" defaultColWidth="11" defaultRowHeight="15"/>
  <cols>
    <col min="1" max="1" width="15.7109375" customWidth="1"/>
    <col min="2" max="2" width="30.5703125" customWidth="1"/>
    <col min="3" max="3" width="29.42578125" customWidth="1"/>
    <col min="4" max="4" width="17.5703125" customWidth="1"/>
    <col min="5" max="5" width="14.85546875" customWidth="1"/>
    <col min="6" max="6" width="19.7109375" customWidth="1"/>
    <col min="7" max="7" width="33.42578125" customWidth="1"/>
    <col min="8" max="8" width="16.7109375" customWidth="1"/>
    <col min="9" max="9" width="20.28515625" customWidth="1"/>
    <col min="10" max="10" width="14.5703125" customWidth="1"/>
    <col min="11" max="11" width="15.85546875" customWidth="1"/>
  </cols>
  <sheetData>
    <row r="1" spans="1:10" ht="16.5" thickBot="1">
      <c r="D1" s="7"/>
      <c r="E1" s="8"/>
    </row>
    <row r="2" spans="1:10" ht="16.5" thickBot="1">
      <c r="B2" s="131" t="s">
        <v>0</v>
      </c>
      <c r="C2" s="132"/>
      <c r="D2" s="132"/>
      <c r="E2" s="133"/>
      <c r="G2" s="2061" t="s">
        <v>1</v>
      </c>
      <c r="H2" s="2062"/>
      <c r="I2" s="2063"/>
    </row>
    <row r="3" spans="1:10" ht="15.75" thickBot="1">
      <c r="A3" s="9"/>
      <c r="B3" s="10"/>
      <c r="C3" s="11"/>
      <c r="D3" s="12"/>
    </row>
    <row r="4" spans="1:10" ht="15.75">
      <c r="B4" s="152"/>
      <c r="C4" s="153" t="s">
        <v>3</v>
      </c>
      <c r="D4" s="154" t="s">
        <v>576</v>
      </c>
      <c r="G4" s="131"/>
      <c r="H4" s="134" t="s">
        <v>577</v>
      </c>
      <c r="I4" s="134" t="s">
        <v>578</v>
      </c>
    </row>
    <row r="5" spans="1:10" ht="15.75">
      <c r="B5" s="155"/>
      <c r="C5" s="16" t="s">
        <v>578</v>
      </c>
      <c r="D5" s="17">
        <v>1</v>
      </c>
      <c r="F5" s="8">
        <v>0.5</v>
      </c>
      <c r="G5" s="18" t="s">
        <v>579</v>
      </c>
      <c r="H5" s="50">
        <v>12.5</v>
      </c>
      <c r="I5" s="50">
        <v>12.5</v>
      </c>
    </row>
    <row r="6" spans="1:10" ht="15.75">
      <c r="B6" s="156" t="s">
        <v>21</v>
      </c>
      <c r="C6" s="157" t="s">
        <v>22</v>
      </c>
      <c r="D6" s="158" t="s">
        <v>580</v>
      </c>
      <c r="E6" s="159" t="s">
        <v>23</v>
      </c>
      <c r="G6" s="18" t="s">
        <v>581</v>
      </c>
      <c r="H6" s="66">
        <v>2.7</v>
      </c>
      <c r="I6" s="66">
        <v>2.7</v>
      </c>
    </row>
    <row r="7" spans="1:10" ht="15.75">
      <c r="B7" s="160" t="s">
        <v>687</v>
      </c>
      <c r="C7" s="1735">
        <f>+IF($C$5=$H$4,H5,IF($C$5=$I$4,I5))*$D$5</f>
        <v>12.5</v>
      </c>
      <c r="D7" s="161"/>
      <c r="E7" s="162">
        <f>C7+D7</f>
        <v>12.5</v>
      </c>
      <c r="F7" s="1737">
        <f>+E7*$F$5</f>
        <v>6.25</v>
      </c>
      <c r="G7" s="22" t="s">
        <v>582</v>
      </c>
      <c r="H7" s="67">
        <v>250</v>
      </c>
      <c r="I7" s="67">
        <v>250</v>
      </c>
      <c r="J7">
        <f>+I7/50</f>
        <v>5</v>
      </c>
    </row>
    <row r="8" spans="1:10" ht="15.75">
      <c r="B8" s="22" t="s">
        <v>688</v>
      </c>
      <c r="C8" s="1735">
        <f t="shared" ref="C8:C16" si="0">+IF($C$5=$H$4,H6,IF($C$5=$I$4,I6))*$D$5</f>
        <v>2.7</v>
      </c>
      <c r="D8" s="161"/>
      <c r="E8" s="162">
        <f>C8+D8</f>
        <v>2.7</v>
      </c>
      <c r="F8" s="1737">
        <f t="shared" ref="F8:F16" si="1">+E8*$F$5</f>
        <v>1.35</v>
      </c>
      <c r="G8" s="22" t="s">
        <v>583</v>
      </c>
      <c r="H8" s="67">
        <v>12.5</v>
      </c>
      <c r="I8" s="67">
        <v>12.5</v>
      </c>
    </row>
    <row r="9" spans="1:10" ht="15.75">
      <c r="B9" s="163" t="s">
        <v>582</v>
      </c>
      <c r="C9" s="1735">
        <f t="shared" si="0"/>
        <v>250</v>
      </c>
      <c r="D9" s="161"/>
      <c r="E9" s="162">
        <f t="shared" ref="E9:E16" si="2">C9+D9</f>
        <v>250</v>
      </c>
      <c r="F9" s="1737">
        <f t="shared" si="1"/>
        <v>125</v>
      </c>
      <c r="G9" s="22" t="s">
        <v>584</v>
      </c>
      <c r="H9" s="69">
        <v>2</v>
      </c>
      <c r="I9" s="69">
        <v>2</v>
      </c>
    </row>
    <row r="10" spans="1:10" ht="15.75">
      <c r="B10" s="163" t="s">
        <v>583</v>
      </c>
      <c r="C10" s="1735">
        <f t="shared" si="0"/>
        <v>12.5</v>
      </c>
      <c r="D10" s="161"/>
      <c r="E10" s="164">
        <f t="shared" si="2"/>
        <v>12.5</v>
      </c>
      <c r="F10" s="1737">
        <f t="shared" si="1"/>
        <v>6.25</v>
      </c>
      <c r="G10" s="22" t="s">
        <v>585</v>
      </c>
      <c r="H10" s="135">
        <v>0.33500000000000002</v>
      </c>
      <c r="I10" s="135">
        <v>0.33500000000000002</v>
      </c>
    </row>
    <row r="11" spans="1:10" ht="15.75">
      <c r="B11" s="163" t="s">
        <v>584</v>
      </c>
      <c r="C11" s="1735">
        <f t="shared" si="0"/>
        <v>2</v>
      </c>
      <c r="D11" s="161"/>
      <c r="E11" s="165">
        <f t="shared" si="2"/>
        <v>2</v>
      </c>
      <c r="F11" s="1737">
        <f t="shared" si="1"/>
        <v>1</v>
      </c>
      <c r="G11" s="22" t="s">
        <v>586</v>
      </c>
      <c r="H11" s="67">
        <v>0.37</v>
      </c>
      <c r="I11" s="67">
        <v>0.37</v>
      </c>
    </row>
    <row r="12" spans="1:10" ht="15.75">
      <c r="B12" s="163" t="s">
        <v>585</v>
      </c>
      <c r="C12" s="1735">
        <f t="shared" si="0"/>
        <v>0.33500000000000002</v>
      </c>
      <c r="D12" s="161"/>
      <c r="E12" s="165">
        <f t="shared" si="2"/>
        <v>0.33500000000000002</v>
      </c>
      <c r="F12" s="1737">
        <f>+E12*$F$5</f>
        <v>0.16750000000000001</v>
      </c>
      <c r="G12" s="29" t="s">
        <v>587</v>
      </c>
      <c r="H12" s="66">
        <v>1.8</v>
      </c>
      <c r="I12" s="67">
        <v>1.6</v>
      </c>
    </row>
    <row r="13" spans="1:10" ht="15.75">
      <c r="B13" s="163" t="s">
        <v>586</v>
      </c>
      <c r="C13" s="1735">
        <f t="shared" si="0"/>
        <v>0.37</v>
      </c>
      <c r="D13" s="161"/>
      <c r="E13" s="165">
        <f t="shared" si="2"/>
        <v>0.37</v>
      </c>
      <c r="F13" s="1737">
        <f t="shared" si="1"/>
        <v>0.185</v>
      </c>
      <c r="G13" s="22" t="s">
        <v>588</v>
      </c>
      <c r="H13" s="67">
        <v>0.1</v>
      </c>
      <c r="I13" s="67">
        <v>0.1</v>
      </c>
    </row>
    <row r="14" spans="1:10" ht="15.75">
      <c r="B14" s="29" t="s">
        <v>587</v>
      </c>
      <c r="C14" s="1735">
        <f t="shared" si="0"/>
        <v>1.6</v>
      </c>
      <c r="D14" s="161"/>
      <c r="E14" s="162">
        <f t="shared" si="2"/>
        <v>1.6</v>
      </c>
      <c r="F14" s="1737">
        <f t="shared" si="1"/>
        <v>0.8</v>
      </c>
      <c r="G14" s="22" t="s">
        <v>589</v>
      </c>
      <c r="H14" s="66">
        <v>4720</v>
      </c>
      <c r="I14" s="66">
        <v>4720</v>
      </c>
    </row>
    <row r="15" spans="1:10" ht="16.5" customHeight="1">
      <c r="B15" s="22" t="s">
        <v>588</v>
      </c>
      <c r="C15" s="1735">
        <f t="shared" si="0"/>
        <v>0.1</v>
      </c>
      <c r="D15" s="161"/>
      <c r="E15" s="1332">
        <f t="shared" si="2"/>
        <v>0.1</v>
      </c>
      <c r="F15" s="1737">
        <f t="shared" si="1"/>
        <v>0.05</v>
      </c>
      <c r="G15" s="37" t="s">
        <v>44</v>
      </c>
      <c r="H15" s="71">
        <v>4883</v>
      </c>
      <c r="I15" s="71">
        <v>4883</v>
      </c>
    </row>
    <row r="16" spans="1:10" ht="15.75">
      <c r="B16" s="32" t="s">
        <v>589</v>
      </c>
      <c r="C16" s="167">
        <f t="shared" si="0"/>
        <v>4720</v>
      </c>
      <c r="D16" s="167"/>
      <c r="E16" s="168">
        <f t="shared" si="2"/>
        <v>4720</v>
      </c>
      <c r="F16" s="8">
        <f t="shared" si="1"/>
        <v>2360</v>
      </c>
      <c r="H16" s="7"/>
      <c r="I16" s="7"/>
    </row>
    <row r="17" spans="2:11" ht="15.75">
      <c r="B17" s="169"/>
      <c r="H17" s="7"/>
      <c r="I17" s="7"/>
    </row>
    <row r="18" spans="2:11" ht="15.75">
      <c r="B18" s="170" t="s">
        <v>45</v>
      </c>
      <c r="C18" s="39">
        <f>+IF($C$5=$H$4,H15,IF($C$5=$I$4,I15,IF($C$5=#REF!,#REF!,IF($C$5=#REF!,#REF!,IF($C$5=#REF!,#REF!,IF($C$5=#REF!,#REF!,IF($C$5=#REF!,#REF!,IF($C$5=#REF!,#REF!,IF($C$5=#REF!,#REF!,0)))))))))*$D$5</f>
        <v>4883</v>
      </c>
      <c r="D18" s="1740">
        <f>+C18*0.5</f>
        <v>2441.5</v>
      </c>
      <c r="E18" s="40"/>
    </row>
    <row r="19" spans="2:11" ht="15.75">
      <c r="C19" s="171"/>
      <c r="D19" s="82"/>
      <c r="E19" s="40"/>
      <c r="F19" s="6"/>
      <c r="G19" s="172"/>
      <c r="H19" s="62"/>
      <c r="I19" s="62"/>
    </row>
    <row r="20" spans="2:11" ht="15.75">
      <c r="B20" s="43"/>
      <c r="D20" s="44"/>
      <c r="E20" s="44"/>
      <c r="G20" s="45"/>
    </row>
    <row r="21" spans="2:11" ht="42" customHeight="1">
      <c r="B21" s="173" t="s">
        <v>590</v>
      </c>
      <c r="C21" s="174" t="s">
        <v>579</v>
      </c>
      <c r="D21" s="175" t="s">
        <v>581</v>
      </c>
      <c r="E21" s="172"/>
    </row>
    <row r="22" spans="2:11" ht="20.25">
      <c r="B22" s="176"/>
      <c r="C22" s="177">
        <f>+E7/25</f>
        <v>0.5</v>
      </c>
      <c r="D22" s="178">
        <f>+E8/21.6</f>
        <v>0.125</v>
      </c>
      <c r="E22" s="48"/>
      <c r="G22" s="41"/>
      <c r="H22" s="41"/>
      <c r="I22" s="48"/>
    </row>
    <row r="23" spans="2:11" ht="21" thickBot="1">
      <c r="B23" s="179"/>
      <c r="C23" s="180"/>
      <c r="D23" s="181"/>
      <c r="E23" s="48"/>
      <c r="H23" s="44"/>
      <c r="I23" s="44"/>
    </row>
    <row r="24" spans="2:11" ht="15.75" hidden="1">
      <c r="C24" s="7"/>
      <c r="D24" s="7"/>
      <c r="E24" s="7"/>
      <c r="G24" s="49"/>
      <c r="H24" s="44"/>
      <c r="I24" s="44"/>
    </row>
    <row r="25" spans="2:11" ht="15.75" hidden="1">
      <c r="B25" s="52"/>
      <c r="C25" s="52"/>
      <c r="D25" s="52"/>
      <c r="E25" s="52"/>
      <c r="H25" s="44"/>
      <c r="I25" s="44"/>
    </row>
    <row r="26" spans="2:11" ht="15.75" hidden="1">
      <c r="B26" s="83"/>
      <c r="C26" s="182"/>
      <c r="D26" s="57"/>
      <c r="E26" s="57"/>
      <c r="F26" s="52"/>
      <c r="G26" s="53"/>
      <c r="H26" s="44"/>
      <c r="I26" s="44"/>
    </row>
    <row r="27" spans="2:11" ht="15.75" hidden="1">
      <c r="B27" s="58"/>
      <c r="C27" s="183"/>
      <c r="D27" s="183"/>
      <c r="E27" s="183"/>
      <c r="F27" s="57"/>
      <c r="G27" s="53"/>
      <c r="H27" s="44"/>
      <c r="I27" s="44"/>
    </row>
    <row r="28" spans="2:11" ht="15.75" hidden="1">
      <c r="B28" s="58"/>
      <c r="C28" s="184"/>
      <c r="D28" s="52"/>
      <c r="E28" s="52"/>
      <c r="F28" s="57"/>
      <c r="G28" s="53"/>
      <c r="H28" s="44"/>
      <c r="I28" s="44"/>
    </row>
    <row r="29" spans="2:11" ht="16.5" thickBot="1">
      <c r="B29" s="58"/>
      <c r="C29" s="58"/>
      <c r="D29" s="52"/>
      <c r="E29" s="52"/>
      <c r="F29" s="185"/>
      <c r="G29" s="53"/>
      <c r="H29" s="44"/>
      <c r="I29" s="44"/>
    </row>
    <row r="30" spans="2:11" ht="16.5" thickBot="1">
      <c r="B30" s="52"/>
      <c r="C30" s="55"/>
      <c r="D30" s="55"/>
      <c r="E30" s="56"/>
      <c r="F30" s="1260" t="s">
        <v>564</v>
      </c>
      <c r="G30" s="1293"/>
      <c r="H30" s="1293"/>
      <c r="I30" s="1293"/>
      <c r="J30" s="1293"/>
      <c r="K30" s="1294"/>
    </row>
    <row r="31" spans="2:11" ht="15.75">
      <c r="B31" s="52"/>
      <c r="C31" s="55"/>
      <c r="D31" s="55"/>
      <c r="E31" s="56"/>
      <c r="F31" s="224" t="s">
        <v>222</v>
      </c>
      <c r="G31" s="246" t="s">
        <v>444</v>
      </c>
      <c r="H31" s="246" t="s">
        <v>565</v>
      </c>
      <c r="I31" s="246" t="s">
        <v>566</v>
      </c>
      <c r="J31" s="247" t="s">
        <v>567</v>
      </c>
      <c r="K31" s="1291" t="s">
        <v>670</v>
      </c>
    </row>
    <row r="32" spans="2:11" ht="15.75">
      <c r="B32" s="52"/>
      <c r="C32" s="58"/>
      <c r="D32" s="58"/>
      <c r="E32" s="57"/>
      <c r="F32" s="1296" t="s">
        <v>577</v>
      </c>
      <c r="G32" s="102"/>
      <c r="H32" s="102"/>
      <c r="I32" s="103"/>
      <c r="J32" s="104">
        <v>0</v>
      </c>
      <c r="K32" s="104">
        <v>2000</v>
      </c>
    </row>
    <row r="33" spans="2:13" ht="15.75">
      <c r="B33" s="58"/>
      <c r="C33" s="59"/>
      <c r="D33" s="59"/>
      <c r="E33" s="57"/>
      <c r="F33" s="126" t="s">
        <v>569</v>
      </c>
      <c r="G33" s="248">
        <f>+G32*12</f>
        <v>0</v>
      </c>
      <c r="H33" s="249">
        <f>+H32*6</f>
        <v>0</v>
      </c>
      <c r="I33" s="250">
        <f>+I32*6</f>
        <v>0</v>
      </c>
      <c r="J33" s="251">
        <f>+J32*3.96</f>
        <v>0</v>
      </c>
      <c r="K33" s="251">
        <f>+K32*6</f>
        <v>12000</v>
      </c>
    </row>
    <row r="34" spans="2:13" ht="30.75" thickBot="1">
      <c r="B34" s="52"/>
      <c r="C34" s="59"/>
      <c r="D34" s="59"/>
      <c r="E34" s="57"/>
      <c r="F34" s="127" t="s">
        <v>570</v>
      </c>
      <c r="G34" s="252">
        <f>+IF($F$32=$H$4,(G33/$H$15),IF($G$32=$I$4,G33/$I$15))</f>
        <v>0</v>
      </c>
      <c r="H34" s="252">
        <f>+IF($F$32=$H$4,(H33/$H$15),IF($G$32=$I$4,H33/$I$15))</f>
        <v>0</v>
      </c>
      <c r="I34" s="252">
        <f>+IF($F$32=$H$4,(I33/$H$15),IF($G$32=$I$4,I33/$I$15))</f>
        <v>0</v>
      </c>
      <c r="J34" s="252">
        <f>+IF($F$32=$H$4,(J33/$H$15),IF($J$32=$I$4,J33/$I$15))</f>
        <v>0</v>
      </c>
      <c r="K34" s="252">
        <f>+IF($F$32=$H$4,(K33/$H$15),IF($K$32=$I$4,K33/$I$15))</f>
        <v>2.4575056317837394</v>
      </c>
      <c r="M34" s="304">
        <f>+G34+H34+I34+J34+K34</f>
        <v>2.4575056317837394</v>
      </c>
    </row>
    <row r="35" spans="2:13" ht="32.25" thickBot="1">
      <c r="B35" s="52"/>
      <c r="C35" s="58"/>
      <c r="D35" s="58"/>
      <c r="E35" s="57"/>
      <c r="F35" s="128" t="s">
        <v>572</v>
      </c>
      <c r="G35" s="1295">
        <f>ROUNDUP(M34,0)</f>
        <v>3</v>
      </c>
      <c r="H35" s="1295"/>
      <c r="I35" s="1295"/>
      <c r="J35" s="1295"/>
      <c r="K35" s="141"/>
    </row>
    <row r="36" spans="2:13" ht="15.75">
      <c r="B36" s="61"/>
      <c r="C36" s="61"/>
      <c r="D36" s="61"/>
      <c r="E36" s="61"/>
      <c r="F36" s="57"/>
      <c r="G36" s="53"/>
      <c r="H36" s="48"/>
    </row>
    <row r="37" spans="2:13">
      <c r="B37" s="61"/>
      <c r="C37" s="61"/>
      <c r="D37" s="61"/>
      <c r="E37" s="61"/>
      <c r="F37" s="61"/>
      <c r="G37" s="61"/>
    </row>
    <row r="38" spans="2:13">
      <c r="F38" s="61"/>
      <c r="G38" s="61"/>
    </row>
    <row r="40" spans="2:13" ht="15.75">
      <c r="C40" s="62"/>
      <c r="D40" s="63"/>
    </row>
    <row r="41" spans="2:13" ht="15.75">
      <c r="C41" s="60"/>
      <c r="D41" s="63"/>
    </row>
    <row r="42" spans="2:13" ht="15.75">
      <c r="C42" s="60"/>
      <c r="D42" s="63"/>
    </row>
    <row r="43" spans="2:13" ht="15.75">
      <c r="C43" s="60"/>
      <c r="D43" s="63"/>
    </row>
    <row r="44" spans="2:13" ht="15.75">
      <c r="C44" s="60"/>
      <c r="D44" s="63"/>
    </row>
    <row r="45" spans="2:13" ht="15.75">
      <c r="C45" s="60"/>
      <c r="D45" s="63"/>
    </row>
    <row r="46" spans="2:13" ht="15.75">
      <c r="C46" s="64"/>
      <c r="D46" s="63"/>
    </row>
    <row r="47" spans="2:13" ht="15.75">
      <c r="C47" s="64"/>
      <c r="D47" s="63"/>
    </row>
    <row r="48" spans="2:13" ht="15.75">
      <c r="C48" s="60"/>
      <c r="D48" s="63"/>
    </row>
    <row r="49" spans="3:9" ht="15.75">
      <c r="C49" s="62"/>
      <c r="D49" s="63"/>
    </row>
    <row r="50" spans="3:9">
      <c r="D50" s="63"/>
      <c r="E50" s="63"/>
    </row>
    <row r="51" spans="3:9">
      <c r="F51" s="63"/>
      <c r="G51" s="63"/>
      <c r="H51" s="63"/>
      <c r="I51" s="63"/>
    </row>
  </sheetData>
  <mergeCells count="1">
    <mergeCell ref="G2:I2"/>
  </mergeCells>
  <dataValidations count="1">
    <dataValidation type="list" allowBlank="1" showInputMessage="1" showErrorMessage="1" sqref="C5 F32" xr:uid="{00000000-0002-0000-0D00-000000000000}">
      <formula1>$H$4:$I$4</formula1>
    </dataValidation>
  </dataValidation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BB253-F62F-450F-9754-F6B150BB3681}">
  <sheetPr codeName="Hoja25"/>
  <dimension ref="D4:P37"/>
  <sheetViews>
    <sheetView topLeftCell="A22" zoomScale="96" zoomScaleNormal="96" workbookViewId="0">
      <selection activeCell="D28" sqref="D28:J35"/>
    </sheetView>
  </sheetViews>
  <sheetFormatPr baseColWidth="10" defaultRowHeight="15"/>
  <cols>
    <col min="4" max="4" width="9.5703125" customWidth="1"/>
    <col min="5" max="5" width="9.42578125" customWidth="1"/>
    <col min="6" max="6" width="16.85546875" customWidth="1"/>
    <col min="7" max="7" width="13.7109375" customWidth="1"/>
    <col min="10" max="10" width="11.42578125" customWidth="1"/>
    <col min="11" max="11" width="11.42578125" hidden="1" customWidth="1"/>
  </cols>
  <sheetData>
    <row r="4" spans="4:16">
      <c r="D4" s="1404" t="s">
        <v>735</v>
      </c>
      <c r="E4" s="1404" t="s">
        <v>746</v>
      </c>
      <c r="F4" s="1404" t="s">
        <v>748</v>
      </c>
      <c r="G4" s="1404" t="s">
        <v>749</v>
      </c>
      <c r="H4" s="1404" t="s">
        <v>750</v>
      </c>
      <c r="I4" s="1404" t="s">
        <v>751</v>
      </c>
      <c r="J4" s="1404" t="s">
        <v>752</v>
      </c>
      <c r="K4" s="1404" t="s">
        <v>747</v>
      </c>
      <c r="L4" s="1409"/>
      <c r="M4" s="1409"/>
      <c r="N4" s="1409"/>
      <c r="O4" s="1383"/>
      <c r="P4" s="1383"/>
    </row>
    <row r="5" spans="4:16">
      <c r="D5" s="1405" t="s">
        <v>736</v>
      </c>
      <c r="E5" s="1384">
        <f>47510/8000</f>
        <v>5.9387499999999998</v>
      </c>
      <c r="F5" s="1384">
        <f>+Tabla1[[#This Row],[Litros2]]</f>
        <v>47510</v>
      </c>
      <c r="G5" s="1384">
        <f t="shared" ref="G5:G13" si="0">+E5*0.6</f>
        <v>3.5632499999999996</v>
      </c>
      <c r="H5" s="1384">
        <f>+Tabla1[[#This Row],[Litros Totales]]*0.6</f>
        <v>28506</v>
      </c>
      <c r="I5" s="1384">
        <f t="shared" ref="I5:I13" si="1">+E5-G5</f>
        <v>2.3755000000000002</v>
      </c>
      <c r="J5" s="1384">
        <f>+Tabla1[[#This Row],[Litros Totales]]-Tabla1[[#This Row],[Litros Mtto]]</f>
        <v>19004</v>
      </c>
      <c r="K5" s="405">
        <f>+Tabla1[[#This Row],[Total H]]*8000</f>
        <v>47510</v>
      </c>
    </row>
    <row r="6" spans="4:16">
      <c r="D6" s="1405" t="s">
        <v>737</v>
      </c>
      <c r="E6" s="1384">
        <f>25317/8000</f>
        <v>3.164625</v>
      </c>
      <c r="F6" s="1384">
        <f>+Tabla1[[#This Row],[Litros2]]</f>
        <v>25317</v>
      </c>
      <c r="G6" s="1384">
        <f t="shared" si="0"/>
        <v>1.8987749999999999</v>
      </c>
      <c r="H6" s="1384">
        <f>+Tabla1[[#This Row],[Litros Totales]]*0.6</f>
        <v>15190.199999999999</v>
      </c>
      <c r="I6" s="1384">
        <f t="shared" si="1"/>
        <v>1.2658500000000001</v>
      </c>
      <c r="J6" s="1384">
        <f>+Tabla1[[#This Row],[Litros Totales]]-Tabla1[[#This Row],[Litros Mtto]]</f>
        <v>10126.800000000001</v>
      </c>
      <c r="K6" s="405">
        <f>+Tabla1[[#This Row],[Total H]]*8000</f>
        <v>25317</v>
      </c>
    </row>
    <row r="7" spans="4:16">
      <c r="D7" s="1405" t="s">
        <v>738</v>
      </c>
      <c r="E7" s="1384">
        <f>30006/8000</f>
        <v>3.75075</v>
      </c>
      <c r="F7" s="1384">
        <f>+Tabla1[[#This Row],[Litros2]]</f>
        <v>30006</v>
      </c>
      <c r="G7" s="1384">
        <f t="shared" si="0"/>
        <v>2.2504499999999998</v>
      </c>
      <c r="H7" s="1384">
        <f>+Tabla1[[#This Row],[Litros Totales]]*0.6</f>
        <v>18003.599999999999</v>
      </c>
      <c r="I7" s="1384">
        <f t="shared" si="1"/>
        <v>1.5003000000000002</v>
      </c>
      <c r="J7" s="1384">
        <f>+Tabla1[[#This Row],[Litros Totales]]-Tabla1[[#This Row],[Litros Mtto]]</f>
        <v>12002.400000000001</v>
      </c>
      <c r="K7" s="405">
        <f>+Tabla1[[#This Row],[Total H]]*8000</f>
        <v>30006</v>
      </c>
    </row>
    <row r="8" spans="4:16">
      <c r="D8" s="1405" t="s">
        <v>739</v>
      </c>
      <c r="E8" s="1384">
        <f>33371/8000</f>
        <v>4.1713750000000003</v>
      </c>
      <c r="F8" s="1384">
        <f>+Tabla1[[#This Row],[Litros2]]</f>
        <v>33371</v>
      </c>
      <c r="G8" s="1384">
        <f t="shared" si="0"/>
        <v>2.5028250000000001</v>
      </c>
      <c r="H8" s="1384">
        <f>+Tabla1[[#This Row],[Litros Totales]]*0.6</f>
        <v>20022.599999999999</v>
      </c>
      <c r="I8" s="1384">
        <f t="shared" si="1"/>
        <v>1.6685500000000002</v>
      </c>
      <c r="J8" s="1384">
        <f>+Tabla1[[#This Row],[Litros Totales]]-Tabla1[[#This Row],[Litros Mtto]]</f>
        <v>13348.400000000001</v>
      </c>
      <c r="K8" s="405">
        <f>+Tabla1[[#This Row],[Total H]]*8000</f>
        <v>33371</v>
      </c>
    </row>
    <row r="9" spans="4:16">
      <c r="D9" s="1405" t="s">
        <v>740</v>
      </c>
      <c r="E9" s="1384">
        <f>31941/8000</f>
        <v>3.9926249999999999</v>
      </c>
      <c r="F9" s="1384">
        <f>+Tabla1[[#This Row],[Litros2]]</f>
        <v>31941</v>
      </c>
      <c r="G9" s="1384">
        <f t="shared" si="0"/>
        <v>2.395575</v>
      </c>
      <c r="H9" s="1384">
        <f>+Tabla1[[#This Row],[Litros Totales]]*0.6</f>
        <v>19164.599999999999</v>
      </c>
      <c r="I9" s="1384">
        <f t="shared" si="1"/>
        <v>1.5970499999999999</v>
      </c>
      <c r="J9" s="1384">
        <f>+Tabla1[[#This Row],[Litros Totales]]-Tabla1[[#This Row],[Litros Mtto]]</f>
        <v>12776.400000000001</v>
      </c>
      <c r="K9" s="405">
        <f>+Tabla1[[#This Row],[Total H]]*8000</f>
        <v>31941</v>
      </c>
    </row>
    <row r="10" spans="4:16">
      <c r="D10" s="1405" t="s">
        <v>741</v>
      </c>
      <c r="E10" s="1384">
        <f>29222/8000</f>
        <v>3.6527500000000002</v>
      </c>
      <c r="F10" s="1384">
        <f>+Tabla1[[#This Row],[Litros2]]</f>
        <v>29222</v>
      </c>
      <c r="G10" s="1384">
        <f t="shared" si="0"/>
        <v>2.1916500000000001</v>
      </c>
      <c r="H10" s="1384">
        <f>+Tabla1[[#This Row],[Litros Totales]]*0.6</f>
        <v>17533.2</v>
      </c>
      <c r="I10" s="1384">
        <f t="shared" si="1"/>
        <v>1.4611000000000001</v>
      </c>
      <c r="J10" s="1384">
        <f>+Tabla1[[#This Row],[Litros Totales]]-Tabla1[[#This Row],[Litros Mtto]]</f>
        <v>11688.8</v>
      </c>
      <c r="K10" s="405">
        <f>+Tabla1[[#This Row],[Total H]]*8000</f>
        <v>29222</v>
      </c>
    </row>
    <row r="11" spans="4:16">
      <c r="D11" s="1405" t="s">
        <v>742</v>
      </c>
      <c r="E11" s="1384">
        <f>33286/8000</f>
        <v>4.1607500000000002</v>
      </c>
      <c r="F11" s="1384">
        <f>+Tabla1[[#This Row],[Litros2]]</f>
        <v>33286</v>
      </c>
      <c r="G11" s="1384">
        <f t="shared" si="0"/>
        <v>2.4964499999999998</v>
      </c>
      <c r="H11" s="1384">
        <f>+Tabla1[[#This Row],[Litros Totales]]*0.6</f>
        <v>19971.599999999999</v>
      </c>
      <c r="I11" s="1384">
        <f t="shared" si="1"/>
        <v>1.6643000000000003</v>
      </c>
      <c r="J11" s="1384">
        <f>+Tabla1[[#This Row],[Litros Totales]]-Tabla1[[#This Row],[Litros Mtto]]</f>
        <v>13314.400000000001</v>
      </c>
      <c r="K11" s="405">
        <f>+Tabla1[[#This Row],[Total H]]*8000</f>
        <v>33286</v>
      </c>
    </row>
    <row r="12" spans="4:16">
      <c r="D12" s="1405" t="s">
        <v>743</v>
      </c>
      <c r="E12" s="1384">
        <f>45039/8000</f>
        <v>5.6298750000000002</v>
      </c>
      <c r="F12" s="1384">
        <f>+Tabla1[[#This Row],[Litros2]]</f>
        <v>45039</v>
      </c>
      <c r="G12" s="1384">
        <f t="shared" si="0"/>
        <v>3.3779249999999998</v>
      </c>
      <c r="H12" s="1384">
        <f>+Tabla1[[#This Row],[Litros Totales]]*0.6</f>
        <v>27023.399999999998</v>
      </c>
      <c r="I12" s="1384">
        <f t="shared" si="1"/>
        <v>2.2519500000000003</v>
      </c>
      <c r="J12" s="1384">
        <f>+Tabla1[[#This Row],[Litros Totales]]-Tabla1[[#This Row],[Litros Mtto]]</f>
        <v>18015.600000000002</v>
      </c>
      <c r="K12" s="405">
        <f>+Tabla1[[#This Row],[Total H]]*8000</f>
        <v>45039</v>
      </c>
    </row>
    <row r="13" spans="4:16">
      <c r="D13" s="1401" t="s">
        <v>744</v>
      </c>
      <c r="E13" s="1402">
        <f>10843/8000</f>
        <v>1.355375</v>
      </c>
      <c r="F13" s="1384">
        <f>+Tabla1[[#This Row],[Litros2]]</f>
        <v>10843</v>
      </c>
      <c r="G13" s="1402">
        <f t="shared" si="0"/>
        <v>0.81322499999999998</v>
      </c>
      <c r="H13" s="1384">
        <f>+Tabla1[[#This Row],[Litros Totales]]*0.6</f>
        <v>6505.8</v>
      </c>
      <c r="I13" s="1403">
        <f t="shared" si="1"/>
        <v>0.54215000000000002</v>
      </c>
      <c r="J13" s="1384">
        <f>+Tabla1[[#This Row],[Litros Totales]]-Tabla1[[#This Row],[Litros Mtto]]</f>
        <v>4337.2</v>
      </c>
      <c r="K13">
        <f>+Tabla1[[#This Row],[Total H]]*8000</f>
        <v>10843</v>
      </c>
    </row>
    <row r="16" spans="4:16">
      <c r="D16" s="1391" t="s">
        <v>735</v>
      </c>
      <c r="E16" s="1390" t="s">
        <v>746</v>
      </c>
      <c r="F16" s="1390" t="s">
        <v>748</v>
      </c>
      <c r="G16" s="1390" t="s">
        <v>749</v>
      </c>
      <c r="H16" s="1390" t="s">
        <v>750</v>
      </c>
      <c r="I16" s="1390" t="s">
        <v>754</v>
      </c>
      <c r="J16" s="1392" t="s">
        <v>752</v>
      </c>
      <c r="K16" s="1392" t="s">
        <v>745</v>
      </c>
      <c r="L16" s="1410"/>
      <c r="M16" s="1410"/>
      <c r="N16" s="1410"/>
    </row>
    <row r="17" spans="4:14">
      <c r="D17" s="1389" t="s">
        <v>736</v>
      </c>
      <c r="E17" s="1384">
        <f>(48860*0.25)/1875</f>
        <v>6.5146666666666668</v>
      </c>
      <c r="F17" s="1384">
        <f>+Tabla2[[#This Row],[Litros]]</f>
        <v>12215</v>
      </c>
      <c r="G17" s="1384">
        <f t="shared" ref="G17:G25" si="2">+E17*0.6</f>
        <v>3.9087999999999998</v>
      </c>
      <c r="H17" s="1384">
        <f>+Tabla2[[#This Row],[Litros Totales]]*0.6</f>
        <v>7329</v>
      </c>
      <c r="I17" s="1384">
        <f t="shared" ref="I17:I25" si="3">+E17-G17</f>
        <v>2.605866666666667</v>
      </c>
      <c r="J17" s="1385">
        <f>+Tabla2[[#This Row],[Litros Totales]]-Tabla2[[#This Row],[Litros Mtto]]</f>
        <v>4886</v>
      </c>
      <c r="K17" s="1406">
        <f>+Tabla2[[#This Row],[Total H]]*1875</f>
        <v>12215</v>
      </c>
    </row>
    <row r="18" spans="4:14">
      <c r="D18" s="1389" t="s">
        <v>737</v>
      </c>
      <c r="E18" s="1384">
        <f>((103632*0.25)/1875)/2</f>
        <v>6.9088000000000003</v>
      </c>
      <c r="F18" s="1384">
        <f>+Tabla2[[#This Row],[Litros]]</f>
        <v>12954</v>
      </c>
      <c r="G18" s="1384">
        <f t="shared" si="2"/>
        <v>4.1452799999999996</v>
      </c>
      <c r="H18" s="1384">
        <f>+Tabla2[[#This Row],[Litros Totales]]*0.6</f>
        <v>7772.4</v>
      </c>
      <c r="I18" s="1384">
        <f t="shared" si="3"/>
        <v>2.7635200000000006</v>
      </c>
      <c r="J18" s="1385">
        <f>+Tabla2[[#This Row],[Litros Totales]]-Tabla2[[#This Row],[Litros Mtto]]</f>
        <v>5181.6000000000004</v>
      </c>
      <c r="K18" s="1406">
        <f>+Tabla2[[#This Row],[Total H]]*1875</f>
        <v>12954</v>
      </c>
    </row>
    <row r="19" spans="4:14">
      <c r="D19" s="1389" t="s">
        <v>738</v>
      </c>
      <c r="E19" s="1384">
        <f>(49130*0.25)/1875</f>
        <v>6.5506666666666664</v>
      </c>
      <c r="F19" s="1384">
        <f>+Tabla2[[#This Row],[Litros]]</f>
        <v>12282.5</v>
      </c>
      <c r="G19" s="1384">
        <f t="shared" si="2"/>
        <v>3.9303999999999997</v>
      </c>
      <c r="H19" s="1384">
        <f>+Tabla2[[#This Row],[Litros Totales]]*0.6</f>
        <v>7369.5</v>
      </c>
      <c r="I19" s="1384">
        <f t="shared" si="3"/>
        <v>2.6202666666666667</v>
      </c>
      <c r="J19" s="1385">
        <f>+Tabla2[[#This Row],[Litros Totales]]-Tabla2[[#This Row],[Litros Mtto]]</f>
        <v>4913</v>
      </c>
      <c r="K19" s="1406">
        <f>+Tabla2[[#This Row],[Total H]]*1875</f>
        <v>12282.5</v>
      </c>
    </row>
    <row r="20" spans="4:14">
      <c r="D20" s="1389" t="s">
        <v>739</v>
      </c>
      <c r="E20" s="1384">
        <f>(30644*0.25)/1875</f>
        <v>4.085866666666667</v>
      </c>
      <c r="F20" s="1384">
        <f>+Tabla2[[#This Row],[Litros]]</f>
        <v>7661.0000000000009</v>
      </c>
      <c r="G20" s="1384">
        <f t="shared" si="2"/>
        <v>2.4515199999999999</v>
      </c>
      <c r="H20" s="1384">
        <f>+Tabla2[[#This Row],[Litros Totales]]*0.6</f>
        <v>4596.6000000000004</v>
      </c>
      <c r="I20" s="1384">
        <f t="shared" si="3"/>
        <v>1.6343466666666671</v>
      </c>
      <c r="J20" s="1385">
        <f>+Tabla2[[#This Row],[Litros Totales]]-Tabla2[[#This Row],[Litros Mtto]]</f>
        <v>3064.4000000000005</v>
      </c>
      <c r="K20" s="1406">
        <f>+Tabla2[[#This Row],[Total H]]*1875</f>
        <v>7661.0000000000009</v>
      </c>
    </row>
    <row r="21" spans="4:14">
      <c r="D21" s="1389" t="s">
        <v>740</v>
      </c>
      <c r="E21" s="1384">
        <f>(47894*0.25)/1875</f>
        <v>6.3858666666666668</v>
      </c>
      <c r="F21" s="1384">
        <f>+Tabla2[[#This Row],[Litros]]</f>
        <v>11973.5</v>
      </c>
      <c r="G21" s="1384">
        <f t="shared" si="2"/>
        <v>3.8315199999999998</v>
      </c>
      <c r="H21" s="1384">
        <f>+Tabla2[[#This Row],[Litros Totales]]*0.6</f>
        <v>7184.0999999999995</v>
      </c>
      <c r="I21" s="1384">
        <f t="shared" si="3"/>
        <v>2.554346666666667</v>
      </c>
      <c r="J21" s="1385">
        <f>+Tabla2[[#This Row],[Litros Totales]]-Tabla2[[#This Row],[Litros Mtto]]</f>
        <v>4789.4000000000005</v>
      </c>
      <c r="K21" s="1406">
        <f>+Tabla2[[#This Row],[Total H]]*1875</f>
        <v>11973.5</v>
      </c>
    </row>
    <row r="22" spans="4:14">
      <c r="D22" s="1389" t="s">
        <v>741</v>
      </c>
      <c r="E22" s="1384">
        <f>(53243*0.25)/1875</f>
        <v>7.0990666666666664</v>
      </c>
      <c r="F22" s="1384">
        <f>+Tabla2[[#This Row],[Litros]]</f>
        <v>13310.75</v>
      </c>
      <c r="G22" s="1384">
        <f t="shared" si="2"/>
        <v>4.2594399999999997</v>
      </c>
      <c r="H22" s="1384">
        <f>+Tabla2[[#This Row],[Litros Totales]]*0.6</f>
        <v>7986.45</v>
      </c>
      <c r="I22" s="1384">
        <f t="shared" si="3"/>
        <v>2.8396266666666667</v>
      </c>
      <c r="J22" s="1385">
        <f>+Tabla2[[#This Row],[Litros Totales]]-Tabla2[[#This Row],[Litros Mtto]]</f>
        <v>5324.3</v>
      </c>
      <c r="K22" s="1406">
        <f>+Tabla2[[#This Row],[Total H]]*1875</f>
        <v>13310.75</v>
      </c>
    </row>
    <row r="23" spans="4:14">
      <c r="D23" s="1389" t="s">
        <v>742</v>
      </c>
      <c r="E23" s="1384">
        <f>(24296*0.25)/1875</f>
        <v>3.2394666666666665</v>
      </c>
      <c r="F23" s="1384">
        <f>+Tabla2[[#This Row],[Litros]]</f>
        <v>6074</v>
      </c>
      <c r="G23" s="1384">
        <f t="shared" si="2"/>
        <v>1.9436799999999999</v>
      </c>
      <c r="H23" s="1384">
        <f>+Tabla2[[#This Row],[Litros Totales]]*0.6</f>
        <v>3644.4</v>
      </c>
      <c r="I23" s="1384">
        <f t="shared" si="3"/>
        <v>1.2957866666666666</v>
      </c>
      <c r="J23" s="1385">
        <f>+Tabla2[[#This Row],[Litros Totales]]-Tabla2[[#This Row],[Litros Mtto]]</f>
        <v>2429.6</v>
      </c>
      <c r="K23" s="1406">
        <f>+Tabla2[[#This Row],[Total H]]*1875</f>
        <v>6074</v>
      </c>
    </row>
    <row r="24" spans="4:14">
      <c r="D24" s="1389" t="s">
        <v>743</v>
      </c>
      <c r="E24" s="1384">
        <f>(74492*0.25)/1875</f>
        <v>9.932266666666667</v>
      </c>
      <c r="F24" s="1384">
        <f>+Tabla2[[#This Row],[Litros]]</f>
        <v>18623</v>
      </c>
      <c r="G24" s="1384">
        <f t="shared" si="2"/>
        <v>5.9593600000000002</v>
      </c>
      <c r="H24" s="1384">
        <f>+Tabla2[[#This Row],[Litros Totales]]*0.6</f>
        <v>11173.8</v>
      </c>
      <c r="I24" s="1384">
        <f t="shared" si="3"/>
        <v>3.9729066666666668</v>
      </c>
      <c r="J24" s="1385">
        <f>+Tabla2[[#This Row],[Litros Totales]]-Tabla2[[#This Row],[Litros Mtto]]</f>
        <v>7449.2000000000007</v>
      </c>
      <c r="K24" s="1406">
        <f>+Tabla2[[#This Row],[Total H]]*1875</f>
        <v>18623</v>
      </c>
    </row>
    <row r="25" spans="4:14">
      <c r="D25" s="1386" t="s">
        <v>744</v>
      </c>
      <c r="E25" s="1387">
        <f>((33321*0.25)/1875)/2</f>
        <v>2.2214</v>
      </c>
      <c r="F25" s="1384">
        <f>+Tabla2[[#This Row],[Litros]]</f>
        <v>4165.125</v>
      </c>
      <c r="G25" s="1387">
        <f t="shared" si="2"/>
        <v>1.33284</v>
      </c>
      <c r="H25" s="1384">
        <f>+Tabla2[[#This Row],[Litros Totales]]*0.6</f>
        <v>2499.0749999999998</v>
      </c>
      <c r="I25" s="1387">
        <f t="shared" si="3"/>
        <v>0.88856000000000002</v>
      </c>
      <c r="J25" s="1385">
        <f>+Tabla2[[#This Row],[Litros Totales]]-Tabla2[[#This Row],[Litros Mtto]]</f>
        <v>1666.0500000000002</v>
      </c>
      <c r="K25" s="1388">
        <f>+Tabla2[[#This Row],[Total H]]*1875</f>
        <v>4165.125</v>
      </c>
    </row>
    <row r="28" spans="4:14">
      <c r="D28" s="1398" t="s">
        <v>735</v>
      </c>
      <c r="E28" s="1399" t="s">
        <v>746</v>
      </c>
      <c r="F28" s="1399" t="s">
        <v>748</v>
      </c>
      <c r="G28" s="1399" t="s">
        <v>749</v>
      </c>
      <c r="H28" s="1399" t="s">
        <v>750</v>
      </c>
      <c r="I28" s="1399" t="s">
        <v>753</v>
      </c>
      <c r="J28" s="1400" t="s">
        <v>754</v>
      </c>
      <c r="K28" s="1400" t="s">
        <v>745</v>
      </c>
      <c r="L28" s="1411"/>
      <c r="M28" s="1411"/>
      <c r="N28" s="1411"/>
    </row>
    <row r="29" spans="4:14">
      <c r="D29" s="1393" t="s">
        <v>736</v>
      </c>
      <c r="E29" s="1394">
        <f>+(57420*0.33)/2475</f>
        <v>7.6560000000000006</v>
      </c>
      <c r="F29" s="1394">
        <f>+Tabla3[[#This Row],[Litros]]</f>
        <v>18948.600000000002</v>
      </c>
      <c r="G29" s="1394">
        <f t="shared" ref="G29:G37" si="4">+E29*0.6</f>
        <v>4.5936000000000003</v>
      </c>
      <c r="H29" s="1394">
        <f>+Tabla3[[#This Row],[Litros Totales]]*0.6</f>
        <v>11369.160000000002</v>
      </c>
      <c r="I29" s="1394">
        <f t="shared" ref="I29:I37" si="5">+E29-G29</f>
        <v>3.0624000000000002</v>
      </c>
      <c r="J29" s="1395">
        <f>+Tabla3[[#This Row],[Litros Totales]]-Tabla3[[#This Row],[Litros Mtto]]</f>
        <v>7579.4400000000005</v>
      </c>
      <c r="K29" s="1407">
        <f>+Tabla3[[#This Row],[Total H]]*2475</f>
        <v>18948.600000000002</v>
      </c>
      <c r="L29" s="171"/>
      <c r="M29" s="171"/>
      <c r="N29" s="171"/>
    </row>
    <row r="30" spans="4:14">
      <c r="D30" s="1393" t="s">
        <v>737</v>
      </c>
      <c r="E30" s="1394">
        <f>+E18</f>
        <v>6.9088000000000003</v>
      </c>
      <c r="F30" s="1394">
        <f>+Tabla3[[#This Row],[Litros]]</f>
        <v>12954</v>
      </c>
      <c r="G30" s="1394">
        <f t="shared" si="4"/>
        <v>4.1452799999999996</v>
      </c>
      <c r="H30" s="1394">
        <f>+Tabla3[[#This Row],[Litros Totales]]*0.6</f>
        <v>7772.4</v>
      </c>
      <c r="I30" s="1394">
        <f t="shared" si="5"/>
        <v>2.7635200000000006</v>
      </c>
      <c r="J30" s="1395">
        <f>+Tabla3[[#This Row],[Litros Totales]]-Tabla3[[#This Row],[Litros Mtto]]</f>
        <v>5181.6000000000004</v>
      </c>
      <c r="K30" s="1407">
        <f>+K18</f>
        <v>12954</v>
      </c>
      <c r="L30" s="171"/>
      <c r="M30" s="171"/>
      <c r="N30" s="171"/>
    </row>
    <row r="31" spans="4:14">
      <c r="D31" s="1393" t="s">
        <v>738</v>
      </c>
      <c r="E31" s="1394">
        <f>+(40419*0.2)/1875</f>
        <v>4.3113600000000005</v>
      </c>
      <c r="F31" s="1394">
        <f>+Tabla3[[#This Row],[Litros]]</f>
        <v>8083.8000000000011</v>
      </c>
      <c r="G31" s="1394">
        <f t="shared" si="4"/>
        <v>2.5868160000000002</v>
      </c>
      <c r="H31" s="1394">
        <f>+Tabla3[[#This Row],[Litros Totales]]*0.6</f>
        <v>4850.2800000000007</v>
      </c>
      <c r="I31" s="1394">
        <f t="shared" si="5"/>
        <v>1.7245440000000003</v>
      </c>
      <c r="J31" s="1395">
        <f>+Tabla3[[#This Row],[Litros Totales]]-Tabla3[[#This Row],[Litros Mtto]]</f>
        <v>3233.5200000000004</v>
      </c>
      <c r="K31" s="1407">
        <f>+Tabla3[[#This Row],[Total H]]*1875</f>
        <v>8083.8000000000011</v>
      </c>
      <c r="L31" s="171"/>
      <c r="M31" s="171"/>
      <c r="N31" s="171"/>
    </row>
    <row r="32" spans="4:14">
      <c r="D32" s="1393" t="s">
        <v>739</v>
      </c>
      <c r="E32" s="1394">
        <f>+(6936*0.33)/2475+(5398*0.2)/1875</f>
        <v>1.500586666666667</v>
      </c>
      <c r="F32" s="1394">
        <f>+Tabla3[[#This Row],[Litros]]</f>
        <v>3368.4800000000005</v>
      </c>
      <c r="G32" s="1394">
        <f t="shared" si="4"/>
        <v>0.90035200000000015</v>
      </c>
      <c r="H32" s="1394">
        <f>+Tabla3[[#This Row],[Litros Totales]]*0.6</f>
        <v>2021.0880000000002</v>
      </c>
      <c r="I32" s="1394">
        <f t="shared" si="5"/>
        <v>0.60023466666666681</v>
      </c>
      <c r="J32" s="1395">
        <f>+Tabla3[[#This Row],[Litros Totales]]-Tabla3[[#This Row],[Litros Mtto]]</f>
        <v>1347.3920000000003</v>
      </c>
      <c r="K32" s="1407">
        <f>6936*0.33+5398*0.2</f>
        <v>3368.4800000000005</v>
      </c>
      <c r="L32" s="171"/>
      <c r="M32" s="171"/>
      <c r="N32" s="171"/>
    </row>
    <row r="33" spans="4:14">
      <c r="D33" s="1393" t="s">
        <v>740</v>
      </c>
      <c r="E33" s="1394">
        <f>+(35587*0.33)/2475+(19810*0.2)/1875</f>
        <v>6.8580000000000005</v>
      </c>
      <c r="F33" s="1394">
        <f>+Tabla3[[#This Row],[Litros]]</f>
        <v>15705.710000000001</v>
      </c>
      <c r="G33" s="1394">
        <f t="shared" si="4"/>
        <v>4.1147999999999998</v>
      </c>
      <c r="H33" s="1394">
        <f>+Tabla3[[#This Row],[Litros Totales]]*0.6</f>
        <v>9423.4259999999995</v>
      </c>
      <c r="I33" s="1394">
        <f t="shared" si="5"/>
        <v>2.7432000000000007</v>
      </c>
      <c r="J33" s="1395">
        <f>+Tabla3[[#This Row],[Litros Totales]]-Tabla3[[#This Row],[Litros Mtto]]</f>
        <v>6282.2840000000015</v>
      </c>
      <c r="K33" s="1407">
        <f>35587*0.33+19810*0.2</f>
        <v>15705.710000000001</v>
      </c>
      <c r="L33" s="171"/>
      <c r="M33" s="171"/>
      <c r="N33" s="171"/>
    </row>
    <row r="34" spans="4:14">
      <c r="D34" s="1393" t="s">
        <v>741</v>
      </c>
      <c r="E34" s="1394">
        <f>+(41242*0.2)/1875</f>
        <v>4.3991466666666668</v>
      </c>
      <c r="F34" s="1394">
        <f>+Tabla3[[#This Row],[Litros]]</f>
        <v>8248.4</v>
      </c>
      <c r="G34" s="1394">
        <f t="shared" si="4"/>
        <v>2.6394880000000001</v>
      </c>
      <c r="H34" s="1394">
        <f>+Tabla3[[#This Row],[Litros Totales]]*0.6</f>
        <v>4949.04</v>
      </c>
      <c r="I34" s="1394">
        <f t="shared" si="5"/>
        <v>1.7596586666666667</v>
      </c>
      <c r="J34" s="1395">
        <f>+Tabla3[[#This Row],[Litros Totales]]-Tabla3[[#This Row],[Litros Mtto]]</f>
        <v>3299.3599999999997</v>
      </c>
      <c r="K34" s="1407">
        <f>+Tabla3[[#This Row],[Total H]]*1875</f>
        <v>8248.4</v>
      </c>
      <c r="L34" s="171"/>
      <c r="M34" s="171"/>
      <c r="N34" s="171"/>
    </row>
    <row r="35" spans="4:14">
      <c r="D35" s="1393" t="s">
        <v>742</v>
      </c>
      <c r="E35" s="1394">
        <f>+(54151*0.2)/1875</f>
        <v>5.7761066666666672</v>
      </c>
      <c r="F35" s="1394">
        <f>+Tabla3[[#This Row],[Litros]]</f>
        <v>10830.2</v>
      </c>
      <c r="G35" s="1394">
        <f t="shared" si="4"/>
        <v>3.4656640000000003</v>
      </c>
      <c r="H35" s="1394">
        <f>+Tabla3[[#This Row],[Litros Totales]]*0.6</f>
        <v>6498.12</v>
      </c>
      <c r="I35" s="1394">
        <f t="shared" si="5"/>
        <v>2.3104426666666669</v>
      </c>
      <c r="J35" s="1395">
        <f>+Tabla3[[#This Row],[Litros Totales]]-Tabla3[[#This Row],[Litros Mtto]]</f>
        <v>4332.0800000000008</v>
      </c>
      <c r="K35" s="1407">
        <f>+Tabla3[[#This Row],[Total H]]*1875</f>
        <v>10830.2</v>
      </c>
      <c r="L35" s="171"/>
      <c r="M35" s="171"/>
      <c r="N35" s="171"/>
    </row>
    <row r="36" spans="4:14">
      <c r="D36" s="1393" t="s">
        <v>743</v>
      </c>
      <c r="E36" s="1394">
        <f>(56428*0.33)/2475</f>
        <v>7.5237333333333343</v>
      </c>
      <c r="F36" s="1394">
        <f>+Tabla3[[#This Row],[Litros]]</f>
        <v>18621.240000000002</v>
      </c>
      <c r="G36" s="1394">
        <f t="shared" si="4"/>
        <v>4.51424</v>
      </c>
      <c r="H36" s="1394">
        <f>+Tabla3[[#This Row],[Litros Totales]]*0.6</f>
        <v>11172.744000000001</v>
      </c>
      <c r="I36" s="1394">
        <f t="shared" si="5"/>
        <v>3.0094933333333342</v>
      </c>
      <c r="J36" s="1395">
        <f>+Tabla3[[#This Row],[Litros Totales]]-Tabla3[[#This Row],[Litros Mtto]]</f>
        <v>7448.496000000001</v>
      </c>
      <c r="K36" s="1407">
        <f>+Tabla3[[#This Row],[Total H]]*2475</f>
        <v>18621.240000000002</v>
      </c>
      <c r="L36" s="171"/>
      <c r="M36" s="171"/>
      <c r="N36" s="171"/>
    </row>
    <row r="37" spans="4:14">
      <c r="D37" s="1396" t="s">
        <v>744</v>
      </c>
      <c r="E37" s="1397">
        <f>+E25</f>
        <v>2.2214</v>
      </c>
      <c r="F37" s="1394">
        <f>+Tabla3[[#This Row],[Litros]]</f>
        <v>0</v>
      </c>
      <c r="G37" s="1397">
        <f t="shared" si="4"/>
        <v>1.33284</v>
      </c>
      <c r="H37" s="1394">
        <f>+Tabla3[[#This Row],[Litros Totales]]*0.6</f>
        <v>0</v>
      </c>
      <c r="I37" s="1397">
        <f t="shared" si="5"/>
        <v>0.88856000000000002</v>
      </c>
      <c r="J37" s="1395">
        <f>+Tabla3[[#This Row],[Litros Totales]]-Tabla3[[#This Row],[Litros Mtto]]</f>
        <v>0</v>
      </c>
      <c r="K37" s="1408"/>
      <c r="L37" s="171"/>
      <c r="M37" s="171"/>
      <c r="N37" s="171"/>
    </row>
  </sheetData>
  <phoneticPr fontId="73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A95A0-4ED8-40F4-8C3D-A681B76665E5}">
  <sheetPr codeName="Hoja26"/>
  <dimension ref="C2:J20"/>
  <sheetViews>
    <sheetView workbookViewId="0">
      <selection activeCell="F9" sqref="F9"/>
    </sheetView>
  </sheetViews>
  <sheetFormatPr baseColWidth="10" defaultRowHeight="15"/>
  <cols>
    <col min="3" max="3" width="14.7109375" customWidth="1"/>
    <col min="7" max="7" width="16.140625" customWidth="1"/>
  </cols>
  <sheetData>
    <row r="2" spans="3:10">
      <c r="D2">
        <v>16000</v>
      </c>
      <c r="E2">
        <v>16000</v>
      </c>
      <c r="F2">
        <v>17300</v>
      </c>
      <c r="H2" s="171">
        <v>8000</v>
      </c>
    </row>
    <row r="3" spans="3:10">
      <c r="D3" s="1263" t="s">
        <v>622</v>
      </c>
      <c r="E3" s="1263" t="s">
        <v>447</v>
      </c>
      <c r="F3" s="1265" t="s">
        <v>633</v>
      </c>
      <c r="G3" s="305"/>
      <c r="H3" s="1263" t="s">
        <v>104</v>
      </c>
      <c r="I3" s="1263" t="s">
        <v>633</v>
      </c>
    </row>
    <row r="4" spans="3:10">
      <c r="C4" s="1263" t="s">
        <v>623</v>
      </c>
      <c r="D4">
        <f>265*$E$2/$F$2</f>
        <v>245.08670520231215</v>
      </c>
      <c r="E4">
        <v>1060</v>
      </c>
      <c r="F4" s="305">
        <f>E4-D4</f>
        <v>814.91329479768785</v>
      </c>
      <c r="G4" s="305">
        <f>F4/265</f>
        <v>3.0751445086705202</v>
      </c>
      <c r="H4">
        <f>D4/2</f>
        <v>122.54335260115607</v>
      </c>
      <c r="I4">
        <f>E4-H4</f>
        <v>937.45664739884387</v>
      </c>
      <c r="J4">
        <f>I4/265</f>
        <v>3.5375722543352599</v>
      </c>
    </row>
    <row r="5" spans="3:10">
      <c r="C5" s="1263" t="s">
        <v>624</v>
      </c>
      <c r="D5">
        <f>800*$E$2/$F$2</f>
        <v>739.88439306358384</v>
      </c>
      <c r="E5">
        <v>800</v>
      </c>
      <c r="F5" s="305">
        <f t="shared" ref="F5:F15" si="0">E5-D5</f>
        <v>60.115606936416157</v>
      </c>
      <c r="G5" s="1265" t="s">
        <v>634</v>
      </c>
      <c r="H5">
        <f t="shared" ref="H5:H16" si="1">D5/2</f>
        <v>369.94219653179192</v>
      </c>
      <c r="I5">
        <f t="shared" ref="I5:I16" si="2">E5-H5</f>
        <v>430.05780346820808</v>
      </c>
    </row>
    <row r="6" spans="3:10">
      <c r="C6" s="1263" t="s">
        <v>27</v>
      </c>
      <c r="D6">
        <f>5.5*$E$2/$F$2</f>
        <v>5.0867052023121389</v>
      </c>
      <c r="E6">
        <v>8.8000000000000007</v>
      </c>
      <c r="F6" s="305">
        <f t="shared" si="0"/>
        <v>3.7132947976878619</v>
      </c>
      <c r="G6" s="305"/>
      <c r="H6">
        <f t="shared" si="1"/>
        <v>2.5433526011560694</v>
      </c>
      <c r="I6">
        <f t="shared" si="2"/>
        <v>6.2566473988439313</v>
      </c>
    </row>
    <row r="7" spans="3:10">
      <c r="C7" s="1263" t="s">
        <v>625</v>
      </c>
      <c r="D7">
        <f>7*$E$2/$F$2</f>
        <v>6.4739884393063587</v>
      </c>
      <c r="E7">
        <v>12.4</v>
      </c>
      <c r="F7" s="305">
        <f t="shared" si="0"/>
        <v>5.9260115606936417</v>
      </c>
      <c r="G7" s="305"/>
      <c r="H7">
        <f t="shared" si="1"/>
        <v>3.2369942196531793</v>
      </c>
      <c r="I7">
        <f t="shared" si="2"/>
        <v>9.1630057803468219</v>
      </c>
    </row>
    <row r="8" spans="3:10">
      <c r="C8" s="1263" t="s">
        <v>626</v>
      </c>
      <c r="D8">
        <f>59*$E$2/$F$2</f>
        <v>54.566473988439306</v>
      </c>
      <c r="E8">
        <v>40</v>
      </c>
      <c r="F8" s="305">
        <f t="shared" si="0"/>
        <v>-14.566473988439306</v>
      </c>
      <c r="G8" s="1266" t="s">
        <v>636</v>
      </c>
      <c r="H8">
        <f t="shared" si="1"/>
        <v>27.283236994219653</v>
      </c>
      <c r="I8">
        <f t="shared" si="2"/>
        <v>12.716763005780347</v>
      </c>
    </row>
    <row r="9" spans="3:10">
      <c r="C9" s="1263" t="s">
        <v>627</v>
      </c>
      <c r="D9">
        <f>7*$E$2/$F$2</f>
        <v>6.4739884393063587</v>
      </c>
      <c r="E9">
        <v>7.6</v>
      </c>
      <c r="F9" s="305">
        <f t="shared" si="0"/>
        <v>1.1260115606936409</v>
      </c>
      <c r="G9" s="305"/>
      <c r="H9">
        <f t="shared" si="1"/>
        <v>3.2369942196531793</v>
      </c>
      <c r="I9">
        <f t="shared" si="2"/>
        <v>4.3630057803468203</v>
      </c>
    </row>
    <row r="10" spans="3:10">
      <c r="C10" s="1263" t="s">
        <v>628</v>
      </c>
      <c r="D10">
        <f>0.6*$E$2/$F$2</f>
        <v>0.55491329479768781</v>
      </c>
      <c r="E10" s="1263" t="s">
        <v>79</v>
      </c>
      <c r="F10" s="1265" t="s">
        <v>79</v>
      </c>
      <c r="G10" s="305"/>
      <c r="H10">
        <f t="shared" si="1"/>
        <v>0.2774566473988439</v>
      </c>
    </row>
    <row r="11" spans="3:10">
      <c r="C11" s="1263" t="s">
        <v>37</v>
      </c>
      <c r="D11">
        <f>0.724*$E$2/$F$2</f>
        <v>0.66959537572254335</v>
      </c>
      <c r="E11" s="1264">
        <v>0.84</v>
      </c>
      <c r="F11" s="305">
        <f t="shared" si="0"/>
        <v>0.17040462427745662</v>
      </c>
      <c r="G11" s="1268">
        <f>+F11/3</f>
        <v>5.680154142581887E-2</v>
      </c>
      <c r="H11">
        <f t="shared" si="1"/>
        <v>0.33479768786127168</v>
      </c>
      <c r="I11">
        <f t="shared" si="2"/>
        <v>0.50520231213872835</v>
      </c>
    </row>
    <row r="12" spans="3:10">
      <c r="C12" s="1263" t="s">
        <v>39</v>
      </c>
      <c r="D12">
        <f>0.795*$E$2/$F$2</f>
        <v>0.73526011560693638</v>
      </c>
      <c r="E12">
        <v>0.84</v>
      </c>
      <c r="F12" s="305">
        <f t="shared" si="0"/>
        <v>0.10473988439306359</v>
      </c>
      <c r="G12" s="1268">
        <f>+F12/3</f>
        <v>3.4913294797687865E-2</v>
      </c>
      <c r="H12">
        <f t="shared" si="1"/>
        <v>0.36763005780346819</v>
      </c>
      <c r="I12">
        <f t="shared" si="2"/>
        <v>0.47236994219653178</v>
      </c>
    </row>
    <row r="13" spans="3:10">
      <c r="C13" s="1263" t="s">
        <v>629</v>
      </c>
      <c r="D13">
        <f>0.68*$E$2/$F$2</f>
        <v>0.62890173410404626</v>
      </c>
      <c r="E13" s="1263" t="s">
        <v>79</v>
      </c>
      <c r="F13" s="1265" t="s">
        <v>79</v>
      </c>
      <c r="G13" s="305"/>
      <c r="H13">
        <f t="shared" si="1"/>
        <v>0.31445086705202313</v>
      </c>
    </row>
    <row r="14" spans="3:10">
      <c r="C14" s="1263" t="s">
        <v>630</v>
      </c>
      <c r="D14">
        <f>16500*$E$2/$F$2</f>
        <v>15260.115606936417</v>
      </c>
      <c r="E14">
        <v>17040</v>
      </c>
      <c r="F14" s="305">
        <f t="shared" si="0"/>
        <v>1779.884393063583</v>
      </c>
      <c r="G14" s="305"/>
      <c r="H14">
        <f t="shared" si="1"/>
        <v>7630.0578034682085</v>
      </c>
      <c r="I14">
        <f t="shared" si="2"/>
        <v>9409.9421965317924</v>
      </c>
    </row>
    <row r="15" spans="3:10">
      <c r="C15" s="1263" t="s">
        <v>631</v>
      </c>
      <c r="D15">
        <f>14*$E$2/$F$2</f>
        <v>12.947976878612717</v>
      </c>
      <c r="E15">
        <v>5.6</v>
      </c>
      <c r="F15" s="305">
        <f t="shared" si="0"/>
        <v>-7.3479768786127178</v>
      </c>
      <c r="G15" s="1266" t="s">
        <v>635</v>
      </c>
      <c r="H15">
        <f t="shared" si="1"/>
        <v>6.4739884393063587</v>
      </c>
      <c r="I15">
        <f t="shared" si="2"/>
        <v>-0.87398843930635906</v>
      </c>
    </row>
    <row r="16" spans="3:10">
      <c r="C16" s="1263" t="s">
        <v>632</v>
      </c>
      <c r="D16">
        <v>16000</v>
      </c>
      <c r="E16">
        <v>18444</v>
      </c>
      <c r="F16" s="1267">
        <v>18444</v>
      </c>
      <c r="G16" s="305"/>
      <c r="H16">
        <f t="shared" si="1"/>
        <v>8000</v>
      </c>
      <c r="I16">
        <f t="shared" si="2"/>
        <v>10444</v>
      </c>
    </row>
    <row r="18" spans="5:7">
      <c r="F18">
        <f>(16000*0.4+F4*3)/18444</f>
        <v>0.47954564543445372</v>
      </c>
    </row>
    <row r="20" spans="5:7">
      <c r="E20">
        <f>E15/E16*100</f>
        <v>3.0362177401865104E-2</v>
      </c>
      <c r="F20">
        <f>F15/E16*100</f>
        <v>-3.9839388845221854E-2</v>
      </c>
      <c r="G20">
        <f>D15/E16*100</f>
        <v>7.0201566247086955E-2</v>
      </c>
    </row>
  </sheetData>
  <pageMargins left="0.7" right="0.7" top="0.75" bottom="0.75" header="0.3" footer="0.3"/>
  <ignoredErrors>
    <ignoredError sqref="D5 D8" formula="1"/>
  </ignoredError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A1469-1535-4329-BAA2-FE84A802CCBE}">
  <sheetPr codeName="Hoja27">
    <pageSetUpPr fitToPage="1"/>
  </sheetPr>
  <dimension ref="A1:L57"/>
  <sheetViews>
    <sheetView topLeftCell="A31" zoomScale="51" zoomScaleNormal="51" workbookViewId="0">
      <selection activeCell="R30" sqref="R30"/>
    </sheetView>
  </sheetViews>
  <sheetFormatPr baseColWidth="10" defaultRowHeight="15"/>
  <cols>
    <col min="1" max="1" width="25.7109375" customWidth="1"/>
    <col min="4" max="4" width="25.28515625" customWidth="1"/>
    <col min="8" max="8" width="58.28515625" customWidth="1"/>
    <col min="12" max="12" width="46.42578125" customWidth="1"/>
  </cols>
  <sheetData>
    <row r="1" spans="1:12" ht="60" customHeight="1">
      <c r="A1" s="2107" t="s">
        <v>614</v>
      </c>
      <c r="B1" s="2107"/>
      <c r="C1" s="2107"/>
      <c r="D1" s="2107"/>
      <c r="E1" s="2107"/>
      <c r="F1" s="2107"/>
      <c r="G1" s="2107"/>
      <c r="H1" s="2107"/>
      <c r="I1" s="2107"/>
      <c r="J1" s="2107"/>
      <c r="K1" s="2107"/>
      <c r="L1" s="2107"/>
    </row>
    <row r="2" spans="1:12" ht="60" customHeight="1">
      <c r="A2" s="2107"/>
      <c r="B2" s="2107"/>
      <c r="C2" s="2107"/>
      <c r="D2" s="2107"/>
      <c r="E2" s="2107"/>
      <c r="F2" s="2107"/>
      <c r="G2" s="2107"/>
      <c r="H2" s="2107"/>
      <c r="I2" s="2107"/>
      <c r="J2" s="2107"/>
      <c r="K2" s="2107"/>
      <c r="L2" s="2107"/>
    </row>
    <row r="3" spans="1:12" ht="60" customHeight="1">
      <c r="A3" s="2107"/>
      <c r="B3" s="2107"/>
      <c r="C3" s="2107"/>
      <c r="D3" s="2107"/>
      <c r="E3" s="2107"/>
      <c r="F3" s="2107"/>
      <c r="G3" s="2107"/>
      <c r="H3" s="2107"/>
      <c r="I3" s="2107"/>
      <c r="J3" s="2107"/>
      <c r="K3" s="2107"/>
      <c r="L3" s="2107"/>
    </row>
    <row r="4" spans="1:12" ht="60" customHeight="1">
      <c r="A4" s="2107"/>
      <c r="B4" s="2107"/>
      <c r="C4" s="2107"/>
      <c r="D4" s="2107"/>
      <c r="E4" s="2107"/>
      <c r="F4" s="2107"/>
      <c r="G4" s="2107"/>
      <c r="H4" s="2107"/>
      <c r="I4" s="2107"/>
      <c r="J4" s="2107"/>
      <c r="K4" s="2107"/>
      <c r="L4" s="2107"/>
    </row>
    <row r="5" spans="1:12" ht="60" customHeight="1">
      <c r="A5" s="2065" t="s">
        <v>615</v>
      </c>
      <c r="B5" s="2065"/>
      <c r="C5" s="2065"/>
      <c r="D5" s="2065"/>
      <c r="E5" s="2065" t="s">
        <v>616</v>
      </c>
      <c r="F5" s="2065"/>
      <c r="G5" s="2065"/>
      <c r="H5" s="2065"/>
      <c r="I5" s="2065" t="s">
        <v>617</v>
      </c>
      <c r="J5" s="2065"/>
      <c r="K5" s="2065"/>
      <c r="L5" s="2065"/>
    </row>
    <row r="6" spans="1:12" ht="60" customHeight="1">
      <c r="A6" s="2065"/>
      <c r="B6" s="2065"/>
      <c r="C6" s="2065"/>
      <c r="D6" s="2065"/>
      <c r="E6" s="2065"/>
      <c r="F6" s="2065"/>
      <c r="G6" s="2065"/>
      <c r="H6" s="2065"/>
      <c r="I6" s="2065"/>
      <c r="J6" s="2065"/>
      <c r="K6" s="2065"/>
      <c r="L6" s="2065"/>
    </row>
    <row r="7" spans="1:12" ht="60" customHeight="1">
      <c r="A7" s="2065"/>
      <c r="B7" s="2065"/>
      <c r="C7" s="2065"/>
      <c r="D7" s="2065"/>
      <c r="E7" s="2065"/>
      <c r="F7" s="2065"/>
      <c r="G7" s="2065"/>
      <c r="H7" s="2065"/>
      <c r="I7" s="2065"/>
      <c r="J7" s="2065"/>
      <c r="K7" s="2065"/>
      <c r="L7" s="2065"/>
    </row>
    <row r="8" spans="1:12" ht="60" customHeight="1">
      <c r="A8" s="2065"/>
      <c r="B8" s="2065"/>
      <c r="C8" s="2065"/>
      <c r="D8" s="2065"/>
      <c r="E8" s="2065"/>
      <c r="F8" s="2065"/>
      <c r="G8" s="2065"/>
      <c r="H8" s="2065"/>
      <c r="I8" s="2065"/>
      <c r="J8" s="2065"/>
      <c r="K8" s="2065"/>
      <c r="L8" s="2065"/>
    </row>
    <row r="9" spans="1:12" ht="60" customHeight="1">
      <c r="A9" s="2108" t="s">
        <v>663</v>
      </c>
      <c r="B9" s="2108"/>
      <c r="C9" s="2108"/>
      <c r="D9" s="2108"/>
      <c r="E9" s="2065" t="s">
        <v>664</v>
      </c>
      <c r="F9" s="2065"/>
      <c r="G9" s="2065"/>
      <c r="H9" s="2065"/>
      <c r="I9" s="2090">
        <v>140400</v>
      </c>
      <c r="J9" s="2090"/>
      <c r="K9" s="2090"/>
      <c r="L9" s="2090"/>
    </row>
    <row r="10" spans="1:12" ht="60" customHeight="1">
      <c r="A10" s="2108"/>
      <c r="B10" s="2108"/>
      <c r="C10" s="2108"/>
      <c r="D10" s="2108"/>
      <c r="E10" s="2065"/>
      <c r="F10" s="2065"/>
      <c r="G10" s="2065"/>
      <c r="H10" s="2065"/>
      <c r="I10" s="2090">
        <v>172291</v>
      </c>
      <c r="J10" s="2065"/>
      <c r="K10" s="2065"/>
      <c r="L10" s="2065"/>
    </row>
    <row r="11" spans="1:12" ht="60" customHeight="1">
      <c r="A11" s="2108"/>
      <c r="B11" s="2108"/>
      <c r="C11" s="2108"/>
      <c r="D11" s="2108"/>
      <c r="E11" s="2095" t="s">
        <v>640</v>
      </c>
      <c r="F11" s="2096"/>
      <c r="G11" s="2096"/>
      <c r="H11" s="2097"/>
      <c r="I11" s="2101">
        <v>312691</v>
      </c>
      <c r="J11" s="2102"/>
      <c r="K11" s="2102"/>
      <c r="L11" s="2103"/>
    </row>
    <row r="12" spans="1:12" ht="60" customHeight="1">
      <c r="A12" s="2108"/>
      <c r="B12" s="2108"/>
      <c r="C12" s="2108"/>
      <c r="D12" s="2108"/>
      <c r="E12" s="2098"/>
      <c r="F12" s="2099"/>
      <c r="G12" s="2099"/>
      <c r="H12" s="2100"/>
      <c r="I12" s="2104"/>
      <c r="J12" s="2105"/>
      <c r="K12" s="2105"/>
      <c r="L12" s="2106"/>
    </row>
    <row r="13" spans="1:12" ht="60" customHeight="1">
      <c r="A13" s="2108" t="s">
        <v>618</v>
      </c>
      <c r="B13" s="2108"/>
      <c r="C13" s="2108"/>
      <c r="D13" s="2108"/>
      <c r="E13" s="2065" t="s">
        <v>654</v>
      </c>
      <c r="F13" s="2065"/>
      <c r="G13" s="2065"/>
      <c r="H13" s="2065"/>
      <c r="I13" s="2109" t="s">
        <v>653</v>
      </c>
      <c r="J13" s="2064"/>
      <c r="K13" s="2064"/>
      <c r="L13" s="2064"/>
    </row>
    <row r="14" spans="1:12" ht="60" customHeight="1">
      <c r="A14" s="2108"/>
      <c r="B14" s="2108"/>
      <c r="C14" s="2108"/>
      <c r="D14" s="2108"/>
      <c r="E14" s="2065"/>
      <c r="F14" s="2065"/>
      <c r="G14" s="2065"/>
      <c r="H14" s="2065"/>
      <c r="I14" s="2064"/>
      <c r="J14" s="2064"/>
      <c r="K14" s="2064"/>
      <c r="L14" s="2064"/>
    </row>
    <row r="15" spans="1:12" ht="60" customHeight="1">
      <c r="A15" s="2108"/>
      <c r="B15" s="2108"/>
      <c r="C15" s="2108"/>
      <c r="D15" s="2108"/>
      <c r="E15" s="2065"/>
      <c r="F15" s="2065"/>
      <c r="G15" s="2065"/>
      <c r="H15" s="2065"/>
      <c r="I15" s="2064"/>
      <c r="J15" s="2064"/>
      <c r="K15" s="2064"/>
      <c r="L15" s="2064"/>
    </row>
    <row r="16" spans="1:12" ht="129.75" customHeight="1">
      <c r="A16" s="2108"/>
      <c r="B16" s="2108"/>
      <c r="C16" s="2108"/>
      <c r="D16" s="2108"/>
      <c r="E16" s="2065"/>
      <c r="F16" s="2065"/>
      <c r="G16" s="2065"/>
      <c r="H16" s="2065"/>
      <c r="I16" s="2064"/>
      <c r="J16" s="2064"/>
      <c r="K16" s="2064"/>
      <c r="L16" s="2064"/>
    </row>
    <row r="17" spans="1:12" ht="129.75" customHeight="1">
      <c r="A17" s="2064" t="s">
        <v>650</v>
      </c>
      <c r="B17" s="2064"/>
      <c r="C17" s="2064"/>
      <c r="D17" s="2064"/>
      <c r="E17" s="2065" t="s">
        <v>651</v>
      </c>
      <c r="F17" s="2065"/>
      <c r="G17" s="2065"/>
      <c r="H17" s="2065"/>
      <c r="I17" s="2066" t="s">
        <v>652</v>
      </c>
      <c r="J17" s="2067"/>
      <c r="K17" s="2067"/>
      <c r="L17" s="2067"/>
    </row>
    <row r="18" spans="1:12" ht="129.75" customHeight="1">
      <c r="A18" s="2064"/>
      <c r="B18" s="2064"/>
      <c r="C18" s="2064"/>
      <c r="D18" s="2064"/>
      <c r="E18" s="2065"/>
      <c r="F18" s="2065"/>
      <c r="G18" s="2065"/>
      <c r="H18" s="2065"/>
      <c r="I18" s="2067"/>
      <c r="J18" s="2067"/>
      <c r="K18" s="2067"/>
      <c r="L18" s="2067"/>
    </row>
    <row r="19" spans="1:12" ht="129.75" customHeight="1">
      <c r="A19" s="2064"/>
      <c r="B19" s="2064"/>
      <c r="C19" s="2064"/>
      <c r="D19" s="2064"/>
      <c r="E19" s="2065"/>
      <c r="F19" s="2065"/>
      <c r="G19" s="2065"/>
      <c r="H19" s="2065"/>
      <c r="I19" s="2067"/>
      <c r="J19" s="2067"/>
      <c r="K19" s="2067"/>
      <c r="L19" s="2067"/>
    </row>
    <row r="20" spans="1:12" ht="129.75" customHeight="1">
      <c r="A20" s="2064"/>
      <c r="B20" s="2064"/>
      <c r="C20" s="2064"/>
      <c r="D20" s="2064"/>
      <c r="E20" s="2065"/>
      <c r="F20" s="2065"/>
      <c r="G20" s="2065"/>
      <c r="H20" s="2065"/>
      <c r="I20" s="2067"/>
      <c r="J20" s="2067"/>
      <c r="K20" s="2067"/>
      <c r="L20" s="2067"/>
    </row>
    <row r="21" spans="1:12" ht="60" customHeight="1">
      <c r="A21" s="2064" t="s">
        <v>620</v>
      </c>
      <c r="B21" s="2064"/>
      <c r="C21" s="2064"/>
      <c r="D21" s="2064"/>
      <c r="E21" s="2065" t="s">
        <v>655</v>
      </c>
      <c r="F21" s="2065"/>
      <c r="G21" s="2065"/>
      <c r="H21" s="2065"/>
      <c r="I21" s="2064" t="s">
        <v>656</v>
      </c>
      <c r="J21" s="2064"/>
      <c r="K21" s="2064"/>
      <c r="L21" s="2064"/>
    </row>
    <row r="22" spans="1:12" ht="60" customHeight="1">
      <c r="A22" s="2064"/>
      <c r="B22" s="2064"/>
      <c r="C22" s="2064"/>
      <c r="D22" s="2064"/>
      <c r="E22" s="2065"/>
      <c r="F22" s="2065"/>
      <c r="G22" s="2065"/>
      <c r="H22" s="2065"/>
      <c r="I22" s="2064"/>
      <c r="J22" s="2064"/>
      <c r="K22" s="2064"/>
      <c r="L22" s="2064"/>
    </row>
    <row r="23" spans="1:12" ht="60" customHeight="1">
      <c r="A23" s="2064"/>
      <c r="B23" s="2064"/>
      <c r="C23" s="2064"/>
      <c r="D23" s="2064"/>
      <c r="E23" s="2065"/>
      <c r="F23" s="2065"/>
      <c r="G23" s="2065"/>
      <c r="H23" s="2065"/>
      <c r="I23" s="2064"/>
      <c r="J23" s="2064"/>
      <c r="K23" s="2064"/>
      <c r="L23" s="2064"/>
    </row>
    <row r="24" spans="1:12" ht="60" customHeight="1">
      <c r="A24" s="2064"/>
      <c r="B24" s="2064"/>
      <c r="C24" s="2064"/>
      <c r="D24" s="2064"/>
      <c r="E24" s="2065"/>
      <c r="F24" s="2065"/>
      <c r="G24" s="2065"/>
      <c r="H24" s="2065"/>
      <c r="I24" s="2064"/>
      <c r="J24" s="2064"/>
      <c r="K24" s="2064"/>
      <c r="L24" s="2064"/>
    </row>
    <row r="25" spans="1:12" ht="60" customHeight="1">
      <c r="A25" s="2064" t="s">
        <v>665</v>
      </c>
      <c r="B25" s="2064"/>
      <c r="C25" s="2064"/>
      <c r="D25" s="2064"/>
      <c r="E25" s="2065"/>
      <c r="F25" s="2065"/>
      <c r="G25" s="2065"/>
      <c r="H25" s="2065"/>
      <c r="I25" s="2090">
        <v>137300</v>
      </c>
      <c r="J25" s="2090"/>
      <c r="K25" s="2090"/>
      <c r="L25" s="2090"/>
    </row>
    <row r="26" spans="1:12" ht="60" customHeight="1">
      <c r="A26" s="2064"/>
      <c r="B26" s="2064"/>
      <c r="C26" s="2064"/>
      <c r="D26" s="2064"/>
      <c r="E26" s="2065" t="s">
        <v>666</v>
      </c>
      <c r="F26" s="2065"/>
      <c r="G26" s="2065"/>
      <c r="H26" s="2065"/>
      <c r="I26" s="2090">
        <v>54615</v>
      </c>
      <c r="J26" s="2065"/>
      <c r="K26" s="2065"/>
      <c r="L26" s="2065"/>
    </row>
    <row r="27" spans="1:12" ht="60" customHeight="1">
      <c r="A27" s="2064"/>
      <c r="B27" s="2064"/>
      <c r="C27" s="2064"/>
      <c r="D27" s="2064"/>
      <c r="E27" s="2095" t="s">
        <v>640</v>
      </c>
      <c r="F27" s="2096"/>
      <c r="G27" s="2096"/>
      <c r="H27" s="2097"/>
      <c r="I27" s="2101">
        <f>+I25+I26</f>
        <v>191915</v>
      </c>
      <c r="J27" s="2102"/>
      <c r="K27" s="2102"/>
      <c r="L27" s="2103"/>
    </row>
    <row r="28" spans="1:12" ht="60" customHeight="1">
      <c r="A28" s="2064"/>
      <c r="B28" s="2064"/>
      <c r="C28" s="2064"/>
      <c r="D28" s="2064"/>
      <c r="E28" s="2098"/>
      <c r="F28" s="2099"/>
      <c r="G28" s="2099"/>
      <c r="H28" s="2100"/>
      <c r="I28" s="2104"/>
      <c r="J28" s="2105"/>
      <c r="K28" s="2105"/>
      <c r="L28" s="2106"/>
    </row>
    <row r="29" spans="1:12" ht="60" customHeight="1">
      <c r="A29" s="2064" t="s">
        <v>619</v>
      </c>
      <c r="B29" s="2064"/>
      <c r="C29" s="2064"/>
      <c r="D29" s="2064"/>
      <c r="E29" s="2065" t="s">
        <v>661</v>
      </c>
      <c r="F29" s="2065"/>
      <c r="G29" s="2065"/>
      <c r="H29" s="2065"/>
      <c r="I29" s="2090">
        <v>7363</v>
      </c>
      <c r="J29" s="2090"/>
      <c r="K29" s="2090"/>
      <c r="L29" s="2090"/>
    </row>
    <row r="30" spans="1:12" ht="60" customHeight="1">
      <c r="A30" s="2064"/>
      <c r="B30" s="2064"/>
      <c r="C30" s="2064"/>
      <c r="D30" s="2064"/>
      <c r="E30" s="2065" t="s">
        <v>662</v>
      </c>
      <c r="F30" s="2065"/>
      <c r="G30" s="2065"/>
      <c r="H30" s="2065"/>
      <c r="I30" s="2090">
        <v>33680</v>
      </c>
      <c r="J30" s="2065"/>
      <c r="K30" s="2065"/>
      <c r="L30" s="2065"/>
    </row>
    <row r="31" spans="1:12" ht="60" customHeight="1">
      <c r="A31" s="2064"/>
      <c r="B31" s="2064"/>
      <c r="C31" s="2064"/>
      <c r="D31" s="2064"/>
      <c r="E31" s="2095" t="s">
        <v>640</v>
      </c>
      <c r="F31" s="2096"/>
      <c r="G31" s="2096"/>
      <c r="H31" s="2097"/>
      <c r="I31" s="2101">
        <v>41043</v>
      </c>
      <c r="J31" s="2102"/>
      <c r="K31" s="2102"/>
      <c r="L31" s="2103"/>
    </row>
    <row r="32" spans="1:12" ht="60" customHeight="1">
      <c r="A32" s="2064"/>
      <c r="B32" s="2064"/>
      <c r="C32" s="2064"/>
      <c r="D32" s="2064"/>
      <c r="E32" s="2098"/>
      <c r="F32" s="2099"/>
      <c r="G32" s="2099"/>
      <c r="H32" s="2100"/>
      <c r="I32" s="2104"/>
      <c r="J32" s="2105"/>
      <c r="K32" s="2105"/>
      <c r="L32" s="2106"/>
    </row>
    <row r="33" spans="1:12" ht="60" customHeight="1">
      <c r="A33" s="2075" t="s">
        <v>637</v>
      </c>
      <c r="B33" s="2076"/>
      <c r="C33" s="2076"/>
      <c r="D33" s="2077"/>
      <c r="E33" s="2068" t="s">
        <v>621</v>
      </c>
      <c r="F33" s="2069"/>
      <c r="G33" s="2069"/>
      <c r="H33" s="2070"/>
      <c r="I33" s="2074">
        <v>10344</v>
      </c>
      <c r="J33" s="2069"/>
      <c r="K33" s="2069"/>
      <c r="L33" s="2070"/>
    </row>
    <row r="34" spans="1:12" ht="60" customHeight="1">
      <c r="A34" s="2078"/>
      <c r="B34" s="2079"/>
      <c r="C34" s="2079"/>
      <c r="D34" s="2080"/>
      <c r="E34" s="2071"/>
      <c r="F34" s="2072"/>
      <c r="G34" s="2072"/>
      <c r="H34" s="2073"/>
      <c r="I34" s="2071"/>
      <c r="J34" s="2072"/>
      <c r="K34" s="2072"/>
      <c r="L34" s="2073"/>
    </row>
    <row r="35" spans="1:12" ht="60" customHeight="1">
      <c r="A35" s="2078"/>
      <c r="B35" s="2079"/>
      <c r="C35" s="2079"/>
      <c r="D35" s="2080"/>
      <c r="E35" s="2068" t="s">
        <v>660</v>
      </c>
      <c r="F35" s="2069"/>
      <c r="G35" s="2069"/>
      <c r="H35" s="2070"/>
      <c r="I35" s="2074">
        <v>221760</v>
      </c>
      <c r="J35" s="2069"/>
      <c r="K35" s="2069"/>
      <c r="L35" s="2070"/>
    </row>
    <row r="36" spans="1:12" ht="60" customHeight="1">
      <c r="A36" s="2078"/>
      <c r="B36" s="2079"/>
      <c r="C36" s="2079"/>
      <c r="D36" s="2080"/>
      <c r="E36" s="2071"/>
      <c r="F36" s="2072"/>
      <c r="G36" s="2072"/>
      <c r="H36" s="2073"/>
      <c r="I36" s="2071"/>
      <c r="J36" s="2072"/>
      <c r="K36" s="2072"/>
      <c r="L36" s="2073"/>
    </row>
    <row r="37" spans="1:12" ht="60" customHeight="1">
      <c r="A37" s="2081"/>
      <c r="B37" s="2082"/>
      <c r="C37" s="2082"/>
      <c r="D37" s="2083"/>
      <c r="E37" s="2084" t="s">
        <v>640</v>
      </c>
      <c r="F37" s="2085"/>
      <c r="G37" s="2085"/>
      <c r="H37" s="2086"/>
      <c r="I37" s="2087">
        <f>+I33+I35</f>
        <v>232104</v>
      </c>
      <c r="J37" s="2088"/>
      <c r="K37" s="2088"/>
      <c r="L37" s="2089"/>
    </row>
    <row r="38" spans="1:12" ht="60" customHeight="1">
      <c r="A38" s="2064" t="s">
        <v>638</v>
      </c>
      <c r="B38" s="2064"/>
      <c r="C38" s="2064"/>
      <c r="D38" s="2064"/>
      <c r="E38" s="2065" t="s">
        <v>621</v>
      </c>
      <c r="F38" s="2065"/>
      <c r="G38" s="2065"/>
      <c r="H38" s="2065"/>
      <c r="I38" s="2090">
        <v>91083</v>
      </c>
      <c r="J38" s="2065"/>
      <c r="K38" s="2065"/>
      <c r="L38" s="2065"/>
    </row>
    <row r="39" spans="1:12" ht="60" customHeight="1">
      <c r="A39" s="2064"/>
      <c r="B39" s="2064"/>
      <c r="C39" s="2064"/>
      <c r="D39" s="2064"/>
      <c r="E39" s="2065"/>
      <c r="F39" s="2065"/>
      <c r="G39" s="2065"/>
      <c r="H39" s="2065"/>
      <c r="I39" s="2065"/>
      <c r="J39" s="2065"/>
      <c r="K39" s="2065"/>
      <c r="L39" s="2065"/>
    </row>
    <row r="40" spans="1:12" ht="60" customHeight="1">
      <c r="A40" s="2064"/>
      <c r="B40" s="2064"/>
      <c r="C40" s="2064"/>
      <c r="D40" s="2064"/>
      <c r="E40" s="2065" t="s">
        <v>639</v>
      </c>
      <c r="F40" s="2065"/>
      <c r="G40" s="2065"/>
      <c r="H40" s="2065"/>
      <c r="I40" s="2090">
        <v>32232</v>
      </c>
      <c r="J40" s="2065"/>
      <c r="K40" s="2065"/>
      <c r="L40" s="2065"/>
    </row>
    <row r="41" spans="1:12" ht="60" customHeight="1">
      <c r="A41" s="2064"/>
      <c r="B41" s="2064"/>
      <c r="C41" s="2064"/>
      <c r="D41" s="2064"/>
      <c r="E41" s="2065"/>
      <c r="F41" s="2065"/>
      <c r="G41" s="2065"/>
      <c r="H41" s="2065"/>
      <c r="I41" s="2065"/>
      <c r="J41" s="2065"/>
      <c r="K41" s="2065"/>
      <c r="L41" s="2065"/>
    </row>
    <row r="42" spans="1:12" ht="60" customHeight="1">
      <c r="A42" s="2064"/>
      <c r="B42" s="2064"/>
      <c r="C42" s="2064"/>
      <c r="D42" s="2064"/>
      <c r="E42" s="2065" t="s">
        <v>640</v>
      </c>
      <c r="F42" s="2065"/>
      <c r="G42" s="2065"/>
      <c r="H42" s="2065"/>
      <c r="I42" s="2094">
        <v>123315</v>
      </c>
      <c r="J42" s="2091"/>
      <c r="K42" s="2091"/>
      <c r="L42" s="2091"/>
    </row>
    <row r="43" spans="1:12" ht="60" customHeight="1">
      <c r="A43" s="2064"/>
      <c r="B43" s="2064"/>
      <c r="C43" s="2064"/>
      <c r="D43" s="2064"/>
      <c r="E43" s="2065"/>
      <c r="F43" s="2065"/>
      <c r="G43" s="2065"/>
      <c r="H43" s="2065"/>
      <c r="I43" s="2091"/>
      <c r="J43" s="2091"/>
      <c r="K43" s="2091"/>
      <c r="L43" s="2091"/>
    </row>
    <row r="44" spans="1:12" ht="60" customHeight="1">
      <c r="A44" s="2064"/>
      <c r="B44" s="2064"/>
      <c r="C44" s="2064"/>
      <c r="D44" s="2064"/>
      <c r="E44" s="2065"/>
      <c r="F44" s="2065"/>
      <c r="G44" s="2065"/>
      <c r="H44" s="2065"/>
      <c r="I44" s="2091"/>
      <c r="J44" s="2091"/>
      <c r="K44" s="2091"/>
      <c r="L44" s="2091"/>
    </row>
    <row r="45" spans="1:12" ht="60" customHeight="1">
      <c r="A45" s="2064"/>
      <c r="B45" s="2064"/>
      <c r="C45" s="2064"/>
      <c r="D45" s="2064"/>
      <c r="E45" s="2065"/>
      <c r="F45" s="2065"/>
      <c r="G45" s="2065"/>
      <c r="H45" s="2065"/>
      <c r="I45" s="2091"/>
      <c r="J45" s="2091"/>
      <c r="K45" s="2091"/>
      <c r="L45" s="2091"/>
    </row>
    <row r="46" spans="1:12" ht="60" customHeight="1">
      <c r="A46" s="2064" t="s">
        <v>641</v>
      </c>
      <c r="B46" s="2064"/>
      <c r="C46" s="2064"/>
      <c r="D46" s="2064"/>
      <c r="E46" s="2091" t="s">
        <v>642</v>
      </c>
      <c r="F46" s="2091"/>
      <c r="G46" s="2091"/>
      <c r="H46" s="2091"/>
      <c r="I46" s="2092" t="s">
        <v>644</v>
      </c>
      <c r="J46" s="2067"/>
      <c r="K46" s="2067"/>
      <c r="L46" s="2067"/>
    </row>
    <row r="47" spans="1:12" ht="60" customHeight="1">
      <c r="A47" s="2064"/>
      <c r="B47" s="2064"/>
      <c r="C47" s="2064"/>
      <c r="D47" s="2064"/>
      <c r="E47" s="2091"/>
      <c r="F47" s="2091"/>
      <c r="G47" s="2091"/>
      <c r="H47" s="2091"/>
      <c r="I47" s="2067"/>
      <c r="J47" s="2067"/>
      <c r="K47" s="2067"/>
      <c r="L47" s="2067"/>
    </row>
    <row r="48" spans="1:12" ht="60" customHeight="1">
      <c r="A48" s="2064"/>
      <c r="B48" s="2064"/>
      <c r="C48" s="2064"/>
      <c r="D48" s="2064"/>
      <c r="E48" s="2091"/>
      <c r="F48" s="2091"/>
      <c r="G48" s="2091"/>
      <c r="H48" s="2091"/>
      <c r="I48" s="2067"/>
      <c r="J48" s="2067"/>
      <c r="K48" s="2067"/>
      <c r="L48" s="2067"/>
    </row>
    <row r="49" spans="1:12" ht="60" customHeight="1">
      <c r="A49" s="2064"/>
      <c r="B49" s="2064"/>
      <c r="C49" s="2064"/>
      <c r="D49" s="2064"/>
      <c r="E49" s="2091"/>
      <c r="F49" s="2091"/>
      <c r="G49" s="2091"/>
      <c r="H49" s="2091"/>
      <c r="I49" s="2067"/>
      <c r="J49" s="2067"/>
      <c r="K49" s="2067"/>
      <c r="L49" s="2067"/>
    </row>
    <row r="50" spans="1:12" ht="60" customHeight="1">
      <c r="A50" s="2064" t="s">
        <v>643</v>
      </c>
      <c r="B50" s="2064"/>
      <c r="C50" s="2064"/>
      <c r="D50" s="2064"/>
      <c r="E50" s="2065" t="s">
        <v>657</v>
      </c>
      <c r="F50" s="2065"/>
      <c r="G50" s="2065"/>
      <c r="H50" s="2065"/>
      <c r="I50" s="2090">
        <v>44184</v>
      </c>
      <c r="J50" s="2065"/>
      <c r="K50" s="2065"/>
      <c r="L50" s="2065"/>
    </row>
    <row r="51" spans="1:12" ht="60" customHeight="1">
      <c r="A51" s="2064"/>
      <c r="B51" s="2064"/>
      <c r="C51" s="2064"/>
      <c r="D51" s="2064"/>
      <c r="E51" s="2065"/>
      <c r="F51" s="2065"/>
      <c r="G51" s="2065"/>
      <c r="H51" s="2065"/>
      <c r="I51" s="2065"/>
      <c r="J51" s="2065"/>
      <c r="K51" s="2065"/>
      <c r="L51" s="2065"/>
    </row>
    <row r="52" spans="1:12" ht="60" customHeight="1">
      <c r="A52" s="2064"/>
      <c r="B52" s="2064"/>
      <c r="C52" s="2064"/>
      <c r="D52" s="2064"/>
      <c r="E52" s="2065" t="s">
        <v>658</v>
      </c>
      <c r="F52" s="2065"/>
      <c r="G52" s="2065"/>
      <c r="H52" s="2065"/>
      <c r="I52" s="2090">
        <v>35250</v>
      </c>
      <c r="J52" s="2065"/>
      <c r="K52" s="2065"/>
      <c r="L52" s="2065"/>
    </row>
    <row r="53" spans="1:12" ht="60" customHeight="1">
      <c r="A53" s="2064"/>
      <c r="B53" s="2064"/>
      <c r="C53" s="2064"/>
      <c r="D53" s="2064"/>
      <c r="E53" s="2065"/>
      <c r="F53" s="2065"/>
      <c r="G53" s="2065"/>
      <c r="H53" s="2065"/>
      <c r="I53" s="2065"/>
      <c r="J53" s="2065"/>
      <c r="K53" s="2065"/>
      <c r="L53" s="2065"/>
    </row>
    <row r="54" spans="1:12" ht="60" customHeight="1">
      <c r="A54" s="2064"/>
      <c r="B54" s="2064"/>
      <c r="C54" s="2064"/>
      <c r="D54" s="2064"/>
      <c r="E54" s="2065" t="s">
        <v>640</v>
      </c>
      <c r="F54" s="2065"/>
      <c r="G54" s="2065"/>
      <c r="H54" s="2065"/>
      <c r="I54" s="2093" t="s">
        <v>659</v>
      </c>
      <c r="J54" s="2091"/>
      <c r="K54" s="2091"/>
      <c r="L54" s="2091"/>
    </row>
    <row r="55" spans="1:12" ht="60" customHeight="1">
      <c r="A55" s="2064"/>
      <c r="B55" s="2064"/>
      <c r="C55" s="2064"/>
      <c r="D55" s="2064"/>
      <c r="E55" s="2065"/>
      <c r="F55" s="2065"/>
      <c r="G55" s="2065"/>
      <c r="H55" s="2065"/>
      <c r="I55" s="2091"/>
      <c r="J55" s="2091"/>
      <c r="K55" s="2091"/>
      <c r="L55" s="2091"/>
    </row>
    <row r="56" spans="1:12" ht="60" customHeight="1">
      <c r="A56" s="2064"/>
      <c r="B56" s="2064"/>
      <c r="C56" s="2064"/>
      <c r="D56" s="2064"/>
      <c r="E56" s="2065"/>
      <c r="F56" s="2065"/>
      <c r="G56" s="2065"/>
      <c r="H56" s="2065"/>
      <c r="I56" s="2091"/>
      <c r="J56" s="2091"/>
      <c r="K56" s="2091"/>
      <c r="L56" s="2091"/>
    </row>
    <row r="57" spans="1:12" ht="60" customHeight="1">
      <c r="A57" s="2064"/>
      <c r="B57" s="2064"/>
      <c r="C57" s="2064"/>
      <c r="D57" s="2064"/>
      <c r="E57" s="2065"/>
      <c r="F57" s="2065"/>
      <c r="G57" s="2065"/>
      <c r="H57" s="2065"/>
      <c r="I57" s="2091"/>
      <c r="J57" s="2091"/>
      <c r="K57" s="2091"/>
      <c r="L57" s="2091"/>
    </row>
  </sheetData>
  <mergeCells count="58">
    <mergeCell ref="A5:D8"/>
    <mergeCell ref="E5:H8"/>
    <mergeCell ref="I5:L8"/>
    <mergeCell ref="A1:L4"/>
    <mergeCell ref="A13:D16"/>
    <mergeCell ref="E13:H16"/>
    <mergeCell ref="I13:L16"/>
    <mergeCell ref="A9:D12"/>
    <mergeCell ref="E9:H9"/>
    <mergeCell ref="I9:L9"/>
    <mergeCell ref="E10:H10"/>
    <mergeCell ref="I10:L10"/>
    <mergeCell ref="E11:H12"/>
    <mergeCell ref="I11:L12"/>
    <mergeCell ref="A29:D32"/>
    <mergeCell ref="I30:L30"/>
    <mergeCell ref="E31:H32"/>
    <mergeCell ref="I31:L32"/>
    <mergeCell ref="I27:L28"/>
    <mergeCell ref="E26:H26"/>
    <mergeCell ref="I26:L26"/>
    <mergeCell ref="E27:H28"/>
    <mergeCell ref="A21:D24"/>
    <mergeCell ref="E21:H24"/>
    <mergeCell ref="I21:L24"/>
    <mergeCell ref="E38:H39"/>
    <mergeCell ref="E40:H41"/>
    <mergeCell ref="I38:L39"/>
    <mergeCell ref="I40:L41"/>
    <mergeCell ref="A38:D45"/>
    <mergeCell ref="E42:H45"/>
    <mergeCell ref="I42:L45"/>
    <mergeCell ref="A46:D49"/>
    <mergeCell ref="E46:H49"/>
    <mergeCell ref="I46:L49"/>
    <mergeCell ref="E54:H57"/>
    <mergeCell ref="I54:L57"/>
    <mergeCell ref="A50:D57"/>
    <mergeCell ref="E50:H51"/>
    <mergeCell ref="I50:L51"/>
    <mergeCell ref="E52:H53"/>
    <mergeCell ref="I52:L53"/>
    <mergeCell ref="A17:D20"/>
    <mergeCell ref="E17:H20"/>
    <mergeCell ref="I17:L20"/>
    <mergeCell ref="E33:H34"/>
    <mergeCell ref="E35:H36"/>
    <mergeCell ref="I33:L34"/>
    <mergeCell ref="I35:L36"/>
    <mergeCell ref="A33:D37"/>
    <mergeCell ref="E37:H37"/>
    <mergeCell ref="I37:L37"/>
    <mergeCell ref="E29:H29"/>
    <mergeCell ref="I29:L29"/>
    <mergeCell ref="E30:H30"/>
    <mergeCell ref="A25:D28"/>
    <mergeCell ref="E25:H25"/>
    <mergeCell ref="I25:L25"/>
  </mergeCells>
  <pageMargins left="0.7" right="0.7" top="0.75" bottom="0.75" header="0.3" footer="0.3"/>
  <pageSetup scale="18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tabColor rgb="FFCC3434"/>
  </sheetPr>
  <dimension ref="A1:Y52"/>
  <sheetViews>
    <sheetView zoomScale="82" zoomScaleNormal="82" workbookViewId="0">
      <selection activeCell="F14" sqref="F14"/>
    </sheetView>
  </sheetViews>
  <sheetFormatPr baseColWidth="10" defaultColWidth="11.42578125" defaultRowHeight="15.75" customHeight="1"/>
  <cols>
    <col min="1" max="1" width="2.7109375" style="6" customWidth="1"/>
    <col min="2" max="2" width="13.85546875" style="6" customWidth="1"/>
    <col min="3" max="3" width="15.42578125" style="6" customWidth="1"/>
    <col min="4" max="4" width="26.5703125" style="6" customWidth="1"/>
    <col min="5" max="5" width="15.42578125" style="6" customWidth="1"/>
    <col min="6" max="7" width="17.140625" style="6" customWidth="1"/>
    <col min="8" max="8" width="29.5703125" style="6" customWidth="1"/>
    <col min="9" max="9" width="30.7109375" style="6" customWidth="1"/>
    <col min="10" max="10" width="20.28515625" style="6" customWidth="1"/>
    <col min="11" max="11" width="20.42578125" style="6" customWidth="1"/>
    <col min="12" max="13" width="12.85546875" style="6" customWidth="1"/>
    <col min="14" max="14" width="15.85546875" style="6" customWidth="1"/>
    <col min="15" max="15" width="13.7109375" style="6" hidden="1" customWidth="1"/>
    <col min="16" max="16" width="11.5703125" style="6" hidden="1" customWidth="1"/>
    <col min="17" max="17" width="23.5703125" style="6" customWidth="1"/>
    <col min="18" max="19" width="11" style="6" customWidth="1"/>
    <col min="20" max="16384" width="11.42578125" style="6"/>
  </cols>
  <sheetData>
    <row r="1" spans="1:25" ht="15.75" customHeight="1">
      <c r="E1" s="7"/>
      <c r="F1" s="8"/>
      <c r="G1" s="8"/>
    </row>
    <row r="2" spans="1:25" ht="15.75" customHeight="1">
      <c r="B2" s="2123" t="s">
        <v>0</v>
      </c>
      <c r="C2" s="2124"/>
      <c r="D2" s="2124"/>
      <c r="E2" s="2124"/>
      <c r="F2" s="2125"/>
      <c r="G2" s="53"/>
      <c r="I2" s="2126" t="s">
        <v>1</v>
      </c>
      <c r="J2" s="2127"/>
      <c r="K2" s="2127"/>
      <c r="L2" s="2127"/>
      <c r="M2" s="2127"/>
      <c r="N2" s="2128"/>
    </row>
    <row r="3" spans="1:25" ht="15.75" customHeight="1">
      <c r="A3" s="9"/>
      <c r="B3" s="10"/>
      <c r="C3" s="10"/>
      <c r="D3" s="11"/>
      <c r="E3" s="12"/>
    </row>
    <row r="4" spans="1:25" ht="15.75" customHeight="1">
      <c r="B4" s="2112" t="s">
        <v>2</v>
      </c>
      <c r="C4" s="2113"/>
      <c r="D4" s="116" t="s">
        <v>3</v>
      </c>
      <c r="E4" s="117" t="s">
        <v>4</v>
      </c>
      <c r="I4" s="1664"/>
      <c r="J4" s="1666" t="s">
        <v>5</v>
      </c>
      <c r="K4" s="1666" t="s">
        <v>6</v>
      </c>
      <c r="L4" s="1666" t="s">
        <v>7</v>
      </c>
      <c r="M4" s="1666" t="s">
        <v>8</v>
      </c>
      <c r="N4" s="1666" t="s">
        <v>9</v>
      </c>
      <c r="O4" s="1667" t="s">
        <v>11</v>
      </c>
      <c r="P4" s="1665" t="s">
        <v>12</v>
      </c>
      <c r="Q4" s="1667" t="s">
        <v>17</v>
      </c>
    </row>
    <row r="5" spans="1:25" ht="15.75" customHeight="1">
      <c r="B5" s="2114"/>
      <c r="C5" s="2115"/>
      <c r="D5" s="16" t="s">
        <v>7</v>
      </c>
      <c r="E5" s="17">
        <v>1</v>
      </c>
      <c r="H5" s="8"/>
      <c r="I5" s="18" t="s">
        <v>19</v>
      </c>
      <c r="J5" s="50" t="s">
        <v>591</v>
      </c>
      <c r="K5" s="50" t="s">
        <v>592</v>
      </c>
      <c r="L5" s="50" t="s">
        <v>592</v>
      </c>
      <c r="M5" s="92" t="s">
        <v>592</v>
      </c>
      <c r="N5" s="50">
        <v>1</v>
      </c>
      <c r="O5" s="50"/>
      <c r="P5" s="50"/>
      <c r="Q5" s="113">
        <v>540</v>
      </c>
    </row>
    <row r="6" spans="1:25" ht="15.75" customHeight="1" thickBot="1">
      <c r="B6" s="2129" t="s">
        <v>21</v>
      </c>
      <c r="C6" s="2130"/>
      <c r="D6" s="118" t="s">
        <v>22</v>
      </c>
      <c r="E6" s="116"/>
      <c r="F6" s="115" t="s">
        <v>23</v>
      </c>
      <c r="G6" s="53"/>
      <c r="I6" s="22" t="s">
        <v>24</v>
      </c>
      <c r="J6" s="66">
        <v>375</v>
      </c>
      <c r="K6" s="66">
        <v>250</v>
      </c>
      <c r="L6" s="66">
        <v>250</v>
      </c>
      <c r="M6" s="93">
        <v>800</v>
      </c>
      <c r="N6" s="66">
        <v>350</v>
      </c>
      <c r="O6" s="66"/>
      <c r="P6" s="66"/>
      <c r="Q6" s="113">
        <v>200</v>
      </c>
      <c r="W6" s="6">
        <v>14619</v>
      </c>
    </row>
    <row r="7" spans="1:25" ht="15.75" customHeight="1">
      <c r="B7" s="2131" t="s">
        <v>582</v>
      </c>
      <c r="C7" s="2132"/>
      <c r="D7" s="77">
        <f>+IF($D$5=$J$4,J6,IF($D$5=$K$4,K6,IF($D$5=$L$4,L6,IF($D$5=$M$4,M6,IF($D$5=$N$4,N6,IF($D$5=O4,O6,IF($D$5=$O$4,O6,IF($D$5=$P$4,P6,IF($D$5=#REF!,#REF!,IF($D$5=#REF!,#REF!,IF($D$5=#REF!,#REF!,IF($D$5=#REF!,#REF!,IF($D$5=$Q$4,Q6,0)))))))))))))*$E$5</f>
        <v>250</v>
      </c>
      <c r="E7" s="119">
        <v>0</v>
      </c>
      <c r="F7" s="25">
        <f>D7+E7</f>
        <v>250</v>
      </c>
      <c r="G7" s="45">
        <f>6*250</f>
        <v>1500</v>
      </c>
      <c r="H7" s="8">
        <f>7*250</f>
        <v>1750</v>
      </c>
      <c r="I7" s="22" t="s">
        <v>26</v>
      </c>
      <c r="J7" s="67">
        <v>8.8000000000000007</v>
      </c>
      <c r="K7" s="67">
        <v>8</v>
      </c>
      <c r="L7" s="67">
        <v>8</v>
      </c>
      <c r="M7" s="94">
        <v>5.5</v>
      </c>
      <c r="N7" s="67">
        <v>8.5</v>
      </c>
      <c r="O7" s="66"/>
      <c r="P7" s="66"/>
      <c r="Q7" s="113">
        <v>1.92</v>
      </c>
      <c r="W7" s="6">
        <v>13100</v>
      </c>
    </row>
    <row r="8" spans="1:25" ht="15.75" customHeight="1">
      <c r="B8" s="1755" t="s">
        <v>27</v>
      </c>
      <c r="C8" s="1756"/>
      <c r="D8" s="77">
        <f>+IF($D$5=$J$4,J7,IF($D$5=$K$4,K7,IF($D$5=$L$4,L7,IF($D$5=$M$4,M7,IF($D$5=$N$4,N7,IF($D$5=O5,O7,IF($D$5=$O$4,O7,IF($D$5=$P$4,P7,IF($D$5=#REF!,#REF!,IF($D$5=#REF!,#REF!,IF($D$5=#REF!,#REF!,IF($D$5=#REF!,#REF!,IF($D$5=$Q$4,Q7,0)))))))))))))*$E$5</f>
        <v>8</v>
      </c>
      <c r="E8" s="78"/>
      <c r="F8" s="25">
        <f>D8+E8</f>
        <v>8</v>
      </c>
      <c r="G8" s="45"/>
      <c r="H8" s="8">
        <f>+G7+H7</f>
        <v>3250</v>
      </c>
      <c r="I8" s="22" t="s">
        <v>28</v>
      </c>
      <c r="J8" s="67">
        <v>9.9</v>
      </c>
      <c r="K8" s="67">
        <v>11</v>
      </c>
      <c r="L8" s="67">
        <v>10</v>
      </c>
      <c r="M8" s="94">
        <v>7</v>
      </c>
      <c r="N8" s="67">
        <v>9.5</v>
      </c>
      <c r="O8" s="66"/>
      <c r="P8" s="66"/>
      <c r="Q8" s="113">
        <v>2.41</v>
      </c>
      <c r="W8" s="6">
        <v>18318</v>
      </c>
    </row>
    <row r="9" spans="1:25" ht="15.75" customHeight="1">
      <c r="B9" s="1755" t="s">
        <v>29</v>
      </c>
      <c r="C9" s="1756"/>
      <c r="D9" s="77">
        <f>+IF($D$5=$J$4,J8,IF($D$5=$K$4,K8,IF($D$5=$L$4,L8,IF($D$5=$M$4,M8,IF($D$5=$N$4,N8,IF($D$5=O6,O8,IF($D$5=$O$4,O8,IF($D$5=$P$4,P8,IF($D$5=#REF!,#REF!,IF($D$5=#REF!,#REF!,IF($D$5=#REF!,#REF!,IF($D$5=#REF!,#REF!,IF($D$5=$Q$4,Q8,0)))))))))))))*$E$5</f>
        <v>10</v>
      </c>
      <c r="E9" s="79"/>
      <c r="F9" s="25">
        <f>D9+E9</f>
        <v>10</v>
      </c>
      <c r="G9" s="45"/>
      <c r="H9" s="8"/>
      <c r="I9" s="22" t="s">
        <v>30</v>
      </c>
      <c r="J9" s="67">
        <v>13</v>
      </c>
      <c r="K9" s="67">
        <v>16</v>
      </c>
      <c r="L9" s="67">
        <v>16</v>
      </c>
      <c r="M9" s="93">
        <v>50</v>
      </c>
      <c r="N9" s="67">
        <v>12</v>
      </c>
      <c r="O9" s="66"/>
      <c r="P9" s="66"/>
      <c r="Q9" s="113">
        <v>1</v>
      </c>
      <c r="W9" s="6">
        <v>14225</v>
      </c>
    </row>
    <row r="10" spans="1:25" ht="15.75" customHeight="1">
      <c r="B10" s="1755" t="s">
        <v>31</v>
      </c>
      <c r="C10" s="1756"/>
      <c r="D10" s="77">
        <f>+IF($D$5=$J$4,J9,IF($D$5=$K$4,K9,IF($D$5=$L$4,L9,IF($D$5=$M$4,M9,IF($D$5=$N$4,N9,IF($D$5=O7,O9,IF($D$5=$O$4,O9,IF($D$5=$P$4,P9,IF($D$5=#REF!,#REF!,IF($D$5=#REF!,#REF!,IF($D$5=#REF!,#REF!,IF($D$5=#REF!,#REF!,IF($D$5=$Q$4,Q9,0)))))))))))))*$E$5</f>
        <v>16</v>
      </c>
      <c r="E10" s="78"/>
      <c r="F10" s="25">
        <f>D10+E10</f>
        <v>16</v>
      </c>
      <c r="G10" s="45">
        <f>+F10/25</f>
        <v>0.64</v>
      </c>
      <c r="H10" s="8"/>
      <c r="I10" s="22" t="s">
        <v>32</v>
      </c>
      <c r="J10" s="67">
        <v>3.5</v>
      </c>
      <c r="K10" s="67">
        <v>3</v>
      </c>
      <c r="L10" s="67">
        <v>3</v>
      </c>
      <c r="M10" s="94">
        <v>7</v>
      </c>
      <c r="N10" s="67">
        <v>3.1</v>
      </c>
      <c r="O10" s="66"/>
      <c r="P10" s="66"/>
      <c r="Q10" s="113">
        <v>1.23</v>
      </c>
      <c r="W10" s="6">
        <v>12747</v>
      </c>
    </row>
    <row r="11" spans="1:25" ht="15.75" customHeight="1">
      <c r="B11" s="1755" t="s">
        <v>33</v>
      </c>
      <c r="C11" s="1756"/>
      <c r="D11" s="77">
        <f>+IF($D$5=$J$4,J10,IF($D$5=$K$4,K10,IF($D$5=$L$4,L10,IF($D$5=$M$4,M10,IF($D$5=$N$4,N10,IF($D$5=O8,O10,IF($D$5=$O$4,O10,IF($D$5=$P$4,P10,IF($D$5=#REF!,#REF!,IF($D$5=#REF!,#REF!,IF($D$5=#REF!,#REF!,IF($D$5=#REF!,#REF!,IF($D$5=$Q$4,Q10,0)))))))))))))*$E$5</f>
        <v>3</v>
      </c>
      <c r="E11" s="78"/>
      <c r="F11" s="25">
        <f>D11+E11</f>
        <v>3</v>
      </c>
      <c r="G11" s="45"/>
      <c r="H11" s="8"/>
      <c r="I11" s="22" t="s">
        <v>34</v>
      </c>
      <c r="J11" s="67">
        <v>1.3</v>
      </c>
      <c r="K11" s="94">
        <v>5</v>
      </c>
      <c r="L11" s="94">
        <v>6.5</v>
      </c>
      <c r="M11" s="94">
        <v>12.7</v>
      </c>
      <c r="N11" s="67">
        <v>1.2</v>
      </c>
      <c r="O11" s="67"/>
      <c r="P11" s="66"/>
      <c r="Q11" s="113">
        <v>0.14000000000000001</v>
      </c>
      <c r="W11" s="6">
        <v>16459</v>
      </c>
    </row>
    <row r="12" spans="1:25" ht="15.75" customHeight="1">
      <c r="B12" s="1755" t="s">
        <v>35</v>
      </c>
      <c r="C12" s="1756"/>
      <c r="D12" s="77">
        <f>+IF($D$5=$J$4,J11,IF($D$5=$K$4,K11,IF($D$5=$L$4,L11,IF($D$5=$M$4,M11,IF($D$5=$N$4,N11,IF($D$5=O9,O11,IF($D$5=$O$4,O11,IF($D$5=$P$4,P11,IF($D$5=#REF!,#REF!,IF($D$5=#REF!,#REF!,IF($D$5=#REF!,#REF!,IF($D$5=#REF!,#REF!,IF($D$5=$Q$4,Q11,0)))))))))))))*$E$5</f>
        <v>6.5</v>
      </c>
      <c r="E12" s="78"/>
      <c r="F12" s="28">
        <f t="shared" ref="F12:F17" si="0">D12+E12</f>
        <v>6.5</v>
      </c>
      <c r="G12" s="45"/>
      <c r="H12" s="8"/>
      <c r="I12" s="29" t="s">
        <v>36</v>
      </c>
      <c r="J12" s="66">
        <v>0.58399999999999996</v>
      </c>
      <c r="K12" s="68">
        <v>0.58699999999999997</v>
      </c>
      <c r="L12" s="66">
        <v>0.80500000000000005</v>
      </c>
      <c r="M12" s="93">
        <v>0.72399999999999998</v>
      </c>
      <c r="N12" s="66">
        <v>0.53800000000000003</v>
      </c>
      <c r="O12" s="66"/>
      <c r="P12" s="66"/>
      <c r="Q12" s="113">
        <v>6.8400000000000002E-2</v>
      </c>
      <c r="W12" s="6">
        <v>18705</v>
      </c>
    </row>
    <row r="13" spans="1:25" ht="15.75" customHeight="1">
      <c r="B13" s="1789" t="s">
        <v>37</v>
      </c>
      <c r="C13" s="1790"/>
      <c r="D13" s="77">
        <f>+IF($D$5=$J$4,J12,IF($D$5=$K$4,K12,IF($D$5=$L$4,L12,IF($D$5=$M$4,M12,IF($D$5=$N$4,N12,IF($D$5=O10,O12,IF($D$5=$O$4,O12,IF($D$5=$P$4,P12,IF($D$5=#REF!,#REF!,IF($D$5=#REF!,#REF!,IF($D$5=#REF!,#REF!,IF($D$5=#REF!,#REF!,IF($D$5=$Q$4,Q12,0)))))))))))))*$E$5</f>
        <v>0.80500000000000005</v>
      </c>
      <c r="E13" s="80"/>
      <c r="F13" s="28">
        <f>D13+E13</f>
        <v>0.80500000000000005</v>
      </c>
      <c r="G13" s="45"/>
      <c r="H13" s="44">
        <f>7*235</f>
        <v>1645</v>
      </c>
      <c r="I13" s="22" t="s">
        <v>38</v>
      </c>
      <c r="J13" s="68">
        <v>0.65</v>
      </c>
      <c r="K13" s="68">
        <v>0.68300000000000005</v>
      </c>
      <c r="L13" s="135">
        <v>0.92</v>
      </c>
      <c r="M13" s="95">
        <v>0.79500000000000004</v>
      </c>
      <c r="N13" s="68">
        <v>0.59899999999999998</v>
      </c>
      <c r="O13" s="66"/>
      <c r="P13" s="66"/>
      <c r="Q13" s="113">
        <v>7.4999999999999997E-2</v>
      </c>
      <c r="W13" s="6">
        <v>12014</v>
      </c>
      <c r="Y13" s="48">
        <f>+D19-W16</f>
        <v>-137146</v>
      </c>
    </row>
    <row r="14" spans="1:25" ht="15.75" customHeight="1">
      <c r="B14" s="1755" t="s">
        <v>39</v>
      </c>
      <c r="C14" s="1756"/>
      <c r="D14" s="77">
        <f>+IF($D$5=$J$4,J13,IF($D$5=$K$4,K13,IF($D$5=$L$4,L13,IF($D$5=$M$4,M13,IF($D$5=$N$4,N13,IF($D$5=O11,O13,IF($D$5=$O$4,O13,IF($D$5=$P$4,P13,IF($D$5=#REF!,#REF!,IF($D$5=#REF!,#REF!,IF($D$5=#REF!,#REF!,IF($D$5=#REF!,#REF!,IF($D$5=$Q$4,Q13,0)))))))))))))*$E$5</f>
        <v>0.92</v>
      </c>
      <c r="E14" s="80"/>
      <c r="F14" s="28">
        <f t="shared" si="0"/>
        <v>0.92</v>
      </c>
      <c r="G14" s="45"/>
      <c r="H14" s="44"/>
      <c r="I14" s="22" t="s">
        <v>40</v>
      </c>
      <c r="J14" s="66">
        <v>0.15</v>
      </c>
      <c r="K14" s="66">
        <v>0</v>
      </c>
      <c r="L14" s="66">
        <v>0</v>
      </c>
      <c r="M14" s="94">
        <v>0.6</v>
      </c>
      <c r="N14" s="66">
        <v>0.2</v>
      </c>
      <c r="O14" s="66"/>
      <c r="P14" s="66"/>
      <c r="Q14" s="113">
        <v>0.05</v>
      </c>
      <c r="W14" s="6">
        <v>15009</v>
      </c>
    </row>
    <row r="15" spans="1:25" ht="15.75" customHeight="1">
      <c r="B15" s="1755" t="s">
        <v>41</v>
      </c>
      <c r="C15" s="1756"/>
      <c r="D15" s="77">
        <f>+IF($D$5=$J$4,J14,IF($D$5=$K$4,K14,IF($D$5=$L$4,L14,IF($D$5=$M$4,M14,IF($D$5=$N$4,N14,IF($D$5=O12,O14,IF($D$5=$O$4,O14,IF($D$5=$P$4,P14,IF($D$5=#REF!,#REF!,IF($D$5=#REF!,#REF!,IF($D$5=#REF!,#REF!,IF($D$5=#REF!,#REF!,IF($D$5=$Q$4,Q14,0)))))))))))))*$E$5</f>
        <v>0</v>
      </c>
      <c r="E15" s="78"/>
      <c r="F15" s="25">
        <f t="shared" si="0"/>
        <v>0</v>
      </c>
      <c r="G15" s="45"/>
      <c r="H15" s="8"/>
      <c r="I15" s="36" t="s">
        <v>593</v>
      </c>
      <c r="J15" s="97">
        <v>0</v>
      </c>
      <c r="K15" s="97">
        <v>0</v>
      </c>
      <c r="L15" s="97">
        <v>0</v>
      </c>
      <c r="M15" s="1262">
        <v>0.68</v>
      </c>
      <c r="N15" s="97"/>
      <c r="O15" s="97"/>
      <c r="P15" s="97"/>
      <c r="Q15" s="113"/>
      <c r="W15" s="6">
        <v>9839</v>
      </c>
    </row>
    <row r="16" spans="1:25" ht="15.75" customHeight="1" thickBot="1">
      <c r="B16" s="1757" t="s">
        <v>593</v>
      </c>
      <c r="C16" s="1758"/>
      <c r="D16" s="77">
        <f>+IF($D$5=$J$4,J15,IF($D$5=$K$4,K15,IF($D$5=$L$4,L15,IF($D$5=$M$4,M15,IF($D$5=$N$4,N15,IF($D$5=O13,O15,IF($D$5=$O$4,O15,IF($D$5=$P$4,P15,IF($D$5=#REF!,#REF!,IF($D$5=#REF!,#REF!,IF($D$5=#REF!,#REF!,IF($D$5=#REF!,#REF!,IF($D$5=$Q$4,Q15,0)))))))))))))*$E$5</f>
        <v>0</v>
      </c>
      <c r="E16" s="34"/>
      <c r="F16" s="25">
        <f t="shared" si="0"/>
        <v>0</v>
      </c>
      <c r="G16" s="45"/>
      <c r="H16" s="8"/>
      <c r="I16" s="36" t="s">
        <v>42</v>
      </c>
      <c r="J16" s="70">
        <v>7438</v>
      </c>
      <c r="K16" s="70">
        <v>7200</v>
      </c>
      <c r="L16" s="70">
        <v>7517</v>
      </c>
      <c r="M16" s="96">
        <v>16500</v>
      </c>
      <c r="N16" s="70">
        <v>7209</v>
      </c>
      <c r="O16" s="97"/>
      <c r="P16" s="97"/>
      <c r="Q16" s="113">
        <v>2280</v>
      </c>
      <c r="W16" s="151">
        <f>+SUM(W6:W15)</f>
        <v>145035</v>
      </c>
    </row>
    <row r="17" spans="1:25" ht="15.75" customHeight="1" thickBot="1">
      <c r="B17" s="1757" t="s">
        <v>43</v>
      </c>
      <c r="C17" s="1758"/>
      <c r="D17" s="81">
        <f>+IF($D$5=$J$4,J16,IF($D$5=$K$4,K16,IF($D$5=$L$4,L16,IF($D$5=$M$4,M16,IF($D$5=$N$4,N16,IF($D$5=O13,O16,IF($D$5=$O$4,O16,IF($D$5=$P$4,P16,IF($D$5=#REF!,#REF!,IF($D$5=#REF!,#REF!,IF($D$5=#REF!,#REF!,IF($D$5=#REF!,#REF!,IF($D$5=$Q$4,Q16,0)))))))))))))*$E$5</f>
        <v>7517</v>
      </c>
      <c r="E17" s="34"/>
      <c r="F17" s="35">
        <f t="shared" si="0"/>
        <v>7517</v>
      </c>
      <c r="G17" s="40">
        <f>+F17*F21</f>
        <v>3758.5</v>
      </c>
      <c r="H17" s="8"/>
      <c r="I17" s="37" t="s">
        <v>44</v>
      </c>
      <c r="J17" s="71">
        <v>8400</v>
      </c>
      <c r="K17" s="71">
        <v>7583</v>
      </c>
      <c r="L17" s="71">
        <v>7889</v>
      </c>
      <c r="M17" s="98">
        <v>17300</v>
      </c>
      <c r="N17" s="71">
        <v>7676</v>
      </c>
      <c r="O17" s="71"/>
      <c r="P17" s="71"/>
      <c r="Q17" s="114">
        <v>2937</v>
      </c>
      <c r="W17" s="48"/>
      <c r="X17" s="48"/>
      <c r="Y17" s="7"/>
    </row>
    <row r="18" spans="1:25" ht="15.75" customHeight="1" thickBot="1">
      <c r="G18" s="40"/>
      <c r="H18" s="8" t="s">
        <v>700</v>
      </c>
      <c r="I18" s="6" t="s">
        <v>593</v>
      </c>
      <c r="M18" s="6">
        <f>+M17*0.5</f>
        <v>8650</v>
      </c>
    </row>
    <row r="19" spans="1:25" ht="15.75" customHeight="1">
      <c r="B19" s="2116" t="s">
        <v>45</v>
      </c>
      <c r="C19" s="2117"/>
      <c r="D19" s="39">
        <f>+IF($D$5=$J$4,J17,IF($D$5=$K$4,K17,IF($D$5=$L$4,L17,IF($D$5=$M$4,M17,IF($D$5=$N$4,N17,IF($D$5=O4,O17,IF($D$5=$O$4,O17,IF($D$5=$P$4,P17,IF($D$5=$Q$4,Q17,0)))))))))*$E$5</f>
        <v>7889</v>
      </c>
      <c r="E19" s="8">
        <f>+D19*F21</f>
        <v>3944.5</v>
      </c>
      <c r="F19" s="40"/>
      <c r="G19" s="44"/>
      <c r="I19" s="42" t="s">
        <v>47</v>
      </c>
      <c r="J19" s="1761" t="s">
        <v>48</v>
      </c>
      <c r="K19" s="1762"/>
      <c r="L19" s="74">
        <v>235</v>
      </c>
      <c r="M19" s="99">
        <f>+L19*E5</f>
        <v>235</v>
      </c>
      <c r="N19" s="6">
        <f>17300/2</f>
        <v>8650</v>
      </c>
    </row>
    <row r="20" spans="1:25" ht="15.75" customHeight="1" thickBot="1">
      <c r="E20" s="41"/>
      <c r="F20" s="40"/>
      <c r="G20" s="47">
        <f>8*235</f>
        <v>1880</v>
      </c>
      <c r="I20" s="45"/>
      <c r="N20" s="6">
        <f>+N19/4.8</f>
        <v>1802.0833333333335</v>
      </c>
    </row>
    <row r="21" spans="1:25" ht="15.75" customHeight="1">
      <c r="B21" s="43"/>
      <c r="C21" s="43"/>
      <c r="D21" s="1661" t="s">
        <v>594</v>
      </c>
      <c r="E21" s="1662" t="str">
        <f>+D5</f>
        <v>Manzana</v>
      </c>
      <c r="F21" s="1663">
        <v>0.5</v>
      </c>
      <c r="G21" s="47"/>
      <c r="K21" s="2122"/>
      <c r="L21" s="2122"/>
      <c r="M21" s="2122"/>
      <c r="N21" s="2122"/>
      <c r="O21" s="2122"/>
      <c r="P21" s="2122"/>
      <c r="Q21" s="2122"/>
    </row>
    <row r="22" spans="1:25" ht="15.75" customHeight="1" thickBot="1">
      <c r="B22" s="43"/>
      <c r="C22" s="43"/>
      <c r="D22" s="120" t="s">
        <v>49</v>
      </c>
      <c r="E22" s="1375">
        <v>235</v>
      </c>
      <c r="F22" s="122">
        <f>+E22*$F$21</f>
        <v>117.5</v>
      </c>
      <c r="G22" s="48"/>
      <c r="M22" s="8"/>
    </row>
    <row r="23" spans="1:25" ht="15.75" customHeight="1" thickBot="1">
      <c r="B23" s="43"/>
      <c r="C23" s="43"/>
      <c r="D23" s="123" t="s">
        <v>582</v>
      </c>
      <c r="E23" s="69">
        <f>+F7</f>
        <v>250</v>
      </c>
      <c r="F23" s="122">
        <f t="shared" ref="F23:F33" si="1">+E23*$F$21</f>
        <v>125</v>
      </c>
      <c r="G23" s="44"/>
      <c r="H23" s="1260" t="s">
        <v>564</v>
      </c>
      <c r="I23" s="1261"/>
      <c r="J23" s="41"/>
      <c r="K23" s="48"/>
      <c r="L23" s="61"/>
      <c r="M23" s="61"/>
      <c r="N23" s="61"/>
      <c r="O23" s="61"/>
      <c r="P23" s="61"/>
      <c r="Q23" s="48"/>
      <c r="U23" s="8"/>
    </row>
    <row r="24" spans="1:25" ht="15.75" customHeight="1" thickBot="1">
      <c r="D24" s="123" t="s">
        <v>27</v>
      </c>
      <c r="E24" s="69">
        <f t="shared" ref="E24:E31" si="2">+F8</f>
        <v>8</v>
      </c>
      <c r="F24" s="122">
        <f>+E24*$F$21</f>
        <v>4</v>
      </c>
      <c r="G24" s="44"/>
      <c r="H24" s="124" t="s">
        <v>222</v>
      </c>
      <c r="I24" s="136" t="s">
        <v>444</v>
      </c>
      <c r="J24" s="137" t="s">
        <v>595</v>
      </c>
      <c r="K24" s="44"/>
      <c r="L24" s="61"/>
      <c r="M24" s="61"/>
      <c r="N24" s="61"/>
      <c r="O24" s="61"/>
      <c r="P24" s="61"/>
      <c r="Q24" s="48"/>
      <c r="U24" s="8"/>
    </row>
    <row r="25" spans="1:25" ht="15.75" customHeight="1">
      <c r="D25" s="123" t="s">
        <v>29</v>
      </c>
      <c r="E25" s="69">
        <f t="shared" si="2"/>
        <v>10</v>
      </c>
      <c r="F25" s="122">
        <f t="shared" si="1"/>
        <v>5</v>
      </c>
      <c r="G25" s="44"/>
      <c r="H25" s="125" t="s">
        <v>6</v>
      </c>
      <c r="I25" s="138">
        <v>4000</v>
      </c>
      <c r="J25" s="138">
        <v>4000</v>
      </c>
      <c r="K25" s="44">
        <f>+I25*12</f>
        <v>48000</v>
      </c>
      <c r="L25" s="61">
        <f>5*7676</f>
        <v>38380</v>
      </c>
      <c r="M25" s="61">
        <f>+L25/12</f>
        <v>3198.3333333333335</v>
      </c>
      <c r="N25" s="61"/>
      <c r="O25" s="61"/>
      <c r="P25" s="61"/>
      <c r="Q25" s="48"/>
      <c r="U25" s="8"/>
    </row>
    <row r="26" spans="1:25" ht="30.75" customHeight="1">
      <c r="D26" s="22" t="s">
        <v>31</v>
      </c>
      <c r="E26" s="69">
        <f t="shared" si="2"/>
        <v>16</v>
      </c>
      <c r="F26" s="122">
        <f t="shared" si="1"/>
        <v>8</v>
      </c>
      <c r="G26" s="44"/>
      <c r="H26" s="126" t="s">
        <v>569</v>
      </c>
      <c r="I26" s="139">
        <f>+I25*12</f>
        <v>48000</v>
      </c>
      <c r="J26" s="139">
        <f>+J25*4.8</f>
        <v>19200</v>
      </c>
      <c r="K26" s="6">
        <f>+K25/7676</f>
        <v>6.2532569046378326</v>
      </c>
      <c r="L26" s="6">
        <f>4*7676</f>
        <v>30704</v>
      </c>
      <c r="M26" s="6">
        <f>+L26/12</f>
        <v>2558.6666666666665</v>
      </c>
      <c r="O26" s="61"/>
      <c r="P26" s="61"/>
      <c r="U26" s="8"/>
    </row>
    <row r="27" spans="1:25" ht="15.75" customHeight="1" thickBot="1">
      <c r="B27" s="52"/>
      <c r="C27" s="52"/>
      <c r="D27" s="123" t="s">
        <v>33</v>
      </c>
      <c r="E27" s="69">
        <f t="shared" si="2"/>
        <v>3</v>
      </c>
      <c r="F27" s="122">
        <f>+E27*$F$21</f>
        <v>1.5</v>
      </c>
      <c r="G27" s="44"/>
      <c r="H27" s="1380" t="s">
        <v>570</v>
      </c>
      <c r="I27" s="140">
        <f>+IF($H$25=$I$4,(I26/$I$17)*4,IF($H$25=$J$4,I26/$J$17,IF($H$25=$K$4,I26/$K$17,IF($H$25=$L$4,I26/$L$17,IF($H$25=$M$4,I26/$M$17,IF($H$25=$N$4,I26/$N$17,IF($H$25=$O$4,I26/$O$17)))))))</f>
        <v>6.3299485691678754</v>
      </c>
      <c r="J27" s="140">
        <f>+IF($H$25=$I$4,(J26/$I$17)*4,IF($H$25=$J$4,J26/$J$17,IF($H$25=$K$4,J26/$K$17,IF($H$25=$L$4,J26/$L$17,IF($H$25=$M$4,J26/$M$17,IF($H$25=$N$4,J26/$N$17,IF($H$25=$O$4,J26/$O$17)))))))</f>
        <v>2.5319794276671503</v>
      </c>
      <c r="K27" s="8">
        <f>11*7889</f>
        <v>86779</v>
      </c>
      <c r="O27" s="61"/>
      <c r="P27" s="61"/>
      <c r="U27" s="8"/>
    </row>
    <row r="28" spans="1:25" ht="15.75" customHeight="1" thickBot="1">
      <c r="A28" s="6" t="s">
        <v>147</v>
      </c>
      <c r="B28" s="83"/>
      <c r="C28" s="83"/>
      <c r="D28" s="123" t="s">
        <v>35</v>
      </c>
      <c r="E28" s="69">
        <f t="shared" si="2"/>
        <v>6.5</v>
      </c>
      <c r="F28" s="122">
        <f t="shared" si="1"/>
        <v>3.25</v>
      </c>
      <c r="G28" s="44"/>
      <c r="H28" s="128" t="s">
        <v>572</v>
      </c>
      <c r="I28" s="141">
        <f>ROUNDUP(I27,0)</f>
        <v>7</v>
      </c>
      <c r="J28" s="141">
        <f>ROUNDUP(J27,0)</f>
        <v>3</v>
      </c>
      <c r="K28" s="2120">
        <f>+K27/12</f>
        <v>7231.583333333333</v>
      </c>
      <c r="L28" s="2121"/>
      <c r="M28" s="2121"/>
      <c r="N28" s="2121"/>
      <c r="O28" s="61"/>
      <c r="P28" s="61"/>
      <c r="U28" s="8"/>
    </row>
    <row r="29" spans="1:25" ht="15.75" customHeight="1">
      <c r="B29" s="2111"/>
      <c r="C29" s="2111"/>
      <c r="D29" s="123" t="s">
        <v>37</v>
      </c>
      <c r="E29" s="237">
        <f t="shared" si="2"/>
        <v>0.80500000000000005</v>
      </c>
      <c r="F29" s="1373">
        <f>+E29*$F$21</f>
        <v>0.40250000000000002</v>
      </c>
      <c r="G29" s="44"/>
      <c r="H29" s="1275"/>
      <c r="I29" s="2118">
        <f>+I28+J28</f>
        <v>10</v>
      </c>
      <c r="J29" s="2119"/>
      <c r="K29" s="44"/>
      <c r="L29" s="61"/>
      <c r="M29" s="61"/>
      <c r="N29" s="142"/>
      <c r="O29" s="142"/>
      <c r="P29" s="61"/>
      <c r="U29" s="8"/>
    </row>
    <row r="30" spans="1:25" ht="15.75" customHeight="1">
      <c r="B30" s="2111"/>
      <c r="C30" s="2111"/>
      <c r="D30" s="123" t="s">
        <v>39</v>
      </c>
      <c r="E30" s="237">
        <f t="shared" si="2"/>
        <v>0.92</v>
      </c>
      <c r="F30" s="1373">
        <f t="shared" si="1"/>
        <v>0.46</v>
      </c>
      <c r="G30" s="44"/>
      <c r="H30" s="60" t="s">
        <v>574</v>
      </c>
      <c r="I30" s="232">
        <v>8000</v>
      </c>
      <c r="J30" s="232">
        <v>1500</v>
      </c>
      <c r="K30" s="60"/>
      <c r="L30" s="144"/>
      <c r="N30" s="61"/>
      <c r="O30" s="142"/>
      <c r="P30" s="61"/>
      <c r="S30" s="8"/>
      <c r="T30" s="75"/>
      <c r="U30" s="75"/>
    </row>
    <row r="31" spans="1:25" ht="15.75" customHeight="1">
      <c r="B31" s="2111"/>
      <c r="C31" s="2111"/>
      <c r="D31" s="123" t="s">
        <v>41</v>
      </c>
      <c r="E31" s="69">
        <f t="shared" si="2"/>
        <v>0</v>
      </c>
      <c r="F31" s="122">
        <f t="shared" si="1"/>
        <v>0</v>
      </c>
      <c r="G31" s="44"/>
      <c r="H31" s="60" t="s">
        <v>575</v>
      </c>
      <c r="I31" s="232">
        <f>+I26/I30</f>
        <v>6</v>
      </c>
      <c r="J31" s="232">
        <f>+J26/J30</f>
        <v>12.8</v>
      </c>
      <c r="K31" s="60"/>
      <c r="L31" s="60"/>
      <c r="M31" s="60"/>
      <c r="N31" s="61"/>
      <c r="O31" s="142"/>
      <c r="P31" s="61"/>
      <c r="U31" s="8"/>
    </row>
    <row r="32" spans="1:25" ht="15.75" customHeight="1">
      <c r="B32" s="2110"/>
      <c r="C32" s="2110"/>
      <c r="D32" s="129" t="s">
        <v>43</v>
      </c>
      <c r="E32" s="69">
        <f>+F17</f>
        <v>7517</v>
      </c>
      <c r="F32" s="122">
        <f>+E32*$F$21</f>
        <v>3758.5</v>
      </c>
      <c r="G32" s="44"/>
      <c r="J32" s="143"/>
      <c r="K32" s="143"/>
      <c r="L32" s="143"/>
      <c r="M32" s="144"/>
      <c r="N32" s="61"/>
      <c r="O32" s="142"/>
      <c r="P32" s="61"/>
    </row>
    <row r="33" spans="2:17" ht="15.75" customHeight="1" thickBot="1">
      <c r="B33" s="2110"/>
      <c r="C33" s="2110"/>
      <c r="D33" s="130" t="s">
        <v>596</v>
      </c>
      <c r="E33" s="69">
        <f>+D19</f>
        <v>7889</v>
      </c>
      <c r="F33" s="122">
        <f t="shared" si="1"/>
        <v>3944.5</v>
      </c>
      <c r="G33" s="44"/>
      <c r="J33" s="145"/>
      <c r="K33" s="145"/>
      <c r="L33" s="145"/>
      <c r="M33" s="146"/>
      <c r="N33" s="61"/>
      <c r="O33" s="142"/>
      <c r="P33" s="61"/>
    </row>
    <row r="34" spans="2:17" ht="15.75" customHeight="1">
      <c r="B34" s="2110"/>
      <c r="C34" s="2110"/>
      <c r="D34" s="59"/>
      <c r="E34" s="69"/>
      <c r="F34" s="122">
        <f>+E34*3.5</f>
        <v>0</v>
      </c>
      <c r="G34" s="57"/>
      <c r="J34" s="147"/>
      <c r="K34" s="147"/>
      <c r="L34" s="148"/>
      <c r="O34" s="44"/>
    </row>
    <row r="35" spans="2:17" ht="15.75" customHeight="1">
      <c r="B35" s="2111"/>
      <c r="C35" s="2111"/>
      <c r="D35" s="59"/>
      <c r="E35" s="59"/>
      <c r="F35" s="57"/>
      <c r="G35" s="57"/>
      <c r="J35" s="147"/>
      <c r="K35" s="147"/>
      <c r="L35" s="148"/>
      <c r="O35" s="44"/>
    </row>
    <row r="36" spans="2:17" ht="35.25" customHeight="1">
      <c r="B36" s="2110"/>
      <c r="C36" s="2110"/>
      <c r="D36" s="58"/>
      <c r="E36" s="59"/>
      <c r="F36" s="57"/>
      <c r="G36" s="61"/>
      <c r="J36" s="149">
        <f>+IF($H$25=$I$4,(J35/$I$17)*4,IF($H$25=$J$4,J35/$J$17,IF($H$25=$K$4,J35/$K$17,IF($H$25=$L$4,J35/$L$17,IF($H$25=$M$4,J35/$M$17,IF($H$25=$N$4,J35/$N$17,IF($H$25=$O$4,J35/$O$17)))))))</f>
        <v>0</v>
      </c>
      <c r="K36" s="149">
        <f>+IF($H$25=$I$4,(K35/$I$17)*4,IF($H$25=$J$4,K35/$J$17,IF($H$25=$K$4,K35/$K$17,IF($H$25=$L$4,K35/$L$17,IF($H$25=$M$4,K35/$M$17,IF($H$25=$N$4,K35/$N$17,IF($H$25=$O$4,K35/$O$17)))))))</f>
        <v>0</v>
      </c>
      <c r="L36" s="149">
        <f>+IF($H$25=$I$4,(L35/$I$17)*4,IF($H$25=$J$4,L35/$J$17,IF($H$25=$K$4,L35/$K$17,IF($H$25=$L$4,L35/$L$17,IF($H$25=$M$4,L35/$M$17,IF($H$25=$N$4,L35/$N$17,IF($H$25=$O$4,L35/$O$17)))))))</f>
        <v>0</v>
      </c>
      <c r="M36" s="82">
        <f>+I27+J36+K36+L36</f>
        <v>6.3299485691678754</v>
      </c>
      <c r="O36" s="44"/>
    </row>
    <row r="37" spans="2:17" ht="15.75" customHeight="1">
      <c r="B37" s="2110"/>
      <c r="C37" s="2110"/>
      <c r="D37" s="61"/>
      <c r="E37" s="58"/>
      <c r="F37" s="57"/>
      <c r="G37" s="61"/>
      <c r="H37" s="61"/>
      <c r="J37" s="150"/>
      <c r="K37" s="150"/>
      <c r="L37" s="150"/>
      <c r="M37" s="76"/>
      <c r="N37" s="76"/>
      <c r="O37" s="44"/>
    </row>
    <row r="38" spans="2:17" ht="15.75" customHeight="1">
      <c r="B38" s="61"/>
      <c r="C38" s="61"/>
      <c r="D38" s="61"/>
      <c r="E38" s="61"/>
      <c r="F38" s="61"/>
      <c r="H38" s="61"/>
      <c r="I38" s="61"/>
      <c r="O38" s="44"/>
    </row>
    <row r="39" spans="2:17" ht="15.75" customHeight="1">
      <c r="B39" s="61"/>
      <c r="C39" s="61"/>
      <c r="E39" s="61"/>
      <c r="F39" s="61"/>
      <c r="I39" s="61"/>
    </row>
    <row r="40" spans="2:17" ht="15.75" customHeight="1">
      <c r="N40" s="76"/>
      <c r="O40" s="44"/>
      <c r="P40" s="44"/>
      <c r="Q40" s="44"/>
    </row>
    <row r="41" spans="2:17" ht="15.75" customHeight="1">
      <c r="D41" s="62"/>
      <c r="O41" s="44"/>
      <c r="P41" s="44"/>
      <c r="Q41" s="44"/>
    </row>
    <row r="42" spans="2:17" ht="15.75" customHeight="1">
      <c r="D42" s="60"/>
      <c r="E42" s="63"/>
      <c r="O42" s="44"/>
      <c r="P42" s="44"/>
    </row>
    <row r="43" spans="2:17" ht="15.75" customHeight="1">
      <c r="D43" s="60"/>
      <c r="E43" s="63"/>
      <c r="N43" s="76"/>
      <c r="O43" s="44"/>
      <c r="P43" s="44"/>
    </row>
    <row r="44" spans="2:17" ht="15.75" customHeight="1">
      <c r="D44" s="60"/>
      <c r="E44" s="63"/>
      <c r="O44" s="44"/>
      <c r="P44" s="44"/>
    </row>
    <row r="45" spans="2:17" ht="15.75" customHeight="1">
      <c r="D45" s="60"/>
      <c r="E45" s="63"/>
      <c r="O45" s="44"/>
      <c r="P45" s="44"/>
    </row>
    <row r="46" spans="2:17" ht="15.75" customHeight="1">
      <c r="D46" s="60"/>
      <c r="E46" s="63"/>
      <c r="N46" s="76"/>
      <c r="O46" s="44"/>
      <c r="P46" s="44"/>
    </row>
    <row r="47" spans="2:17" ht="15.75" customHeight="1">
      <c r="D47" s="64"/>
      <c r="E47" s="63"/>
      <c r="O47" s="44"/>
      <c r="P47" s="44"/>
    </row>
    <row r="48" spans="2:17" ht="15.75" customHeight="1">
      <c r="D48" s="64"/>
      <c r="E48" s="63"/>
      <c r="O48" s="44"/>
      <c r="P48" s="44"/>
    </row>
    <row r="49" spans="4:16" ht="15.75" customHeight="1">
      <c r="D49" s="60"/>
      <c r="E49" s="63"/>
      <c r="N49" s="76"/>
      <c r="O49" s="44"/>
      <c r="P49" s="44"/>
    </row>
    <row r="50" spans="4:16" ht="15.75" customHeight="1">
      <c r="D50" s="62"/>
      <c r="E50" s="63"/>
      <c r="G50" s="63"/>
    </row>
    <row r="51" spans="4:16" ht="15.75" customHeight="1">
      <c r="E51" s="63"/>
      <c r="H51" s="63"/>
    </row>
    <row r="52" spans="4:16" ht="15.75" customHeight="1">
      <c r="E52" s="63"/>
      <c r="F52" s="63"/>
      <c r="I52" s="63"/>
      <c r="J52" s="63"/>
      <c r="K52" s="63"/>
      <c r="L52" s="63"/>
    </row>
  </sheetData>
  <sheetProtection selectLockedCells="1"/>
  <mergeCells count="28">
    <mergeCell ref="B2:F2"/>
    <mergeCell ref="I2:N2"/>
    <mergeCell ref="B6:C6"/>
    <mergeCell ref="B7:C7"/>
    <mergeCell ref="B8:C8"/>
    <mergeCell ref="I29:J29"/>
    <mergeCell ref="B31:C31"/>
    <mergeCell ref="B14:C14"/>
    <mergeCell ref="B15:C15"/>
    <mergeCell ref="B16:C16"/>
    <mergeCell ref="B17:C17"/>
    <mergeCell ref="J19:K19"/>
    <mergeCell ref="K28:N28"/>
    <mergeCell ref="K21:Q21"/>
    <mergeCell ref="B37:C37"/>
    <mergeCell ref="B29:C30"/>
    <mergeCell ref="B4:C5"/>
    <mergeCell ref="B32:C32"/>
    <mergeCell ref="B33:C33"/>
    <mergeCell ref="B34:C34"/>
    <mergeCell ref="B35:C35"/>
    <mergeCell ref="B36:C36"/>
    <mergeCell ref="B19:C19"/>
    <mergeCell ref="B9:C9"/>
    <mergeCell ref="B10:C10"/>
    <mergeCell ref="B11:C11"/>
    <mergeCell ref="B12:C12"/>
    <mergeCell ref="B13:C13"/>
  </mergeCells>
  <dataValidations count="3">
    <dataValidation type="list" showInputMessage="1" showErrorMessage="1" sqref="D5" xr:uid="{00000000-0002-0000-0E00-000000000000}">
      <formula1>$J$4:$Q$4</formula1>
    </dataValidation>
    <dataValidation type="whole" showErrorMessage="1" errorTitle="Seleccionar Sabor" error="Seleccionar el sabor de la producción de la Lista" sqref="E5" xr:uid="{00000000-0002-0000-0E00-000001000000}">
      <formula1>0</formula1>
      <formula2>1000</formula2>
    </dataValidation>
    <dataValidation type="list" allowBlank="1" showInputMessage="1" showErrorMessage="1" sqref="H25" xr:uid="{00000000-0002-0000-0E00-000002000000}">
      <formula1>$I$4:$R$4</formula1>
    </dataValidation>
  </dataValidations>
  <printOptions horizontalCentered="1" verticalCentered="1"/>
  <pageMargins left="0.31496062992126" right="0.31496062992126" top="0.59055118110236204" bottom="0.59055118110236204" header="0" footer="0"/>
  <pageSetup orientation="landscape" verticalDpi="300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>
    <tabColor theme="4" tint="0.39985351115451523"/>
  </sheetPr>
  <dimension ref="A1:U50"/>
  <sheetViews>
    <sheetView topLeftCell="D1" zoomScale="90" zoomScaleNormal="90" workbookViewId="0">
      <selection activeCell="N16" sqref="N16"/>
    </sheetView>
  </sheetViews>
  <sheetFormatPr baseColWidth="10" defaultColWidth="11.42578125" defaultRowHeight="15.75" customHeight="1"/>
  <cols>
    <col min="1" max="1" width="2.7109375" style="6" customWidth="1"/>
    <col min="2" max="2" width="13.85546875" style="6" customWidth="1"/>
    <col min="3" max="3" width="15.42578125" style="6" customWidth="1"/>
    <col min="4" max="4" width="26.5703125" style="6" customWidth="1"/>
    <col min="5" max="5" width="19.7109375" style="6" customWidth="1"/>
    <col min="6" max="7" width="17.140625" style="6" customWidth="1"/>
    <col min="8" max="8" width="19.28515625" style="6" customWidth="1"/>
    <col min="9" max="9" width="30.7109375" style="6" customWidth="1"/>
    <col min="10" max="10" width="20.28515625" style="6" customWidth="1"/>
    <col min="11" max="11" width="20.42578125" style="6" customWidth="1"/>
    <col min="12" max="12" width="12.85546875" style="6" customWidth="1"/>
    <col min="13" max="13" width="12.85546875" style="6" hidden="1" customWidth="1"/>
    <col min="14" max="14" width="15.85546875" style="6" customWidth="1"/>
    <col min="15" max="15" width="13.7109375" style="6" customWidth="1"/>
    <col min="16" max="16" width="11.5703125" style="6" customWidth="1"/>
    <col min="17" max="17" width="23.5703125" style="6" customWidth="1"/>
    <col min="18" max="16384" width="11.42578125" style="6"/>
  </cols>
  <sheetData>
    <row r="1" spans="1:17" ht="15.75" customHeight="1">
      <c r="E1" s="7"/>
      <c r="F1" s="8"/>
      <c r="G1" s="8"/>
    </row>
    <row r="2" spans="1:17" ht="15.75" customHeight="1">
      <c r="B2" s="2134" t="s">
        <v>0</v>
      </c>
      <c r="C2" s="2135"/>
      <c r="D2" s="2135"/>
      <c r="E2" s="2135"/>
      <c r="F2" s="2136"/>
      <c r="G2" s="7"/>
      <c r="I2" s="2134" t="s">
        <v>1</v>
      </c>
      <c r="J2" s="2135"/>
      <c r="K2" s="2135"/>
      <c r="L2" s="2135"/>
      <c r="M2" s="2135"/>
      <c r="N2" s="2136"/>
    </row>
    <row r="3" spans="1:17" ht="15.75" customHeight="1">
      <c r="A3" s="9"/>
      <c r="B3" s="10"/>
      <c r="C3" s="10"/>
      <c r="D3" s="11"/>
      <c r="E3" s="12"/>
    </row>
    <row r="4" spans="1:17" ht="15.75" customHeight="1">
      <c r="B4" s="2143" t="s">
        <v>2</v>
      </c>
      <c r="C4" s="2144"/>
      <c r="D4" s="13" t="s">
        <v>3</v>
      </c>
      <c r="E4" s="14" t="s">
        <v>779</v>
      </c>
      <c r="I4" s="15"/>
      <c r="J4" s="65" t="s">
        <v>5</v>
      </c>
      <c r="K4" s="65" t="s">
        <v>6</v>
      </c>
      <c r="L4" s="65" t="s">
        <v>7</v>
      </c>
      <c r="M4" s="89" t="s">
        <v>8</v>
      </c>
      <c r="N4" s="65" t="s">
        <v>9</v>
      </c>
      <c r="O4" s="90" t="s">
        <v>11</v>
      </c>
      <c r="P4" s="91" t="s">
        <v>12</v>
      </c>
      <c r="Q4" s="90" t="s">
        <v>17</v>
      </c>
    </row>
    <row r="5" spans="1:17" ht="15.75" customHeight="1">
      <c r="B5" s="2145"/>
      <c r="C5" s="2146"/>
      <c r="D5" s="16" t="s">
        <v>7</v>
      </c>
      <c r="E5" s="17">
        <v>9</v>
      </c>
      <c r="H5" s="8"/>
      <c r="I5" s="18" t="s">
        <v>19</v>
      </c>
      <c r="J5" s="50">
        <v>1440</v>
      </c>
      <c r="K5" s="50">
        <v>2</v>
      </c>
      <c r="L5" s="50">
        <v>2</v>
      </c>
      <c r="M5" s="92"/>
      <c r="N5" s="50">
        <v>2</v>
      </c>
      <c r="O5" s="50">
        <v>1440</v>
      </c>
      <c r="P5" s="50"/>
      <c r="Q5" s="113">
        <v>540</v>
      </c>
    </row>
    <row r="6" spans="1:17" ht="15.75" customHeight="1">
      <c r="B6" s="2137" t="s">
        <v>21</v>
      </c>
      <c r="C6" s="2138"/>
      <c r="D6" s="19" t="s">
        <v>22</v>
      </c>
      <c r="E6" s="20"/>
      <c r="F6" s="21" t="s">
        <v>23</v>
      </c>
      <c r="G6" s="7"/>
      <c r="I6" s="22" t="s">
        <v>24</v>
      </c>
      <c r="J6" s="66">
        <v>0</v>
      </c>
      <c r="K6" s="66">
        <v>0</v>
      </c>
      <c r="L6" s="66">
        <v>0</v>
      </c>
      <c r="M6" s="93"/>
      <c r="N6" s="66">
        <v>0</v>
      </c>
      <c r="O6" s="66">
        <v>0</v>
      </c>
      <c r="P6" s="66"/>
      <c r="Q6" s="113">
        <v>200</v>
      </c>
    </row>
    <row r="7" spans="1:17" ht="15.75" customHeight="1">
      <c r="B7" s="1755" t="s">
        <v>27</v>
      </c>
      <c r="C7" s="1756"/>
      <c r="D7" s="77">
        <f>+IF($D$5=$J$4,J7,IF($D$5=$K$4,K7,IF($D$5=$L$4,L7,IF($D$5=$M$4,M7,IF($D$5=$N$4,N7,IF($D$5=O5,O7,IF($D$5=$O$4,O7,IF($D$5=$P$4,P7,IF($D$5=#REF!,#REF!,IF($D$5=#REF!,#REF!,IF($D$5=#REF!,#REF!,IF($D$5=#REF!,#REF!,IF($D$5=$Q$4,Q7,0)))))))))))))*$E$5</f>
        <v>25.2</v>
      </c>
      <c r="E7" s="78"/>
      <c r="F7" s="25">
        <f t="shared" ref="F7:F15" si="0">D7+E7</f>
        <v>25.2</v>
      </c>
      <c r="G7" s="45">
        <f>+D17/12</f>
        <v>2757</v>
      </c>
      <c r="H7" s="8"/>
      <c r="I7" s="22" t="s">
        <v>26</v>
      </c>
      <c r="J7" s="67">
        <v>2.16</v>
      </c>
      <c r="K7" s="67">
        <v>2.8</v>
      </c>
      <c r="L7" s="67">
        <v>2.8</v>
      </c>
      <c r="M7" s="94"/>
      <c r="N7" s="67">
        <v>2.2000000000000002</v>
      </c>
      <c r="O7" s="66">
        <v>2.29</v>
      </c>
      <c r="P7" s="66"/>
      <c r="Q7" s="113">
        <v>1.92</v>
      </c>
    </row>
    <row r="8" spans="1:17" ht="15.75" customHeight="1">
      <c r="B8" s="1755" t="s">
        <v>29</v>
      </c>
      <c r="C8" s="1756"/>
      <c r="D8" s="77">
        <f>+IF($D$5=$J$4,J8,IF($D$5=$K$4,K8,IF($D$5=$L$4,L8,IF($D$5=$M$4,M8,IF($D$5=$N$4,N8,IF($D$5=O6,O8,IF($D$5=$O$4,O8,IF($D$5=$P$4,P8,IF($D$5=#REF!,#REF!,IF($D$5=#REF!,#REF!,IF($D$5=#REF!,#REF!,IF($D$5=#REF!,#REF!,IF($D$5=$Q$4,Q8,0)))))))))))))*$E$5</f>
        <v>21.599999999999998</v>
      </c>
      <c r="E8" s="79"/>
      <c r="F8" s="25">
        <f t="shared" si="0"/>
        <v>21.599999999999998</v>
      </c>
      <c r="G8" s="45"/>
      <c r="I8" s="22" t="s">
        <v>28</v>
      </c>
      <c r="J8" s="67">
        <v>2.6</v>
      </c>
      <c r="K8" s="67">
        <v>3.2</v>
      </c>
      <c r="L8" s="67">
        <v>2.4</v>
      </c>
      <c r="M8" s="94"/>
      <c r="N8" s="67">
        <v>2.6</v>
      </c>
      <c r="O8" s="66">
        <v>2.29</v>
      </c>
      <c r="P8" s="66"/>
      <c r="Q8" s="113">
        <v>2.41</v>
      </c>
    </row>
    <row r="9" spans="1:17" ht="15.75" customHeight="1">
      <c r="B9" s="1755" t="s">
        <v>31</v>
      </c>
      <c r="C9" s="1756"/>
      <c r="D9" s="77">
        <f>+IF($D$5=$J$4,J9,IF($D$5=$K$4,K9,IF($D$5=$L$4,L9,IF($D$5=$M$4,M9,IF($D$5=$N$4,N9,IF($D$5=O7,O9,IF($D$5=$O$4,O9,IF($D$5=$P$4,P9,IF($D$5=#REF!,#REF!,IF($D$5=#REF!,#REF!,IF($D$5=#REF!,#REF!,IF($D$5=#REF!,#REF!,IF($D$5=$Q$4,Q9,0)))))))))))))*$E$5</f>
        <v>41.4</v>
      </c>
      <c r="E9" s="78"/>
      <c r="F9" s="25">
        <f t="shared" si="0"/>
        <v>41.4</v>
      </c>
      <c r="G9" s="45"/>
      <c r="I9" s="22" t="s">
        <v>30</v>
      </c>
      <c r="J9" s="67"/>
      <c r="K9" s="67">
        <v>5</v>
      </c>
      <c r="L9" s="67">
        <v>4.5999999999999996</v>
      </c>
      <c r="M9" s="93"/>
      <c r="N9" s="67">
        <v>4</v>
      </c>
      <c r="O9" s="66">
        <v>5</v>
      </c>
      <c r="P9" s="66"/>
      <c r="Q9" s="113">
        <v>1</v>
      </c>
    </row>
    <row r="10" spans="1:17" ht="15.75" customHeight="1">
      <c r="B10" s="1755" t="s">
        <v>33</v>
      </c>
      <c r="C10" s="1756"/>
      <c r="D10" s="77">
        <f>+IF($D$5=$J$4,J10,IF($D$5=$K$4,K10,IF($D$5=$L$4,L10,IF($D$5=$M$4,M10,IF($D$5=$N$4,N10,IF($D$5=O8,O10,IF($D$5=$O$4,O10,IF($D$5=$P$4,P10,IF($D$5=#REF!,#REF!,IF($D$5=#REF!,#REF!,IF($D$5=#REF!,#REF!,IF($D$5=#REF!,#REF!,IF($D$5=$Q$4,Q10,0)))))))))))))*$E$5</f>
        <v>13.68</v>
      </c>
      <c r="E10" s="78"/>
      <c r="F10" s="25">
        <f t="shared" si="0"/>
        <v>13.68</v>
      </c>
      <c r="G10" s="45"/>
      <c r="I10" s="22" t="s">
        <v>32</v>
      </c>
      <c r="J10" s="67">
        <v>1.56</v>
      </c>
      <c r="K10" s="67">
        <v>1.46</v>
      </c>
      <c r="L10" s="67">
        <v>1.52</v>
      </c>
      <c r="M10" s="94"/>
      <c r="N10" s="67">
        <v>1.56</v>
      </c>
      <c r="O10" s="66">
        <v>1.83</v>
      </c>
      <c r="P10" s="66"/>
      <c r="Q10" s="113">
        <v>1.23</v>
      </c>
    </row>
    <row r="11" spans="1:17" ht="15.75" customHeight="1">
      <c r="B11" s="1755" t="s">
        <v>35</v>
      </c>
      <c r="C11" s="1756"/>
      <c r="D11" s="77">
        <f>+IF($D$5=$J$4,J11,IF($D$5=$K$4,K11,IF($D$5=$L$4,L11,IF($D$5=$M$4,M11,IF($D$5=$N$4,N11,IF($D$5=O9,O11,IF($D$5=$O$4,O11,IF($D$5=$P$4,P11,IF($D$5=#REF!,#REF!,IF($D$5=#REF!,#REF!,IF($D$5=#REF!,#REF!,IF($D$5=#REF!,#REF!,IF($D$5=$Q$4,Q11,0)))))))))))))*$E$5</f>
        <v>13.5</v>
      </c>
      <c r="E11" s="78"/>
      <c r="F11" s="28">
        <f t="shared" si="0"/>
        <v>13.5</v>
      </c>
      <c r="G11" s="41">
        <f>8*235</f>
        <v>1880</v>
      </c>
      <c r="I11" s="22" t="s">
        <v>34</v>
      </c>
      <c r="J11" s="67">
        <v>0.25</v>
      </c>
      <c r="K11" s="94">
        <v>1.24</v>
      </c>
      <c r="L11" s="94">
        <v>1.5</v>
      </c>
      <c r="M11" s="94"/>
      <c r="N11" s="67">
        <v>0.2</v>
      </c>
      <c r="O11" s="67">
        <v>0.92</v>
      </c>
      <c r="P11" s="66"/>
      <c r="Q11" s="113">
        <v>0.14000000000000001</v>
      </c>
    </row>
    <row r="12" spans="1:17" ht="15.75" customHeight="1">
      <c r="B12" s="1789" t="s">
        <v>37</v>
      </c>
      <c r="C12" s="1790"/>
      <c r="D12" s="77">
        <f>+IF($D$5=$J$4,J12,IF($D$5=$K$4,K12,IF($D$5=$L$4,L12,IF($D$5=$M$4,M12,IF($D$5=$N$4,N12,IF($D$5=O10,O12,IF($D$5=$O$4,O12,IF($D$5=$P$4,P12,IF($D$5=#REF!,#REF!,IF($D$5=#REF!,#REF!,IF($D$5=#REF!,#REF!,IF($D$5=#REF!,#REF!,IF($D$5=$Q$4,Q12,0)))))))))))))*$E$5</f>
        <v>1.2959999999999998</v>
      </c>
      <c r="E12" s="80"/>
      <c r="F12" s="28">
        <f>D12+E12</f>
        <v>1.2959999999999998</v>
      </c>
      <c r="G12" s="41"/>
      <c r="I12" s="29" t="s">
        <v>36</v>
      </c>
      <c r="J12" s="66">
        <v>0.313</v>
      </c>
      <c r="K12" s="68">
        <v>0.2</v>
      </c>
      <c r="L12" s="66">
        <v>0.14399999999999999</v>
      </c>
      <c r="M12" s="93"/>
      <c r="N12" s="66">
        <v>0.312</v>
      </c>
      <c r="O12" s="66">
        <v>0.27400000000000002</v>
      </c>
      <c r="P12" s="66"/>
      <c r="Q12" s="113">
        <v>6.8400000000000002E-2</v>
      </c>
    </row>
    <row r="13" spans="1:17" ht="15.75" customHeight="1">
      <c r="B13" s="1755" t="s">
        <v>39</v>
      </c>
      <c r="C13" s="1756"/>
      <c r="D13" s="77">
        <f>+IF($D$5=$J$4,J13,IF($D$5=$K$4,K13,IF($D$5=$L$4,L13,IF($D$5=$M$4,M13,IF($D$5=$N$4,N13,IF($D$5=O11,O13,IF($D$5=$O$4,O13,IF($D$5=$P$4,P13,IF($D$5=#REF!,#REF!,IF($D$5=#REF!,#REF!,IF($D$5=#REF!,#REF!,IF($D$5=#REF!,#REF!,IF($D$5=$Q$4,Q13,0)))))))))))))*$E$5</f>
        <v>2.2229999999999999</v>
      </c>
      <c r="E13" s="80"/>
      <c r="F13" s="28">
        <f>D13+E13</f>
        <v>2.2229999999999999</v>
      </c>
      <c r="G13" s="41"/>
      <c r="I13" s="22" t="s">
        <v>38</v>
      </c>
      <c r="J13" s="68">
        <v>0.35199999999999998</v>
      </c>
      <c r="K13" s="68">
        <v>0.254</v>
      </c>
      <c r="L13" s="66">
        <v>0.247</v>
      </c>
      <c r="M13" s="95"/>
      <c r="N13" s="68">
        <v>0.35</v>
      </c>
      <c r="O13" s="66">
        <v>0.30599999999999999</v>
      </c>
      <c r="P13" s="66"/>
      <c r="Q13" s="113">
        <v>7.4999999999999997E-2</v>
      </c>
    </row>
    <row r="14" spans="1:17" ht="15.75" customHeight="1">
      <c r="B14" s="1755" t="s">
        <v>41</v>
      </c>
      <c r="C14" s="1756"/>
      <c r="D14" s="77">
        <f>+IF($D$5=$J$4,J14,IF($D$5=$K$4,K14,IF($D$5=$L$4,L14,IF($D$5=$M$4,M14,IF($D$5=$N$4,N14,IF($D$5=O12,O14,IF($D$5=$O$4,O14,IF($D$5=$P$4,P14,IF($D$5=#REF!,#REF!,IF($D$5=#REF!,#REF!,IF($D$5=#REF!,#REF!,IF($D$5=#REF!,#REF!,IF($D$5=$Q$4,Q14,0)))))))))))))*$E$5</f>
        <v>0</v>
      </c>
      <c r="E14" s="78"/>
      <c r="F14" s="25">
        <f t="shared" si="0"/>
        <v>0</v>
      </c>
      <c r="G14" s="45"/>
      <c r="I14" s="22" t="s">
        <v>40</v>
      </c>
      <c r="J14" s="66">
        <v>0.04</v>
      </c>
      <c r="K14" s="66">
        <v>0</v>
      </c>
      <c r="L14" s="66">
        <v>0</v>
      </c>
      <c r="M14" s="94"/>
      <c r="N14" s="66">
        <v>0.04</v>
      </c>
      <c r="O14" s="66">
        <v>0.04</v>
      </c>
      <c r="P14" s="66"/>
      <c r="Q14" s="113">
        <v>0.05</v>
      </c>
    </row>
    <row r="15" spans="1:17" ht="15.75" customHeight="1">
      <c r="B15" s="1757" t="s">
        <v>43</v>
      </c>
      <c r="C15" s="1758"/>
      <c r="D15" s="81">
        <f>+IF($D$5=$J$4,J15,IF($D$5=$K$4,K15,IF($D$5=$L$4,L15,IF($D$5=$M$4,M15,IF($D$5=$N$4,N15,IF($D$5=O13,O15,IF($D$5=$O$4,O15,IF($D$5=$P$4,P15,IF($D$5=#REF!,#REF!,IF($D$5=#REF!,#REF!,IF($D$5=#REF!,#REF!,IF($D$5=#REF!,#REF!,IF($D$5=$Q$4,Q15,0)))))))))))))*$E$5</f>
        <v>29160</v>
      </c>
      <c r="E15" s="34"/>
      <c r="F15" s="35">
        <f t="shared" si="0"/>
        <v>29160</v>
      </c>
      <c r="G15" s="82"/>
      <c r="I15" s="36" t="s">
        <v>42</v>
      </c>
      <c r="J15" s="70">
        <v>2400</v>
      </c>
      <c r="K15" s="70">
        <v>3145</v>
      </c>
      <c r="L15" s="70">
        <v>3240</v>
      </c>
      <c r="M15" s="96"/>
      <c r="N15" s="70">
        <v>3328</v>
      </c>
      <c r="O15" s="97">
        <v>3052</v>
      </c>
      <c r="P15" s="97"/>
      <c r="Q15" s="113">
        <v>2280</v>
      </c>
    </row>
    <row r="16" spans="1:17" ht="15.75" customHeight="1">
      <c r="I16" s="37" t="s">
        <v>44</v>
      </c>
      <c r="J16" s="71">
        <v>3776</v>
      </c>
      <c r="K16" s="71">
        <v>3522</v>
      </c>
      <c r="L16" s="71">
        <v>3676</v>
      </c>
      <c r="M16" s="98"/>
      <c r="N16" s="71">
        <v>3750</v>
      </c>
      <c r="O16" s="71">
        <v>4412</v>
      </c>
      <c r="P16" s="71"/>
      <c r="Q16" s="114">
        <v>2937</v>
      </c>
    </row>
    <row r="17" spans="2:21" ht="15.75" customHeight="1">
      <c r="B17" s="2116" t="s">
        <v>45</v>
      </c>
      <c r="C17" s="2117"/>
      <c r="D17" s="39">
        <f>+IF($D$5=$J$4,J16,IF($D$5=$K$4,K16,IF($D$5=$L$4,L16,IF($D$5=$M$4,M16,IF($D$5=$N$4,N16,IF($D$5=O4,O16,IF($D$5=$O$4,O16,IF($D$5=$P$4,P16,IF($D$5=$Q$4,Q16,0)))))))))*$E$5</f>
        <v>33084</v>
      </c>
      <c r="F17" s="40">
        <f>2000*0.00163220892274211</f>
        <v>3.2644178454842199</v>
      </c>
      <c r="G17" s="40"/>
      <c r="J17" s="6">
        <f>13.78/J10</f>
        <v>8.8333333333333321</v>
      </c>
      <c r="K17" s="6">
        <f>13.78/K10</f>
        <v>9.4383561643835616</v>
      </c>
      <c r="L17" s="6">
        <f>13.78/L10</f>
        <v>9.0657894736842106</v>
      </c>
    </row>
    <row r="18" spans="2:21" ht="15.75" customHeight="1">
      <c r="E18" s="41"/>
      <c r="F18" s="40"/>
      <c r="G18" s="40"/>
      <c r="H18" s="6" t="s">
        <v>147</v>
      </c>
      <c r="I18" s="42" t="s">
        <v>47</v>
      </c>
      <c r="J18" s="1761" t="s">
        <v>48</v>
      </c>
      <c r="K18" s="1762"/>
      <c r="L18" s="74">
        <v>235</v>
      </c>
      <c r="M18" s="99">
        <f>+L18*E5*2</f>
        <v>4230</v>
      </c>
    </row>
    <row r="19" spans="2:21" ht="15.75" customHeight="1">
      <c r="B19" s="43"/>
      <c r="C19" s="43"/>
      <c r="E19" s="44" t="s">
        <v>597</v>
      </c>
      <c r="F19" s="44"/>
      <c r="G19" s="44"/>
      <c r="I19" s="45"/>
    </row>
    <row r="20" spans="2:21" ht="15.75" hidden="1" customHeight="1">
      <c r="B20" s="43"/>
      <c r="C20" s="43"/>
      <c r="E20" s="46"/>
      <c r="F20" s="47"/>
      <c r="G20" s="47"/>
      <c r="M20" s="8"/>
      <c r="N20" s="6" t="s">
        <v>598</v>
      </c>
    </row>
    <row r="21" spans="2:21" ht="15.75" hidden="1" customHeight="1">
      <c r="E21" s="48"/>
      <c r="F21" s="48"/>
      <c r="G21" s="48"/>
      <c r="I21" s="41"/>
      <c r="J21" s="41"/>
      <c r="K21" s="48"/>
    </row>
    <row r="22" spans="2:21" ht="15.75" hidden="1" customHeight="1">
      <c r="E22" s="48"/>
      <c r="F22" s="48"/>
      <c r="G22" s="48"/>
      <c r="J22" s="44"/>
      <c r="K22" s="44"/>
      <c r="U22" s="8"/>
    </row>
    <row r="23" spans="2:21" ht="15.75" hidden="1" customHeight="1">
      <c r="D23" s="7"/>
      <c r="E23" s="7"/>
      <c r="F23" s="7"/>
      <c r="G23" s="7"/>
      <c r="I23" s="49"/>
      <c r="J23" s="44"/>
      <c r="K23" s="44"/>
      <c r="U23" s="8"/>
    </row>
    <row r="24" spans="2:21" ht="15.75" hidden="1" customHeight="1">
      <c r="B24" s="52"/>
      <c r="C24" s="52"/>
      <c r="D24" s="2122"/>
      <c r="E24" s="2122"/>
      <c r="F24" s="2122"/>
      <c r="G24" s="2122"/>
      <c r="H24" s="2122"/>
      <c r="U24" s="8"/>
    </row>
    <row r="25" spans="2:21" ht="30.75" customHeight="1">
      <c r="B25" s="83"/>
      <c r="C25" s="83"/>
      <c r="U25" s="8"/>
    </row>
    <row r="26" spans="2:21" ht="15.75" customHeight="1">
      <c r="B26" s="2111"/>
      <c r="C26" s="2111"/>
      <c r="E26" s="82"/>
      <c r="F26" s="82"/>
      <c r="G26" s="82"/>
      <c r="U26" s="8"/>
    </row>
    <row r="27" spans="2:21" ht="15.75" customHeight="1">
      <c r="B27" s="2111"/>
      <c r="C27" s="2111"/>
      <c r="E27" s="48"/>
      <c r="F27" s="82"/>
      <c r="G27" s="82"/>
      <c r="O27" s="44"/>
      <c r="U27" s="8"/>
    </row>
    <row r="28" spans="2:21" ht="15.75" customHeight="1">
      <c r="B28" s="2111"/>
      <c r="C28" s="2111"/>
      <c r="E28" s="48"/>
      <c r="F28" s="82"/>
      <c r="G28" s="82"/>
      <c r="O28" s="44"/>
      <c r="U28" s="8"/>
    </row>
    <row r="29" spans="2:21" ht="15.75" customHeight="1">
      <c r="B29" s="2147"/>
      <c r="C29" s="2147"/>
      <c r="D29" s="2147"/>
      <c r="E29" s="2147"/>
      <c r="F29" s="2147"/>
      <c r="G29" s="2147"/>
      <c r="O29" s="44"/>
      <c r="S29" s="8"/>
      <c r="T29" s="75"/>
      <c r="U29" s="75"/>
    </row>
    <row r="30" spans="2:21" ht="15.75" customHeight="1">
      <c r="B30" s="2147"/>
      <c r="C30" s="2147"/>
      <c r="D30" s="2147"/>
      <c r="E30" s="2147"/>
      <c r="F30" s="2147"/>
      <c r="G30" s="2147"/>
      <c r="H30" s="2139" t="s">
        <v>564</v>
      </c>
      <c r="I30" s="2140"/>
      <c r="J30" s="2140"/>
      <c r="K30" s="2141"/>
      <c r="L30" s="2142"/>
      <c r="M30" s="48"/>
      <c r="O30" s="44"/>
      <c r="U30" s="8"/>
    </row>
    <row r="31" spans="2:21" ht="15.75" customHeight="1">
      <c r="B31" s="2147"/>
      <c r="C31" s="2147"/>
      <c r="D31" s="2147"/>
      <c r="E31" s="2147"/>
      <c r="F31" s="2147"/>
      <c r="G31" s="2147"/>
      <c r="H31" s="84" t="s">
        <v>222</v>
      </c>
      <c r="I31" s="100" t="s">
        <v>444</v>
      </c>
      <c r="J31" s="100" t="s">
        <v>565</v>
      </c>
      <c r="K31" s="100" t="s">
        <v>599</v>
      </c>
      <c r="L31" s="101" t="s">
        <v>566</v>
      </c>
      <c r="M31" s="75"/>
      <c r="O31" s="44"/>
    </row>
    <row r="32" spans="2:21" ht="15.75" customHeight="1">
      <c r="B32" s="2147"/>
      <c r="C32" s="2147"/>
      <c r="D32" s="2147"/>
      <c r="E32" s="2147"/>
      <c r="F32" s="2147"/>
      <c r="G32" s="2147"/>
      <c r="H32" s="85" t="s">
        <v>7</v>
      </c>
      <c r="I32" s="102">
        <v>3300</v>
      </c>
      <c r="J32" s="102">
        <v>2000</v>
      </c>
      <c r="K32" s="103"/>
      <c r="L32" s="104"/>
      <c r="O32" s="44"/>
    </row>
    <row r="33" spans="2:17" ht="15.75" customHeight="1">
      <c r="B33" s="2147"/>
      <c r="C33" s="2147"/>
      <c r="D33" s="2147"/>
      <c r="E33" s="2147"/>
      <c r="F33" s="2147"/>
      <c r="G33" s="2147"/>
      <c r="H33" s="86" t="s">
        <v>569</v>
      </c>
      <c r="I33" s="105">
        <f>+I32*12</f>
        <v>39600</v>
      </c>
      <c r="J33" s="106">
        <f>+J32*6</f>
        <v>12000</v>
      </c>
      <c r="K33" s="107">
        <f>+K32*6</f>
        <v>0</v>
      </c>
      <c r="L33" s="108">
        <f>+L32*3.96</f>
        <v>0</v>
      </c>
      <c r="O33" s="44"/>
    </row>
    <row r="34" spans="2:17" ht="15.75" customHeight="1">
      <c r="B34" s="2147"/>
      <c r="C34" s="2147"/>
      <c r="D34" s="2147"/>
      <c r="E34" s="2147"/>
      <c r="F34" s="2147"/>
      <c r="G34" s="2147"/>
      <c r="H34" s="87" t="s">
        <v>570</v>
      </c>
      <c r="I34" s="109">
        <f>+IF($H$32=$I$4,(I33/$I$16)*4,IF($H$32=$J$4,I33/$J$16,IF($H$32=$K$4,I33/$K$16,IF($H$32=$L$4,I33/$L$16,IF($H$32=$M$4,I33/$M$16,IF($H$32=$N$4,I33/$N$16,IF($H$32=$O$4,$I$33/$O$16)))))))*2</f>
        <v>21.545157780195865</v>
      </c>
      <c r="J34" s="109">
        <f>+IF($H$32=$I$4,(J33/$I$16)*4,IF($H$32=$J$4,J33/$J$16,IF($H$32=$K$4,J33/$K$16,IF($H$32=$L$4,J33/$L$16,IF($H$32=$M$4,J33/$M$16,IF($H$32=$N$4,J33/$N$16,IF($H$32=$O$4,$I$33/$O$16)))))))*2</f>
        <v>6.5288356909684442</v>
      </c>
      <c r="K34" s="109"/>
      <c r="L34" s="110"/>
      <c r="M34" s="82"/>
      <c r="N34" s="48">
        <f>+I34+J34</f>
        <v>28.073993471164307</v>
      </c>
      <c r="O34" s="44"/>
    </row>
    <row r="35" spans="2:17" ht="15.75" customHeight="1">
      <c r="B35" s="2147"/>
      <c r="C35" s="2147"/>
      <c r="D35" s="2147"/>
      <c r="E35" s="2147"/>
      <c r="F35" s="2147"/>
      <c r="G35" s="2147"/>
      <c r="H35" s="88" t="s">
        <v>572</v>
      </c>
      <c r="I35" s="111">
        <f>ROUNDUP(N34,0)</f>
        <v>29</v>
      </c>
      <c r="J35" s="111"/>
      <c r="K35" s="111"/>
      <c r="L35" s="112"/>
      <c r="M35" s="76"/>
      <c r="N35" s="76"/>
      <c r="O35" s="44"/>
    </row>
    <row r="36" spans="2:17" ht="15.75" customHeight="1">
      <c r="B36" s="61"/>
      <c r="C36" s="61"/>
      <c r="E36" s="61"/>
      <c r="F36" s="61"/>
      <c r="G36" s="61"/>
      <c r="H36" s="61"/>
      <c r="I36" s="61"/>
      <c r="O36" s="44"/>
    </row>
    <row r="37" spans="2:17" ht="15.75" customHeight="1">
      <c r="H37" s="61"/>
      <c r="I37" s="61"/>
    </row>
    <row r="38" spans="2:17" ht="15.75" customHeight="1">
      <c r="D38" s="62"/>
      <c r="H38" s="1292" t="s">
        <v>672</v>
      </c>
      <c r="I38" s="1292" t="s">
        <v>673</v>
      </c>
      <c r="J38" s="2133" t="s">
        <v>674</v>
      </c>
      <c r="K38" s="2133"/>
      <c r="L38" s="2133"/>
      <c r="M38" s="2133"/>
      <c r="N38" s="2133"/>
      <c r="O38" s="44"/>
      <c r="P38" s="44"/>
      <c r="Q38" s="44"/>
    </row>
    <row r="39" spans="2:17" ht="15.75" customHeight="1">
      <c r="D39" s="60"/>
      <c r="E39" s="63"/>
      <c r="H39" s="6" t="s">
        <v>122</v>
      </c>
      <c r="I39" s="6">
        <v>2.78</v>
      </c>
      <c r="J39" s="6" t="s">
        <v>675</v>
      </c>
      <c r="K39" s="6" t="s">
        <v>676</v>
      </c>
      <c r="L39" s="6" t="s">
        <v>677</v>
      </c>
      <c r="N39" s="6" t="s">
        <v>678</v>
      </c>
      <c r="O39" s="44"/>
      <c r="P39" s="44"/>
      <c r="Q39" s="44"/>
    </row>
    <row r="40" spans="2:17" ht="15.75" customHeight="1">
      <c r="D40" s="60"/>
      <c r="E40" s="63"/>
      <c r="H40" s="6" t="s">
        <v>671</v>
      </c>
      <c r="I40" s="6">
        <v>3.9</v>
      </c>
      <c r="J40" s="6" t="s">
        <v>675</v>
      </c>
      <c r="O40" s="44"/>
      <c r="P40" s="44"/>
    </row>
    <row r="41" spans="2:17" ht="15.75" customHeight="1">
      <c r="D41" s="60"/>
      <c r="E41" s="63"/>
      <c r="N41" s="76"/>
      <c r="O41" s="44"/>
      <c r="P41" s="44"/>
    </row>
    <row r="42" spans="2:17" ht="15.75" customHeight="1">
      <c r="D42" s="60"/>
      <c r="E42" s="63"/>
      <c r="O42" s="44"/>
      <c r="P42" s="44"/>
    </row>
    <row r="43" spans="2:17" ht="15.75" customHeight="1">
      <c r="D43" s="60"/>
      <c r="E43" s="63"/>
      <c r="O43" s="44"/>
      <c r="P43" s="44"/>
    </row>
    <row r="44" spans="2:17" ht="15.75" customHeight="1">
      <c r="D44" s="64"/>
      <c r="E44" s="63"/>
      <c r="N44" s="76"/>
      <c r="O44" s="44"/>
      <c r="P44" s="44"/>
    </row>
    <row r="45" spans="2:17" ht="15.75" customHeight="1">
      <c r="D45" s="64"/>
      <c r="E45" s="63"/>
      <c r="O45" s="44"/>
      <c r="P45" s="44"/>
    </row>
    <row r="46" spans="2:17" ht="15.75" customHeight="1">
      <c r="D46" s="60"/>
      <c r="E46" s="63"/>
      <c r="O46" s="44"/>
      <c r="P46" s="44"/>
    </row>
    <row r="47" spans="2:17" ht="15.75" customHeight="1">
      <c r="D47" s="62"/>
      <c r="E47" s="63"/>
      <c r="N47" s="76"/>
      <c r="O47" s="44"/>
      <c r="P47" s="44"/>
    </row>
    <row r="48" spans="2:17" ht="15.75" customHeight="1">
      <c r="E48" s="63"/>
    </row>
    <row r="49" spans="5:12" ht="15.75" customHeight="1">
      <c r="E49" s="63"/>
      <c r="F49" s="63"/>
      <c r="G49" s="63"/>
    </row>
    <row r="50" spans="5:12" ht="15.75" customHeight="1">
      <c r="H50" s="63"/>
      <c r="I50" s="63"/>
      <c r="J50" s="63"/>
      <c r="K50" s="63"/>
      <c r="L50" s="63"/>
    </row>
  </sheetData>
  <sheetProtection selectLockedCells="1"/>
  <mergeCells count="21">
    <mergeCell ref="J38:N38"/>
    <mergeCell ref="B2:F2"/>
    <mergeCell ref="I2:N2"/>
    <mergeCell ref="B6:C6"/>
    <mergeCell ref="B7:C7"/>
    <mergeCell ref="B8:C8"/>
    <mergeCell ref="B28:C28"/>
    <mergeCell ref="H30:L30"/>
    <mergeCell ref="B26:C27"/>
    <mergeCell ref="B4:C5"/>
    <mergeCell ref="B29:G35"/>
    <mergeCell ref="B14:C14"/>
    <mergeCell ref="B15:C15"/>
    <mergeCell ref="B17:C17"/>
    <mergeCell ref="J18:K18"/>
    <mergeCell ref="D24:H24"/>
    <mergeCell ref="B9:C9"/>
    <mergeCell ref="B10:C10"/>
    <mergeCell ref="B11:C11"/>
    <mergeCell ref="B12:C12"/>
    <mergeCell ref="B13:C13"/>
  </mergeCells>
  <dataValidations disablePrompts="1" count="3">
    <dataValidation type="list" showInputMessage="1" showErrorMessage="1" sqref="D5" xr:uid="{00000000-0002-0000-0F00-000000000000}">
      <formula1>$J$4:$Q$4</formula1>
    </dataValidation>
    <dataValidation type="whole" showErrorMessage="1" errorTitle="Seleccionar Sabor" error="Seleccionar el sabor de la producción de la Lista" sqref="E5" xr:uid="{00000000-0002-0000-0F00-000001000000}">
      <formula1>0</formula1>
      <formula2>1000</formula2>
    </dataValidation>
    <dataValidation type="list" allowBlank="1" showInputMessage="1" showErrorMessage="1" sqref="H32" xr:uid="{00000000-0002-0000-0F00-000002000000}">
      <formula1>$I$4:$R$4</formula1>
    </dataValidation>
  </dataValidations>
  <printOptions horizontalCentered="1" verticalCentered="1"/>
  <pageMargins left="0.31496062992126" right="0.31496062992126" top="0.59055118110236204" bottom="0.59055118110236204" header="0" footer="0"/>
  <pageSetup orientation="landscape" verticalDpi="300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DFE98-1EC8-4B0D-A5FE-FE164E6D616E}">
  <sheetPr codeName="Hoja28">
    <tabColor rgb="FF92D050"/>
    <pageSetUpPr fitToPage="1"/>
  </sheetPr>
  <dimension ref="A1:AD419"/>
  <sheetViews>
    <sheetView showGridLines="0" zoomScale="86" zoomScaleNormal="86" workbookViewId="0">
      <pane xSplit="1" ySplit="7" topLeftCell="B8" activePane="bottomRight" state="frozen"/>
      <selection pane="topRight"/>
      <selection pane="bottomLeft"/>
      <selection pane="bottomRight" activeCell="O202" sqref="O202"/>
    </sheetView>
  </sheetViews>
  <sheetFormatPr baseColWidth="10" defaultColWidth="8.7109375" defaultRowHeight="15"/>
  <cols>
    <col min="1" max="1" width="6.85546875" style="1477" customWidth="1"/>
    <col min="2" max="2" width="13.28515625" style="1477" customWidth="1"/>
    <col min="3" max="3" width="15.85546875" style="1478" customWidth="1"/>
    <col min="4" max="4" width="11.28515625" style="1477" customWidth="1"/>
    <col min="5" max="5" width="10.28515625" style="1477" customWidth="1"/>
    <col min="6" max="6" width="46.7109375" style="1477" customWidth="1"/>
    <col min="7" max="7" width="10.28515625" style="1479" customWidth="1"/>
    <col min="8" max="8" width="10.85546875" style="1479" hidden="1" customWidth="1"/>
    <col min="9" max="9" width="8.42578125" style="1479" hidden="1" customWidth="1"/>
    <col min="10" max="11" width="9.85546875" style="1479" hidden="1" customWidth="1"/>
    <col min="12" max="12" width="10.85546875" style="1479" hidden="1" customWidth="1"/>
    <col min="13" max="13" width="10.7109375" style="1479" customWidth="1"/>
    <col min="14" max="14" width="11.28515625" style="1479" customWidth="1"/>
    <col min="15" max="15" width="10.5703125" style="1479" customWidth="1"/>
    <col min="16" max="16" width="11.85546875" style="1479" customWidth="1"/>
    <col min="17" max="17" width="10.140625" style="1480" customWidth="1"/>
    <col min="18" max="18" width="12.140625" style="1480" customWidth="1"/>
    <col min="19" max="19" width="13.42578125" style="1477" customWidth="1"/>
    <col min="20" max="20" width="10.28515625" style="1477" customWidth="1"/>
    <col min="21" max="21" width="10.5703125" style="1481" customWidth="1"/>
    <col min="22" max="22" width="10.7109375" style="1480" customWidth="1"/>
    <col min="23" max="23" width="1.7109375" style="1480" customWidth="1"/>
    <col min="24" max="24" width="9.85546875" style="1480" customWidth="1"/>
    <col min="25" max="25" width="9.5703125" style="1480" customWidth="1"/>
    <col min="26" max="26" width="10.140625" style="1480" customWidth="1"/>
    <col min="27" max="16384" width="8.7109375" style="1480"/>
  </cols>
  <sheetData>
    <row r="1" spans="1:26">
      <c r="H1" s="1479">
        <v>4</v>
      </c>
    </row>
    <row r="4" spans="1:26" ht="28.9" customHeight="1">
      <c r="Q4" s="1479"/>
      <c r="R4" s="1479"/>
      <c r="S4" s="1482"/>
    </row>
    <row r="5" spans="1:26" ht="28.9" customHeight="1">
      <c r="Q5" s="1479"/>
      <c r="R5" s="1479"/>
      <c r="S5" s="1482"/>
    </row>
    <row r="6" spans="1:26" ht="34.15" customHeight="1">
      <c r="J6" s="1479">
        <v>7</v>
      </c>
      <c r="K6" s="1479">
        <v>15</v>
      </c>
      <c r="L6" s="1479">
        <v>20</v>
      </c>
      <c r="M6" s="1483"/>
      <c r="N6" s="1483"/>
      <c r="O6" s="1483"/>
      <c r="P6" s="1483"/>
      <c r="Q6" s="1483"/>
      <c r="R6" s="1483"/>
    </row>
    <row r="7" spans="1:26" s="1486" customFormat="1" ht="58.9" customHeight="1" thickBot="1">
      <c r="A7" s="1484" t="s">
        <v>804</v>
      </c>
      <c r="B7" s="1484" t="s">
        <v>805</v>
      </c>
      <c r="C7" s="1484" t="s">
        <v>806</v>
      </c>
      <c r="D7" s="1484" t="s">
        <v>807</v>
      </c>
      <c r="E7" s="1484" t="s">
        <v>808</v>
      </c>
      <c r="F7" s="1484" t="s">
        <v>809</v>
      </c>
      <c r="G7" s="1485" t="s">
        <v>810</v>
      </c>
      <c r="H7" s="1485" t="s">
        <v>811</v>
      </c>
      <c r="I7" s="1485" t="s">
        <v>812</v>
      </c>
      <c r="J7" s="1485" t="s">
        <v>813</v>
      </c>
      <c r="K7" s="1485" t="s">
        <v>814</v>
      </c>
      <c r="L7" s="1485" t="s">
        <v>815</v>
      </c>
      <c r="M7" s="1485" t="s">
        <v>816</v>
      </c>
      <c r="N7" s="1485" t="s">
        <v>817</v>
      </c>
      <c r="O7" s="1485" t="s">
        <v>818</v>
      </c>
      <c r="P7" s="1485" t="s">
        <v>819</v>
      </c>
      <c r="Q7" s="1485" t="s">
        <v>820</v>
      </c>
      <c r="R7" s="1485" t="s">
        <v>821</v>
      </c>
      <c r="S7" s="1485" t="s">
        <v>822</v>
      </c>
      <c r="T7" s="1485" t="s">
        <v>823</v>
      </c>
      <c r="U7" s="1485" t="s">
        <v>824</v>
      </c>
      <c r="V7" s="1485" t="s">
        <v>825</v>
      </c>
      <c r="X7" s="1487" t="s">
        <v>826</v>
      </c>
      <c r="Y7" s="1487" t="s">
        <v>827</v>
      </c>
      <c r="Z7" s="1487" t="s">
        <v>828</v>
      </c>
    </row>
    <row r="8" spans="1:26" hidden="1">
      <c r="A8" s="1488" t="s">
        <v>829</v>
      </c>
      <c r="B8" s="1488" t="s">
        <v>830</v>
      </c>
      <c r="C8" s="1489" t="s">
        <v>831</v>
      </c>
      <c r="D8" s="1489" t="s">
        <v>832</v>
      </c>
      <c r="E8" s="1490" t="s">
        <v>833</v>
      </c>
      <c r="F8" s="1490" t="s">
        <v>834</v>
      </c>
      <c r="G8" s="1491">
        <v>0</v>
      </c>
      <c r="H8" s="1491">
        <v>1440</v>
      </c>
      <c r="I8" s="1492">
        <f t="shared" ref="I8:I71" si="0">+G8/$L$6</f>
        <v>0</v>
      </c>
      <c r="J8" s="1493">
        <f t="shared" ref="J8:J72" si="1">+I8*$J$6</f>
        <v>0</v>
      </c>
      <c r="K8" s="1492">
        <f t="shared" ref="K8:K71" si="2">+I8*$K$6</f>
        <v>0</v>
      </c>
      <c r="L8" s="1494">
        <f t="shared" ref="L8:L71" si="3">+I8*$L$6</f>
        <v>0</v>
      </c>
      <c r="M8" s="1495">
        <f>IFERROR(VLOOKUP($E$8:$E$196,'[1]INF GENERAL'!$B$2:$D$135,3,0),0)</f>
        <v>0</v>
      </c>
      <c r="N8" s="1496">
        <f>IFERROR(VLOOKUP($E$8:$E$196,'[1]INF GENERAL'!$F$2:$H$80,3,0),0)</f>
        <v>0</v>
      </c>
      <c r="O8" s="1496">
        <f>IFERROR(SUMIFS('[1]INF GENERAL'!$L:$L,'[1]INF GENERAL'!$J:$J,Tabla16[[#This Row],[Código]]),0)</f>
        <v>0</v>
      </c>
      <c r="P8" s="1496">
        <f>IFERROR(VLOOKUP($E$8:$E$196,'[1]INF GENERAL'!$V$2:$X$119,3,0),0)</f>
        <v>0</v>
      </c>
      <c r="Q8" s="1496">
        <f>IFERROR(VLOOKUP($E$8:$E$196,'[1]INF GENERAL'!$N$2:$P$119,3,0),0)</f>
        <v>0</v>
      </c>
      <c r="R8" s="1496">
        <f>IFERROR(VLOOKUP($E$8:$E$196,'[1]INF GENERAL'!$R$2:$T$119,3,0),0)</f>
        <v>0</v>
      </c>
      <c r="S8" s="1496">
        <f t="shared" ref="S8:S13" si="4">IF(G8=0,0,(G8-O8))</f>
        <v>0</v>
      </c>
      <c r="T8" s="1496">
        <f t="shared" ref="T8:T71" si="5">IF(G8=0,0,(G8-(Q8+O8)))</f>
        <v>0</v>
      </c>
      <c r="U8" s="1497">
        <v>0</v>
      </c>
      <c r="V8" s="1498" t="str">
        <f>IF((Q8)&lt;J8,"INV&lt;7",IF((Q8)&lt;L8,"7≤INV≤20","INV&gt;20"))</f>
        <v>INV&gt;20</v>
      </c>
      <c r="Y8" s="1499"/>
    </row>
    <row r="9" spans="1:26" hidden="1">
      <c r="A9" s="1488" t="s">
        <v>829</v>
      </c>
      <c r="B9" s="1488" t="s">
        <v>830</v>
      </c>
      <c r="C9" s="1489" t="s">
        <v>831</v>
      </c>
      <c r="D9" s="1489" t="s">
        <v>832</v>
      </c>
      <c r="E9" s="1488" t="s">
        <v>835</v>
      </c>
      <c r="F9" s="1488" t="s">
        <v>836</v>
      </c>
      <c r="G9" s="1491">
        <v>0</v>
      </c>
      <c r="H9" s="1491">
        <v>2720</v>
      </c>
      <c r="I9" s="1492">
        <f t="shared" si="0"/>
        <v>0</v>
      </c>
      <c r="J9" s="1493">
        <f t="shared" si="1"/>
        <v>0</v>
      </c>
      <c r="K9" s="1492">
        <f t="shared" si="2"/>
        <v>0</v>
      </c>
      <c r="L9" s="1494">
        <f t="shared" si="3"/>
        <v>0</v>
      </c>
      <c r="M9" s="1495">
        <f>IFERROR(VLOOKUP($E$8:$E$196,'[1]INF GENERAL'!$B$2:$D$135,3,0),0)</f>
        <v>0</v>
      </c>
      <c r="N9" s="1496">
        <f>IFERROR(VLOOKUP($E$8:$E$196,'[1]INF GENERAL'!$F$2:$H$80,3,0),0)</f>
        <v>0</v>
      </c>
      <c r="O9" s="1496">
        <f>IFERROR(SUMIFS('[1]INF GENERAL'!$L:$L,'[1]INF GENERAL'!$J:$J,Tabla16[[#This Row],[Código]]),0)</f>
        <v>0</v>
      </c>
      <c r="P9" s="1496">
        <f>IFERROR(VLOOKUP($E$8:$E$196,'[1]INF GENERAL'!$V$2:$X$119,3,0),0)</f>
        <v>0</v>
      </c>
      <c r="Q9" s="1496">
        <f>IFERROR(VLOOKUP($E$8:$E$196,'[1]INF GENERAL'!$N$2:$P$119,3,0),0)</f>
        <v>0</v>
      </c>
      <c r="R9" s="1500">
        <f>IFERROR(VLOOKUP($E$8:$E$196,'[1]INF GENERAL'!$R$2:$T$119,3,0),0)</f>
        <v>0</v>
      </c>
      <c r="S9" s="1496">
        <f t="shared" si="4"/>
        <v>0</v>
      </c>
      <c r="T9" s="1496">
        <f t="shared" si="5"/>
        <v>0</v>
      </c>
      <c r="U9" s="1497">
        <f>IF(G9=0,0,(Q9/I9))</f>
        <v>0</v>
      </c>
      <c r="V9" s="1498" t="str">
        <f>IF((Q9)&lt;J9,"INV&lt;7",IF((Q9)&lt;L9,"7≤INV≤20","INV&gt;20"))</f>
        <v>INV&gt;20</v>
      </c>
    </row>
    <row r="10" spans="1:26" hidden="1">
      <c r="A10" s="1488" t="s">
        <v>829</v>
      </c>
      <c r="B10" s="1488" t="s">
        <v>830</v>
      </c>
      <c r="C10" s="1489" t="s">
        <v>831</v>
      </c>
      <c r="D10" s="1489" t="s">
        <v>832</v>
      </c>
      <c r="E10" s="1488" t="s">
        <v>837</v>
      </c>
      <c r="F10" s="1488" t="s">
        <v>838</v>
      </c>
      <c r="G10" s="1491">
        <v>0</v>
      </c>
      <c r="H10" s="1491">
        <v>3840</v>
      </c>
      <c r="I10" s="1492">
        <f t="shared" si="0"/>
        <v>0</v>
      </c>
      <c r="J10" s="1493">
        <f t="shared" si="1"/>
        <v>0</v>
      </c>
      <c r="K10" s="1492">
        <f t="shared" si="2"/>
        <v>0</v>
      </c>
      <c r="L10" s="1494">
        <f t="shared" si="3"/>
        <v>0</v>
      </c>
      <c r="M10" s="1495">
        <f>IFERROR(VLOOKUP($E$8:$E$196,'[1]INF GENERAL'!$B$2:$D$135,3,0),0)</f>
        <v>0</v>
      </c>
      <c r="N10" s="1496">
        <f>IFERROR(VLOOKUP($E$8:$E$196,'[1]INF GENERAL'!$F$2:$H$80,3,0),0)</f>
        <v>0</v>
      </c>
      <c r="O10" s="1496">
        <f>IFERROR(SUMIFS('[1]INF GENERAL'!$L:$L,'[1]INF GENERAL'!$J:$J,Tabla16[[#This Row],[Código]]),0)</f>
        <v>0</v>
      </c>
      <c r="P10" s="1496">
        <f>IFERROR(VLOOKUP($E$8:$E$196,'[1]INF GENERAL'!$V$2:$X$119,3,0),0)</f>
        <v>0</v>
      </c>
      <c r="Q10" s="1496">
        <f>IFERROR(VLOOKUP($E$8:$E$196,'[1]INF GENERAL'!$N$2:$P$119,3,0),0)</f>
        <v>0</v>
      </c>
      <c r="R10" s="1496">
        <f>IFERROR(VLOOKUP($E$8:$E$196,'[1]INF GENERAL'!$R$2:$T$119,3,0),0)</f>
        <v>0</v>
      </c>
      <c r="S10" s="1496">
        <f t="shared" si="4"/>
        <v>0</v>
      </c>
      <c r="T10" s="1496">
        <f t="shared" si="5"/>
        <v>0</v>
      </c>
      <c r="U10" s="1497">
        <v>0</v>
      </c>
      <c r="V10" s="1498" t="str">
        <f>IF((Q10)&lt;J10,"INV&lt;7",IF((Q10)&lt;L10,"7≤INV≤20","INV&gt;20"))</f>
        <v>INV&gt;20</v>
      </c>
    </row>
    <row r="11" spans="1:26" hidden="1">
      <c r="A11" s="1488" t="s">
        <v>829</v>
      </c>
      <c r="B11" s="1488" t="s">
        <v>830</v>
      </c>
      <c r="C11" s="1489" t="s">
        <v>831</v>
      </c>
      <c r="D11" s="1489" t="s">
        <v>832</v>
      </c>
      <c r="E11" s="1488" t="s">
        <v>839</v>
      </c>
      <c r="F11" s="1488" t="s">
        <v>840</v>
      </c>
      <c r="G11" s="1501"/>
      <c r="H11" s="1502"/>
      <c r="I11" s="1492">
        <f t="shared" si="0"/>
        <v>0</v>
      </c>
      <c r="J11" s="1493">
        <f t="shared" si="1"/>
        <v>0</v>
      </c>
      <c r="K11" s="1492">
        <f t="shared" si="2"/>
        <v>0</v>
      </c>
      <c r="L11" s="1494">
        <f t="shared" si="3"/>
        <v>0</v>
      </c>
      <c r="M11" s="1495">
        <f>IFERROR(VLOOKUP($E$8:$E$196,'[1]INF GENERAL'!$B$2:$D$135,3,0),0)</f>
        <v>0</v>
      </c>
      <c r="N11" s="1496">
        <f>IFERROR(VLOOKUP($E$8:$E$196,'[1]INF GENERAL'!$F$2:$H$80,3,0),0)</f>
        <v>0</v>
      </c>
      <c r="O11" s="1496">
        <f>IFERROR(SUMIFS('[1]INF GENERAL'!$L:$L,'[1]INF GENERAL'!$J:$J,Tabla16[[#This Row],[Código]]),0)</f>
        <v>0</v>
      </c>
      <c r="P11" s="1500">
        <f>IFERROR(VLOOKUP($E$8:$E$196,'[1]INF GENERAL'!$V$2:$X$119,3,0),0)</f>
        <v>0</v>
      </c>
      <c r="Q11" s="1496">
        <f>IFERROR(VLOOKUP($E$8:$E$196,'[1]INF GENERAL'!$N$2:$P$119,3,0),0)</f>
        <v>0</v>
      </c>
      <c r="R11" s="1496">
        <f>IFERROR(VLOOKUP($E$8:$E$196,'[1]INF GENERAL'!$R$2:$T$119,3,0),0)</f>
        <v>0</v>
      </c>
      <c r="S11" s="1496">
        <f t="shared" si="4"/>
        <v>0</v>
      </c>
      <c r="T11" s="1496">
        <f t="shared" si="5"/>
        <v>0</v>
      </c>
      <c r="U11" s="1497">
        <f>IF(G11=0,0,(Q11/I11))</f>
        <v>0</v>
      </c>
      <c r="V11" s="1498" t="str">
        <f t="shared" ref="V11:V35" si="6">IF((Q11)&lt;J11,"QUIEBRE",IF((Q11)&lt;L11,"VIGILAR","NO CRITICO"))</f>
        <v>NO CRITICO</v>
      </c>
    </row>
    <row r="12" spans="1:26" hidden="1">
      <c r="A12" s="1488" t="s">
        <v>829</v>
      </c>
      <c r="B12" s="1488" t="s">
        <v>830</v>
      </c>
      <c r="C12" s="1489" t="s">
        <v>831</v>
      </c>
      <c r="D12" s="1489" t="s">
        <v>832</v>
      </c>
      <c r="E12" s="1488" t="s">
        <v>841</v>
      </c>
      <c r="F12" s="1488" t="s">
        <v>842</v>
      </c>
      <c r="G12" s="1501"/>
      <c r="H12" s="1502"/>
      <c r="I12" s="1492">
        <f t="shared" si="0"/>
        <v>0</v>
      </c>
      <c r="J12" s="1493">
        <v>0</v>
      </c>
      <c r="K12" s="1492">
        <f t="shared" si="2"/>
        <v>0</v>
      </c>
      <c r="L12" s="1494">
        <f t="shared" si="3"/>
        <v>0</v>
      </c>
      <c r="M12" s="1495">
        <f>IFERROR(VLOOKUP($E$8:$E$196,'[1]INF GENERAL'!$B$2:$D$135,3,0),0)</f>
        <v>0</v>
      </c>
      <c r="N12" s="1496">
        <f>IFERROR(VLOOKUP($E$8:$E$196,'[1]INF GENERAL'!$F$2:$H$80,3,0),0)</f>
        <v>0</v>
      </c>
      <c r="O12" s="1496">
        <f>IFERROR(SUMIFS('[1]INF GENERAL'!$L:$L,'[1]INF GENERAL'!$J:$J,Tabla16[[#This Row],[Código]]),0)</f>
        <v>0</v>
      </c>
      <c r="P12" s="1500">
        <f>IFERROR(VLOOKUP($E$8:$E$196,'[1]INF GENERAL'!$V$2:$X$119,3,0),0)</f>
        <v>0</v>
      </c>
      <c r="Q12" s="1496">
        <f>IFERROR(VLOOKUP($E$8:$E$196,'[1]INF GENERAL'!$N$2:$P$119,3,0),0)</f>
        <v>0</v>
      </c>
      <c r="R12" s="1496">
        <f>IFERROR(VLOOKUP($E$8:$E$196,'[1]INF GENERAL'!$R$2:$T$119,3,0),0)</f>
        <v>0</v>
      </c>
      <c r="S12" s="1496">
        <f t="shared" si="4"/>
        <v>0</v>
      </c>
      <c r="T12" s="1496">
        <f t="shared" si="5"/>
        <v>0</v>
      </c>
      <c r="U12" s="1497">
        <v>0</v>
      </c>
      <c r="V12" s="1498" t="str">
        <f t="shared" si="6"/>
        <v>NO CRITICO</v>
      </c>
    </row>
    <row r="13" spans="1:26" hidden="1">
      <c r="A13" s="1488" t="s">
        <v>829</v>
      </c>
      <c r="B13" s="1488" t="s">
        <v>830</v>
      </c>
      <c r="C13" s="1489" t="s">
        <v>831</v>
      </c>
      <c r="D13" s="1489" t="s">
        <v>832</v>
      </c>
      <c r="E13" s="1488" t="s">
        <v>843</v>
      </c>
      <c r="F13" s="1488" t="s">
        <v>844</v>
      </c>
      <c r="G13" s="1503">
        <v>0</v>
      </c>
      <c r="H13" s="1491">
        <v>0</v>
      </c>
      <c r="I13" s="1492">
        <f t="shared" si="0"/>
        <v>0</v>
      </c>
      <c r="J13" s="1493">
        <f t="shared" si="1"/>
        <v>0</v>
      </c>
      <c r="K13" s="1492">
        <f t="shared" si="2"/>
        <v>0</v>
      </c>
      <c r="L13" s="1494">
        <f t="shared" si="3"/>
        <v>0</v>
      </c>
      <c r="M13" s="1495">
        <f>IFERROR(VLOOKUP($E$8:$E$196,'[1]INF GENERAL'!$B$2:$D$135,3,0),0)</f>
        <v>0</v>
      </c>
      <c r="N13" s="1496">
        <f>IFERROR(VLOOKUP($E$8:$E$196,'[1]INF GENERAL'!$F$2:$H$80,3,0),0)</f>
        <v>0</v>
      </c>
      <c r="O13" s="1496">
        <f>IFERROR(SUMIFS('[1]INF GENERAL'!$L:$L,'[1]INF GENERAL'!$J:$J,Tabla16[[#This Row],[Código]]),0)</f>
        <v>0</v>
      </c>
      <c r="P13" s="1496">
        <f>IFERROR(VLOOKUP($E$8:$E$196,'[1]INF GENERAL'!$V$2:$X$119,3,0),0)</f>
        <v>0</v>
      </c>
      <c r="Q13" s="1496">
        <f>IFERROR(VLOOKUP($E$8:$E$196,'[1]INF GENERAL'!$N$2:$P$119,3,0),0)</f>
        <v>0</v>
      </c>
      <c r="R13" s="1496">
        <f>IFERROR(VLOOKUP($E$8:$E$196,'[1]INF GENERAL'!$R$2:$T$119,3,0),0)</f>
        <v>0</v>
      </c>
      <c r="S13" s="1496">
        <f t="shared" si="4"/>
        <v>0</v>
      </c>
      <c r="T13" s="1496">
        <f t="shared" si="5"/>
        <v>0</v>
      </c>
      <c r="U13" s="1497">
        <f t="shared" ref="U13:U68" si="7">IF(G13=0,0,(Q13/I13))</f>
        <v>0</v>
      </c>
      <c r="V13" s="1498" t="str">
        <f t="shared" si="6"/>
        <v>NO CRITICO</v>
      </c>
    </row>
    <row r="14" spans="1:26" hidden="1">
      <c r="A14" s="1488" t="s">
        <v>829</v>
      </c>
      <c r="B14" s="1488" t="s">
        <v>830</v>
      </c>
      <c r="C14" s="1489" t="s">
        <v>831</v>
      </c>
      <c r="D14" s="1489" t="s">
        <v>832</v>
      </c>
      <c r="E14" s="1488" t="s">
        <v>845</v>
      </c>
      <c r="F14" s="1488" t="s">
        <v>846</v>
      </c>
      <c r="G14" s="1503">
        <v>0</v>
      </c>
      <c r="H14" s="1491">
        <v>0</v>
      </c>
      <c r="I14" s="1492">
        <f t="shared" si="0"/>
        <v>0</v>
      </c>
      <c r="J14" s="1493">
        <f t="shared" si="1"/>
        <v>0</v>
      </c>
      <c r="K14" s="1492">
        <f t="shared" si="2"/>
        <v>0</v>
      </c>
      <c r="L14" s="1494">
        <f t="shared" si="3"/>
        <v>0</v>
      </c>
      <c r="M14" s="1495">
        <f>IFERROR(VLOOKUP($E$8:$E$196,'[1]INF GENERAL'!$B$2:$D$135,3,0),0)</f>
        <v>0</v>
      </c>
      <c r="N14" s="1496">
        <f>IFERROR(VLOOKUP($E$8:$E$196,'[1]INF GENERAL'!$F$2:$H$80,3,0),0)</f>
        <v>0</v>
      </c>
      <c r="O14" s="1496">
        <f>IFERROR(SUMIFS('[1]INF GENERAL'!$L:$L,'[1]INF GENERAL'!$J:$J,Tabla16[[#This Row],[Código]]),0)</f>
        <v>0</v>
      </c>
      <c r="P14" s="1496">
        <f>IFERROR(VLOOKUP($E$8:$E$196,'[1]INF GENERAL'!$V$2:$X$119,3,0),0)</f>
        <v>0</v>
      </c>
      <c r="Q14" s="1496">
        <f>IFERROR(SUMIFS('[1]INF GENERAL'!$P:$P,'[1]INF GENERAL'!$N:$N,Tabla16[[#This Row],[Código]]),0)</f>
        <v>0</v>
      </c>
      <c r="R14" s="1496">
        <f>IFERROR(VLOOKUP($E$8:$E$196,'[1]INF GENERAL'!$R$2:$T$119,3,0),0)</f>
        <v>0</v>
      </c>
      <c r="S14" s="1496">
        <f>IF(G14=0,0,(G14-(O14+P14)))</f>
        <v>0</v>
      </c>
      <c r="T14" s="1496">
        <f t="shared" si="5"/>
        <v>0</v>
      </c>
      <c r="U14" s="1497">
        <f t="shared" si="7"/>
        <v>0</v>
      </c>
      <c r="V14" s="1498" t="str">
        <f t="shared" si="6"/>
        <v>NO CRITICO</v>
      </c>
    </row>
    <row r="15" spans="1:26" hidden="1">
      <c r="A15" s="1488" t="s">
        <v>829</v>
      </c>
      <c r="B15" s="1488" t="s">
        <v>830</v>
      </c>
      <c r="C15" s="1489" t="s">
        <v>831</v>
      </c>
      <c r="D15" s="1489" t="s">
        <v>832</v>
      </c>
      <c r="E15" s="1488" t="s">
        <v>847</v>
      </c>
      <c r="F15" s="1488" t="s">
        <v>848</v>
      </c>
      <c r="G15" s="1503">
        <v>0</v>
      </c>
      <c r="H15" s="1491">
        <v>0</v>
      </c>
      <c r="I15" s="1492">
        <f t="shared" si="0"/>
        <v>0</v>
      </c>
      <c r="J15" s="1493">
        <f t="shared" si="1"/>
        <v>0</v>
      </c>
      <c r="K15" s="1492">
        <f t="shared" si="2"/>
        <v>0</v>
      </c>
      <c r="L15" s="1494">
        <f t="shared" si="3"/>
        <v>0</v>
      </c>
      <c r="M15" s="1495">
        <f>IFERROR(VLOOKUP($E$8:$E$196,'[1]INF GENERAL'!$B$2:$D$135,3,0),0)</f>
        <v>1</v>
      </c>
      <c r="N15" s="1496">
        <f>IFERROR(VLOOKUP($E$8:$E$196,'[1]INF GENERAL'!$F$2:$H$80,3,0),0)</f>
        <v>0</v>
      </c>
      <c r="O15" s="1496">
        <f>IFERROR(SUMIFS('[1]INF GENERAL'!$L:$L,'[1]INF GENERAL'!$J:$J,Tabla16[[#This Row],[Código]]),0)</f>
        <v>0</v>
      </c>
      <c r="P15" s="1496">
        <f>IFERROR(VLOOKUP($E$8:$E$196,'[1]INF GENERAL'!$V$2:$X$119,3,0),0)</f>
        <v>0</v>
      </c>
      <c r="Q15" s="1496">
        <f>IFERROR(SUMIFS('[1]INF GENERAL'!$P:$P,'[1]INF GENERAL'!$N:$N,Tabla16[[#This Row],[Código]]),0)</f>
        <v>0</v>
      </c>
      <c r="R15" s="1496">
        <f>IFERROR(VLOOKUP($E$8:$E$196,'[1]INF GENERAL'!$R$2:$T$119,3,0),0)</f>
        <v>0</v>
      </c>
      <c r="S15" s="1496">
        <f>IF(G15=0,0,(G15-(O15+P15)))</f>
        <v>0</v>
      </c>
      <c r="T15" s="1496">
        <f t="shared" si="5"/>
        <v>0</v>
      </c>
      <c r="U15" s="1497">
        <f t="shared" si="7"/>
        <v>0</v>
      </c>
      <c r="V15" s="1498" t="str">
        <f t="shared" si="6"/>
        <v>NO CRITICO</v>
      </c>
    </row>
    <row r="16" spans="1:26">
      <c r="A16" s="1488" t="s">
        <v>849</v>
      </c>
      <c r="B16" s="1488" t="s">
        <v>830</v>
      </c>
      <c r="C16" s="1489" t="s">
        <v>831</v>
      </c>
      <c r="D16" s="1489" t="s">
        <v>850</v>
      </c>
      <c r="E16" s="1488" t="s">
        <v>851</v>
      </c>
      <c r="F16" s="1488" t="s">
        <v>852</v>
      </c>
      <c r="G16" s="1504">
        <v>887</v>
      </c>
      <c r="H16" s="1494"/>
      <c r="I16" s="1492">
        <f t="shared" si="0"/>
        <v>44.35</v>
      </c>
      <c r="J16" s="1493">
        <f t="shared" si="1"/>
        <v>310.45</v>
      </c>
      <c r="K16" s="1492">
        <f t="shared" si="2"/>
        <v>665.25</v>
      </c>
      <c r="L16" s="1494">
        <f t="shared" si="3"/>
        <v>887</v>
      </c>
      <c r="M16" s="1495">
        <f>IFERROR(VLOOKUP($E$8:$E$196,'[1]INF GENERAL'!$B$2:$D$135,3,0),0)</f>
        <v>516</v>
      </c>
      <c r="N16" s="1496">
        <f>IFERROR(VLOOKUP($E$8:$E$196,'[1]INF GENERAL'!$F$2:$H$80,3,0),0)</f>
        <v>0</v>
      </c>
      <c r="O16" s="1496">
        <f>IFERROR(SUMIFS('[1]INF GENERAL'!$L:$L,'[1]INF GENERAL'!$J:$J,Tabla16[[#This Row],[Código]]),0)</f>
        <v>0</v>
      </c>
      <c r="P16" s="1496">
        <f>IFERROR(VLOOKUP($E$8:$E$196,'[1]INF GENERAL'!$V$2:$X$119,3,0),0)</f>
        <v>0</v>
      </c>
      <c r="Q16" s="1496">
        <f>IFERROR(SUMIFS('[1]INF GENERAL'!$P:$P,'[1]INF GENERAL'!$N:$N,Tabla16[[#This Row],[Código]]),0)</f>
        <v>0</v>
      </c>
      <c r="R16" s="1496">
        <f>IFERROR(VLOOKUP($E$8:$E$196,'[1]INF GENERAL'!$R$2:$T$119,3,0),0)</f>
        <v>0</v>
      </c>
      <c r="S16" s="1496">
        <f t="shared" ref="S16:S35" si="8">IF(G16=0,0,(G16-O16))</f>
        <v>887</v>
      </c>
      <c r="T16" s="1496">
        <f t="shared" si="5"/>
        <v>887</v>
      </c>
      <c r="U16" s="1497">
        <f t="shared" si="7"/>
        <v>0</v>
      </c>
      <c r="V16" s="1498" t="str">
        <f>IF((Q16)&lt;J16,"INV&lt;7",IF((Q16)&lt;L16,"7≤INV≤20","INV&gt;20"))</f>
        <v>INV&lt;7</v>
      </c>
    </row>
    <row r="17" spans="1:22">
      <c r="A17" s="1488" t="s">
        <v>849</v>
      </c>
      <c r="B17" s="1488" t="s">
        <v>830</v>
      </c>
      <c r="C17" s="1489" t="s">
        <v>831</v>
      </c>
      <c r="D17" s="1489" t="s">
        <v>850</v>
      </c>
      <c r="E17" s="1488" t="s">
        <v>853</v>
      </c>
      <c r="F17" s="1488" t="s">
        <v>854</v>
      </c>
      <c r="G17" s="1504">
        <v>2365</v>
      </c>
      <c r="H17" s="1494"/>
      <c r="I17" s="1492">
        <f t="shared" si="0"/>
        <v>118.25</v>
      </c>
      <c r="J17" s="1493">
        <f t="shared" si="1"/>
        <v>827.75</v>
      </c>
      <c r="K17" s="1492">
        <f t="shared" si="2"/>
        <v>1773.75</v>
      </c>
      <c r="L17" s="1494">
        <f t="shared" si="3"/>
        <v>2365</v>
      </c>
      <c r="M17" s="1505">
        <f>IFERROR(VLOOKUP($E$8:$E$196,'[1]INF GENERAL'!$B$2:$D$135,3,0),0)</f>
        <v>1264</v>
      </c>
      <c r="N17" s="1496">
        <f>IFERROR(VLOOKUP($E$8:$E$196,'[1]INF GENERAL'!$F$2:$H$80,3,0),0)</f>
        <v>0</v>
      </c>
      <c r="O17" s="1496">
        <f>IFERROR(SUMIFS('[1]INF GENERAL'!$L:$L,'[1]INF GENERAL'!$J:$J,Tabla16[[#This Row],[Código]]),0)</f>
        <v>0</v>
      </c>
      <c r="P17" s="1496">
        <f>IFERROR(VLOOKUP($E$8:$E$196,'[1]INF GENERAL'!$V$2:$X$119,3,0),0)</f>
        <v>0</v>
      </c>
      <c r="Q17" s="1496">
        <f>IFERROR(SUMIFS('[1]INF GENERAL'!$P:$P,'[1]INF GENERAL'!$N:$N,Tabla16[[#This Row],[Código]]),0)</f>
        <v>0</v>
      </c>
      <c r="R17" s="1496">
        <f>IFERROR(VLOOKUP($E$8:$E$196,'[1]INF GENERAL'!$R$2:$T$119,3,0),0)</f>
        <v>0</v>
      </c>
      <c r="S17" s="1496">
        <f t="shared" si="8"/>
        <v>2365</v>
      </c>
      <c r="T17" s="1496">
        <f t="shared" si="5"/>
        <v>2365</v>
      </c>
      <c r="U17" s="1497">
        <f t="shared" si="7"/>
        <v>0</v>
      </c>
      <c r="V17" s="1498" t="str">
        <f>IF((Q17)&lt;J17,"INV&lt;7",IF((Q17)&lt;L17,"7≤INV≤20","INV&gt;20"))</f>
        <v>INV&lt;7</v>
      </c>
    </row>
    <row r="18" spans="1:22">
      <c r="A18" s="1488" t="s">
        <v>849</v>
      </c>
      <c r="B18" s="1488" t="s">
        <v>830</v>
      </c>
      <c r="C18" s="1489" t="s">
        <v>831</v>
      </c>
      <c r="D18" s="1489" t="s">
        <v>850</v>
      </c>
      <c r="E18" s="1488" t="s">
        <v>855</v>
      </c>
      <c r="F18" s="1488" t="s">
        <v>856</v>
      </c>
      <c r="G18" s="1504">
        <v>1675</v>
      </c>
      <c r="H18" s="1494"/>
      <c r="I18" s="1492">
        <f t="shared" si="0"/>
        <v>83.75</v>
      </c>
      <c r="J18" s="1493">
        <f t="shared" si="1"/>
        <v>586.25</v>
      </c>
      <c r="K18" s="1492">
        <f t="shared" si="2"/>
        <v>1256.25</v>
      </c>
      <c r="L18" s="1494">
        <f t="shared" si="3"/>
        <v>1675</v>
      </c>
      <c r="M18" s="1505">
        <f>IFERROR(VLOOKUP($E$8:$E$196,'[1]INF GENERAL'!$B$2:$D$135,3,0),0)</f>
        <v>987</v>
      </c>
      <c r="N18" s="1496">
        <f>IFERROR(VLOOKUP($E$8:$E$196,'[1]INF GENERAL'!$F$2:$H$80,3,0),0)</f>
        <v>0</v>
      </c>
      <c r="O18" s="1496">
        <f>IFERROR(SUMIFS('[1]INF GENERAL'!$L:$L,'[1]INF GENERAL'!$J:$J,Tabla16[[#This Row],[Código]]),0)</f>
        <v>0</v>
      </c>
      <c r="P18" s="1496">
        <f>IFERROR(VLOOKUP($E$8:$E$196,'[1]INF GENERAL'!$V$2:$X$119,3,0),0)</f>
        <v>0</v>
      </c>
      <c r="Q18" s="1496">
        <f>IFERROR(SUMIFS('[1]INF GENERAL'!$P:$P,'[1]INF GENERAL'!$N:$N,Tabla16[[#This Row],[Código]]),0)</f>
        <v>0</v>
      </c>
      <c r="R18" s="1496">
        <f>IFERROR(VLOOKUP($E$8:$E$196,'[1]INF GENERAL'!$R$2:$T$119,3,0),0)</f>
        <v>0</v>
      </c>
      <c r="S18" s="1496">
        <f t="shared" si="8"/>
        <v>1675</v>
      </c>
      <c r="T18" s="1496">
        <f t="shared" si="5"/>
        <v>1675</v>
      </c>
      <c r="U18" s="1497">
        <f t="shared" si="7"/>
        <v>0</v>
      </c>
      <c r="V18" s="1498" t="str">
        <f>IF((Q18)&lt;J18,"INV&lt;7",IF((Q18)&lt;L18,"7≤INV≤20","INV&gt;20"))</f>
        <v>INV&lt;7</v>
      </c>
    </row>
    <row r="19" spans="1:22" hidden="1">
      <c r="A19" s="1488" t="s">
        <v>829</v>
      </c>
      <c r="B19" s="1488" t="s">
        <v>830</v>
      </c>
      <c r="C19" s="1489" t="s">
        <v>831</v>
      </c>
      <c r="D19" s="1489" t="s">
        <v>850</v>
      </c>
      <c r="E19" s="1488" t="s">
        <v>857</v>
      </c>
      <c r="F19" s="1488" t="s">
        <v>858</v>
      </c>
      <c r="G19" s="1503"/>
      <c r="H19" s="1491"/>
      <c r="I19" s="1492">
        <f t="shared" si="0"/>
        <v>0</v>
      </c>
      <c r="J19" s="1493">
        <f t="shared" si="1"/>
        <v>0</v>
      </c>
      <c r="K19" s="1492">
        <f t="shared" si="2"/>
        <v>0</v>
      </c>
      <c r="L19" s="1494">
        <f t="shared" si="3"/>
        <v>0</v>
      </c>
      <c r="M19" s="1495">
        <f>IFERROR(VLOOKUP($E$8:$E$196,'[1]INF GENERAL'!$B$2:$D$135,3,0),0)</f>
        <v>0</v>
      </c>
      <c r="N19" s="1496">
        <f>IFERROR(VLOOKUP($E$8:$E$196,'[1]INF GENERAL'!$F$2:$H$80,3,0),0)</f>
        <v>0</v>
      </c>
      <c r="O19" s="1496">
        <f>IFERROR(SUMIFS('[1]INF GENERAL'!$L:$L,'[1]INF GENERAL'!$J:$J,Tabla16[[#This Row],[Código]]),0)</f>
        <v>0</v>
      </c>
      <c r="P19" s="1500">
        <f>IFERROR(VLOOKUP($E$8:$E$196,'[1]INF GENERAL'!$V$2:$X$119,3,0),0)</f>
        <v>0</v>
      </c>
      <c r="Q19" s="1496">
        <f>IFERROR(SUMIFS('[1]INF GENERAL'!$P:$P,'[1]INF GENERAL'!$N:$N,Tabla16[[#This Row],[Código]]),0)</f>
        <v>0</v>
      </c>
      <c r="R19" s="1496">
        <f>IFERROR(VLOOKUP($E$8:$E$196,'[1]INF GENERAL'!$R$2:$T$119,3,0),0)</f>
        <v>0</v>
      </c>
      <c r="S19" s="1496">
        <f t="shared" si="8"/>
        <v>0</v>
      </c>
      <c r="T19" s="1496">
        <f t="shared" si="5"/>
        <v>0</v>
      </c>
      <c r="U19" s="1497">
        <f t="shared" si="7"/>
        <v>0</v>
      </c>
      <c r="V19" s="1498" t="str">
        <f t="shared" si="6"/>
        <v>NO CRITICO</v>
      </c>
    </row>
    <row r="20" spans="1:22" hidden="1">
      <c r="A20" s="1488" t="s">
        <v>829</v>
      </c>
      <c r="B20" s="1488" t="s">
        <v>830</v>
      </c>
      <c r="C20" s="1489" t="s">
        <v>831</v>
      </c>
      <c r="D20" s="1489" t="s">
        <v>850</v>
      </c>
      <c r="E20" s="1488" t="s">
        <v>859</v>
      </c>
      <c r="F20" s="1488" t="s">
        <v>860</v>
      </c>
      <c r="G20" s="1503"/>
      <c r="H20" s="1491"/>
      <c r="I20" s="1492">
        <f t="shared" si="0"/>
        <v>0</v>
      </c>
      <c r="J20" s="1493">
        <f t="shared" si="1"/>
        <v>0</v>
      </c>
      <c r="K20" s="1492">
        <f t="shared" si="2"/>
        <v>0</v>
      </c>
      <c r="L20" s="1494">
        <f t="shared" si="3"/>
        <v>0</v>
      </c>
      <c r="M20" s="1495">
        <f>IFERROR(VLOOKUP($E$8:$E$196,'[1]INF GENERAL'!$B$2:$D$135,3,0),0)</f>
        <v>0</v>
      </c>
      <c r="N20" s="1496">
        <f>IFERROR(VLOOKUP($E$8:$E$196,'[1]INF GENERAL'!$F$2:$H$80,3,0),0)</f>
        <v>0</v>
      </c>
      <c r="O20" s="1496">
        <f>IFERROR(SUMIFS('[1]INF GENERAL'!$L:$L,'[1]INF GENERAL'!$J:$J,Tabla16[[#This Row],[Código]]),0)</f>
        <v>0</v>
      </c>
      <c r="P20" s="1500">
        <f>IFERROR(VLOOKUP($E$8:$E$196,'[1]INF GENERAL'!$V$2:$X$119,3,0),0)</f>
        <v>0</v>
      </c>
      <c r="Q20" s="1496">
        <f>IFERROR(SUMIFS('[1]INF GENERAL'!$P:$P,'[1]INF GENERAL'!$N:$N,Tabla16[[#This Row],[Código]]),0)</f>
        <v>0</v>
      </c>
      <c r="R20" s="1496">
        <f>IFERROR(VLOOKUP($E$8:$E$196,'[1]INF GENERAL'!$R$2:$T$119,3,0),0)</f>
        <v>0</v>
      </c>
      <c r="S20" s="1496">
        <f t="shared" si="8"/>
        <v>0</v>
      </c>
      <c r="T20" s="1496">
        <f t="shared" si="5"/>
        <v>0</v>
      </c>
      <c r="U20" s="1497">
        <f t="shared" si="7"/>
        <v>0</v>
      </c>
      <c r="V20" s="1498" t="str">
        <f t="shared" si="6"/>
        <v>NO CRITICO</v>
      </c>
    </row>
    <row r="21" spans="1:22" hidden="1">
      <c r="A21" s="1488" t="s">
        <v>829</v>
      </c>
      <c r="B21" s="1488" t="s">
        <v>830</v>
      </c>
      <c r="C21" s="1489" t="s">
        <v>831</v>
      </c>
      <c r="D21" s="1489" t="s">
        <v>850</v>
      </c>
      <c r="E21" s="1488" t="s">
        <v>861</v>
      </c>
      <c r="F21" s="1488" t="s">
        <v>862</v>
      </c>
      <c r="G21" s="1503"/>
      <c r="H21" s="1491"/>
      <c r="I21" s="1492">
        <f t="shared" si="0"/>
        <v>0</v>
      </c>
      <c r="J21" s="1493">
        <f t="shared" si="1"/>
        <v>0</v>
      </c>
      <c r="K21" s="1492">
        <f t="shared" si="2"/>
        <v>0</v>
      </c>
      <c r="L21" s="1494">
        <f t="shared" si="3"/>
        <v>0</v>
      </c>
      <c r="M21" s="1495">
        <f>IFERROR(VLOOKUP($E$8:$E$196,'[1]INF GENERAL'!$B$2:$D$135,3,0),0)</f>
        <v>7</v>
      </c>
      <c r="N21" s="1496">
        <f>IFERROR(VLOOKUP($E$8:$E$196,'[1]INF GENERAL'!$F$2:$H$80,3,0),0)</f>
        <v>0</v>
      </c>
      <c r="O21" s="1496">
        <f>IFERROR(SUMIFS('[1]INF GENERAL'!$L:$L,'[1]INF GENERAL'!$J:$J,Tabla16[[#This Row],[Código]]),0)</f>
        <v>0</v>
      </c>
      <c r="P21" s="1500">
        <f>IFERROR(VLOOKUP($E$8:$E$196,'[1]INF GENERAL'!$V$2:$X$119,3,0),0)</f>
        <v>0</v>
      </c>
      <c r="Q21" s="1496">
        <f>IFERROR(SUMIFS('[1]INF GENERAL'!$P:$P,'[1]INF GENERAL'!$N:$N,Tabla16[[#This Row],[Código]]),0)</f>
        <v>0</v>
      </c>
      <c r="R21" s="1496">
        <f>IFERROR(VLOOKUP($E$8:$E$196,'[1]INF GENERAL'!$R$2:$T$119,3,0),0)</f>
        <v>0</v>
      </c>
      <c r="S21" s="1496">
        <f t="shared" si="8"/>
        <v>0</v>
      </c>
      <c r="T21" s="1496">
        <f t="shared" si="5"/>
        <v>0</v>
      </c>
      <c r="U21" s="1497">
        <f t="shared" si="7"/>
        <v>0</v>
      </c>
      <c r="V21" s="1498" t="str">
        <f t="shared" si="6"/>
        <v>NO CRITICO</v>
      </c>
    </row>
    <row r="22" spans="1:22" hidden="1">
      <c r="A22" s="1488" t="s">
        <v>829</v>
      </c>
      <c r="B22" s="1488" t="s">
        <v>830</v>
      </c>
      <c r="C22" s="1489" t="s">
        <v>831</v>
      </c>
      <c r="D22" s="1489" t="s">
        <v>850</v>
      </c>
      <c r="E22" s="1488" t="s">
        <v>863</v>
      </c>
      <c r="F22" s="1488" t="s">
        <v>864</v>
      </c>
      <c r="G22" s="1503"/>
      <c r="H22" s="1491"/>
      <c r="I22" s="1492">
        <f t="shared" si="0"/>
        <v>0</v>
      </c>
      <c r="J22" s="1493">
        <f t="shared" si="1"/>
        <v>0</v>
      </c>
      <c r="K22" s="1492">
        <f t="shared" si="2"/>
        <v>0</v>
      </c>
      <c r="L22" s="1494">
        <f t="shared" si="3"/>
        <v>0</v>
      </c>
      <c r="M22" s="1495">
        <f>IFERROR(VLOOKUP($E$8:$E$196,'[1]INF GENERAL'!$B$2:$D$135,3,0),0)</f>
        <v>0</v>
      </c>
      <c r="N22" s="1496">
        <f>IFERROR(VLOOKUP($E$8:$E$196,'[1]INF GENERAL'!$F$2:$H$80,3,0),0)</f>
        <v>0</v>
      </c>
      <c r="O22" s="1496">
        <f>IFERROR(SUMIFS('[1]INF GENERAL'!$L:$L,'[1]INF GENERAL'!$J:$J,Tabla16[[#This Row],[Código]]),0)</f>
        <v>0</v>
      </c>
      <c r="P22" s="1500">
        <f>IFERROR(VLOOKUP($E$8:$E$196,'[1]INF GENERAL'!$V$2:$X$119,3,0),0)</f>
        <v>0</v>
      </c>
      <c r="Q22" s="1496">
        <f>IFERROR(SUMIFS('[1]INF GENERAL'!$P:$P,'[1]INF GENERAL'!$N:$N,Tabla16[[#This Row],[Código]]),0)</f>
        <v>0</v>
      </c>
      <c r="R22" s="1496">
        <f>IFERROR(VLOOKUP($E$8:$E$196,'[1]INF GENERAL'!$R$2:$T$119,3,0),0)</f>
        <v>0</v>
      </c>
      <c r="S22" s="1496">
        <f t="shared" si="8"/>
        <v>0</v>
      </c>
      <c r="T22" s="1496">
        <f t="shared" si="5"/>
        <v>0</v>
      </c>
      <c r="U22" s="1497">
        <f t="shared" si="7"/>
        <v>0</v>
      </c>
      <c r="V22" s="1498" t="str">
        <f t="shared" si="6"/>
        <v>NO CRITICO</v>
      </c>
    </row>
    <row r="23" spans="1:22" hidden="1">
      <c r="A23" s="1488" t="s">
        <v>829</v>
      </c>
      <c r="B23" s="1488" t="s">
        <v>830</v>
      </c>
      <c r="C23" s="1489" t="s">
        <v>831</v>
      </c>
      <c r="D23" s="1489" t="s">
        <v>850</v>
      </c>
      <c r="E23" s="1488" t="s">
        <v>865</v>
      </c>
      <c r="F23" s="1488" t="s">
        <v>866</v>
      </c>
      <c r="G23" s="1503"/>
      <c r="H23" s="1491"/>
      <c r="I23" s="1492">
        <f t="shared" si="0"/>
        <v>0</v>
      </c>
      <c r="J23" s="1493">
        <f t="shared" si="1"/>
        <v>0</v>
      </c>
      <c r="K23" s="1492">
        <f t="shared" si="2"/>
        <v>0</v>
      </c>
      <c r="L23" s="1494">
        <f t="shared" si="3"/>
        <v>0</v>
      </c>
      <c r="M23" s="1495">
        <f>IFERROR(VLOOKUP($E$8:$E$196,'[1]INF GENERAL'!$B$2:$D$135,3,0),0)</f>
        <v>0</v>
      </c>
      <c r="N23" s="1496">
        <f>IFERROR(VLOOKUP($E$8:$E$196,'[1]INF GENERAL'!$F$2:$H$80,3,0),0)</f>
        <v>0</v>
      </c>
      <c r="O23" s="1496">
        <f>IFERROR(SUMIFS('[1]INF GENERAL'!$L:$L,'[1]INF GENERAL'!$J:$J,Tabla16[[#This Row],[Código]]),0)</f>
        <v>0</v>
      </c>
      <c r="P23" s="1500">
        <f>IFERROR(VLOOKUP($E$8:$E$196,'[1]INF GENERAL'!$V$2:$X$119,3,0),0)</f>
        <v>0</v>
      </c>
      <c r="Q23" s="1496">
        <f>IFERROR(SUMIFS('[1]INF GENERAL'!$P:$P,'[1]INF GENERAL'!$N:$N,Tabla16[[#This Row],[Código]]),0)</f>
        <v>0</v>
      </c>
      <c r="R23" s="1496">
        <f>IFERROR(VLOOKUP($E$8:$E$196,'[1]INF GENERAL'!$R$2:$T$119,3,0),0)</f>
        <v>0</v>
      </c>
      <c r="S23" s="1496">
        <f t="shared" si="8"/>
        <v>0</v>
      </c>
      <c r="T23" s="1496">
        <f t="shared" si="5"/>
        <v>0</v>
      </c>
      <c r="U23" s="1497">
        <f t="shared" si="7"/>
        <v>0</v>
      </c>
      <c r="V23" s="1498" t="str">
        <f t="shared" si="6"/>
        <v>NO CRITICO</v>
      </c>
    </row>
    <row r="24" spans="1:22" hidden="1">
      <c r="A24" s="1488" t="s">
        <v>829</v>
      </c>
      <c r="B24" s="1488" t="s">
        <v>830</v>
      </c>
      <c r="C24" s="1489" t="s">
        <v>867</v>
      </c>
      <c r="D24" s="1489" t="s">
        <v>850</v>
      </c>
      <c r="E24" s="1488" t="s">
        <v>868</v>
      </c>
      <c r="F24" s="1488" t="s">
        <v>869</v>
      </c>
      <c r="G24" s="1503"/>
      <c r="H24" s="1491"/>
      <c r="I24" s="1492">
        <f t="shared" si="0"/>
        <v>0</v>
      </c>
      <c r="J24" s="1493">
        <f t="shared" si="1"/>
        <v>0</v>
      </c>
      <c r="K24" s="1492">
        <f t="shared" si="2"/>
        <v>0</v>
      </c>
      <c r="L24" s="1494">
        <f t="shared" si="3"/>
        <v>0</v>
      </c>
      <c r="M24" s="1495">
        <f>IFERROR(VLOOKUP($E$8:$E$196,'[1]INF GENERAL'!$B$2:$D$135,3,0),0)</f>
        <v>0</v>
      </c>
      <c r="N24" s="1496">
        <f>IFERROR(VLOOKUP($E$8:$E$196,'[1]INF GENERAL'!$F$2:$H$80,3,0),0)</f>
        <v>0</v>
      </c>
      <c r="O24" s="1496">
        <f>IFERROR(SUMIFS('[1]INF GENERAL'!$L:$L,'[1]INF GENERAL'!$J:$J,Tabla16[[#This Row],[Código]]),0)</f>
        <v>0</v>
      </c>
      <c r="P24" s="1500">
        <f>IFERROR(VLOOKUP($E$8:$E$196,'[1]INF GENERAL'!$V$2:$X$119,3,0),0)</f>
        <v>0</v>
      </c>
      <c r="Q24" s="1496">
        <f>IFERROR(SUMIFS('[1]INF GENERAL'!$P:$P,'[1]INF GENERAL'!$N:$N,Tabla16[[#This Row],[Código]]),0)</f>
        <v>0</v>
      </c>
      <c r="R24" s="1496">
        <f>IFERROR(VLOOKUP($E$8:$E$196,'[1]INF GENERAL'!$R$2:$T$119,3,0),0)</f>
        <v>0</v>
      </c>
      <c r="S24" s="1496">
        <f t="shared" si="8"/>
        <v>0</v>
      </c>
      <c r="T24" s="1496">
        <f t="shared" si="5"/>
        <v>0</v>
      </c>
      <c r="U24" s="1497">
        <f t="shared" si="7"/>
        <v>0</v>
      </c>
      <c r="V24" s="1498" t="str">
        <f t="shared" si="6"/>
        <v>NO CRITICO</v>
      </c>
    </row>
    <row r="25" spans="1:22" hidden="1">
      <c r="A25" s="1488" t="s">
        <v>829</v>
      </c>
      <c r="B25" s="1488" t="s">
        <v>830</v>
      </c>
      <c r="C25" s="1489" t="s">
        <v>831</v>
      </c>
      <c r="D25" s="1489" t="s">
        <v>850</v>
      </c>
      <c r="E25" s="1488" t="s">
        <v>870</v>
      </c>
      <c r="F25" s="1488" t="s">
        <v>871</v>
      </c>
      <c r="G25" s="1506"/>
      <c r="H25" s="1507"/>
      <c r="I25" s="1492">
        <f t="shared" si="0"/>
        <v>0</v>
      </c>
      <c r="J25" s="1493">
        <f t="shared" si="1"/>
        <v>0</v>
      </c>
      <c r="K25" s="1492">
        <f t="shared" si="2"/>
        <v>0</v>
      </c>
      <c r="L25" s="1494">
        <f t="shared" si="3"/>
        <v>0</v>
      </c>
      <c r="M25" s="1495">
        <f>IFERROR(VLOOKUP($E$8:$E$196,'[1]INF GENERAL'!$B$2:$D$135,3,0),0)</f>
        <v>0</v>
      </c>
      <c r="N25" s="1496">
        <f>IFERROR(VLOOKUP($E$8:$E$196,'[1]INF GENERAL'!$F$2:$H$80,3,0),0)</f>
        <v>0</v>
      </c>
      <c r="O25" s="1496">
        <f>IFERROR(SUMIFS('[1]INF GENERAL'!$L:$L,'[1]INF GENERAL'!$J:$J,Tabla16[[#This Row],[Código]]),0)</f>
        <v>0</v>
      </c>
      <c r="P25" s="1500">
        <f>IFERROR(VLOOKUP($E$8:$E$196,'[1]INF GENERAL'!$V$2:$X$119,3,0),0)</f>
        <v>0</v>
      </c>
      <c r="Q25" s="1496">
        <f>IFERROR(SUMIFS('[1]INF GENERAL'!$P:$P,'[1]INF GENERAL'!$N:$N,Tabla16[[#This Row],[Código]]),0)</f>
        <v>0</v>
      </c>
      <c r="R25" s="1496">
        <f>IFERROR(VLOOKUP($E$8:$E$196,'[1]INF GENERAL'!$R$2:$T$119,3,0),0)</f>
        <v>0</v>
      </c>
      <c r="S25" s="1496">
        <f t="shared" si="8"/>
        <v>0</v>
      </c>
      <c r="T25" s="1496">
        <f t="shared" si="5"/>
        <v>0</v>
      </c>
      <c r="U25" s="1497">
        <f t="shared" si="7"/>
        <v>0</v>
      </c>
      <c r="V25" s="1498" t="str">
        <f t="shared" si="6"/>
        <v>NO CRITICO</v>
      </c>
    </row>
    <row r="26" spans="1:22" hidden="1">
      <c r="A26" s="1488" t="s">
        <v>829</v>
      </c>
      <c r="B26" s="1488" t="s">
        <v>830</v>
      </c>
      <c r="C26" s="1489" t="s">
        <v>831</v>
      </c>
      <c r="D26" s="1489" t="s">
        <v>850</v>
      </c>
      <c r="E26" s="1488" t="s">
        <v>872</v>
      </c>
      <c r="F26" s="1488" t="s">
        <v>873</v>
      </c>
      <c r="G26" s="1506"/>
      <c r="H26" s="1507"/>
      <c r="I26" s="1492">
        <f t="shared" si="0"/>
        <v>0</v>
      </c>
      <c r="J26" s="1493">
        <f t="shared" si="1"/>
        <v>0</v>
      </c>
      <c r="K26" s="1492">
        <f t="shared" si="2"/>
        <v>0</v>
      </c>
      <c r="L26" s="1494">
        <f t="shared" si="3"/>
        <v>0</v>
      </c>
      <c r="M26" s="1495">
        <f>IFERROR(VLOOKUP($E$8:$E$196,'[1]INF GENERAL'!$B$2:$D$135,3,0),0)</f>
        <v>0</v>
      </c>
      <c r="N26" s="1496">
        <f>IFERROR(VLOOKUP($E$8:$E$196,'[1]INF GENERAL'!$F$2:$H$80,3,0),0)</f>
        <v>0</v>
      </c>
      <c r="O26" s="1496">
        <f>IFERROR(SUMIFS('[1]INF GENERAL'!$L:$L,'[1]INF GENERAL'!$J:$J,Tabla16[[#This Row],[Código]]),0)</f>
        <v>0</v>
      </c>
      <c r="P26" s="1500">
        <f>IFERROR(VLOOKUP($E$8:$E$196,'[1]INF GENERAL'!$V$2:$X$119,3,0),0)</f>
        <v>0</v>
      </c>
      <c r="Q26" s="1496">
        <f>IFERROR(SUMIFS('[1]INF GENERAL'!$P:$P,'[1]INF GENERAL'!$N:$N,Tabla16[[#This Row],[Código]]),0)</f>
        <v>0</v>
      </c>
      <c r="R26" s="1496">
        <f>IFERROR(VLOOKUP($E$8:$E$196,'[1]INF GENERAL'!$R$2:$T$119,3,0),0)</f>
        <v>0</v>
      </c>
      <c r="S26" s="1496">
        <f t="shared" si="8"/>
        <v>0</v>
      </c>
      <c r="T26" s="1496">
        <f t="shared" si="5"/>
        <v>0</v>
      </c>
      <c r="U26" s="1497">
        <f t="shared" si="7"/>
        <v>0</v>
      </c>
      <c r="V26" s="1498" t="str">
        <f t="shared" si="6"/>
        <v>NO CRITICO</v>
      </c>
    </row>
    <row r="27" spans="1:22" hidden="1">
      <c r="A27" s="1488" t="s">
        <v>829</v>
      </c>
      <c r="B27" s="1488" t="s">
        <v>830</v>
      </c>
      <c r="C27" s="1489" t="s">
        <v>831</v>
      </c>
      <c r="D27" s="1489" t="s">
        <v>850</v>
      </c>
      <c r="E27" s="1488" t="s">
        <v>874</v>
      </c>
      <c r="F27" s="1488" t="s">
        <v>875</v>
      </c>
      <c r="G27" s="1506"/>
      <c r="H27" s="1507"/>
      <c r="I27" s="1492">
        <f t="shared" si="0"/>
        <v>0</v>
      </c>
      <c r="J27" s="1493">
        <f t="shared" si="1"/>
        <v>0</v>
      </c>
      <c r="K27" s="1492">
        <f t="shared" si="2"/>
        <v>0</v>
      </c>
      <c r="L27" s="1494">
        <f t="shared" si="3"/>
        <v>0</v>
      </c>
      <c r="M27" s="1495">
        <f>IFERROR(VLOOKUP($E$8:$E$196,'[1]INF GENERAL'!$B$2:$D$135,3,0),0)</f>
        <v>0</v>
      </c>
      <c r="N27" s="1496">
        <f>IFERROR(VLOOKUP($E$8:$E$196,'[1]INF GENERAL'!$F$2:$H$80,3,0),0)</f>
        <v>0</v>
      </c>
      <c r="O27" s="1496">
        <f>IFERROR(SUMIFS('[1]INF GENERAL'!$L:$L,'[1]INF GENERAL'!$J:$J,Tabla16[[#This Row],[Código]]),0)</f>
        <v>0</v>
      </c>
      <c r="P27" s="1500">
        <f>IFERROR(VLOOKUP($E$8:$E$196,'[1]INF GENERAL'!$V$2:$X$119,3,0),0)</f>
        <v>0</v>
      </c>
      <c r="Q27" s="1496">
        <f>IFERROR(SUMIFS('[1]INF GENERAL'!$P:$P,'[1]INF GENERAL'!$N:$N,Tabla16[[#This Row],[Código]]),0)</f>
        <v>0</v>
      </c>
      <c r="R27" s="1496">
        <f>IFERROR(VLOOKUP($E$8:$E$196,'[1]INF GENERAL'!$R$2:$T$119,3,0),0)</f>
        <v>0</v>
      </c>
      <c r="S27" s="1496">
        <f t="shared" si="8"/>
        <v>0</v>
      </c>
      <c r="T27" s="1496">
        <f t="shared" si="5"/>
        <v>0</v>
      </c>
      <c r="U27" s="1497">
        <f t="shared" si="7"/>
        <v>0</v>
      </c>
      <c r="V27" s="1498" t="str">
        <f t="shared" si="6"/>
        <v>NO CRITICO</v>
      </c>
    </row>
    <row r="28" spans="1:22" hidden="1">
      <c r="A28" s="1488" t="s">
        <v>829</v>
      </c>
      <c r="B28" s="1488" t="s">
        <v>830</v>
      </c>
      <c r="C28" s="1489" t="s">
        <v>831</v>
      </c>
      <c r="D28" s="1489" t="s">
        <v>850</v>
      </c>
      <c r="E28" s="1488" t="s">
        <v>876</v>
      </c>
      <c r="F28" s="1488" t="s">
        <v>877</v>
      </c>
      <c r="G28" s="1506"/>
      <c r="H28" s="1507"/>
      <c r="I28" s="1492">
        <f t="shared" si="0"/>
        <v>0</v>
      </c>
      <c r="J28" s="1493">
        <f t="shared" si="1"/>
        <v>0</v>
      </c>
      <c r="K28" s="1492">
        <f t="shared" si="2"/>
        <v>0</v>
      </c>
      <c r="L28" s="1494">
        <f t="shared" si="3"/>
        <v>0</v>
      </c>
      <c r="M28" s="1495">
        <f>IFERROR(VLOOKUP($E$8:$E$196,'[1]INF GENERAL'!$B$2:$D$135,3,0),0)</f>
        <v>0</v>
      </c>
      <c r="N28" s="1496">
        <f>IFERROR(VLOOKUP($E$8:$E$196,'[1]INF GENERAL'!$F$2:$H$80,3,0),0)</f>
        <v>0</v>
      </c>
      <c r="O28" s="1496">
        <f>IFERROR(SUMIFS('[1]INF GENERAL'!$L:$L,'[1]INF GENERAL'!$J:$J,Tabla16[[#This Row],[Código]]),0)</f>
        <v>0</v>
      </c>
      <c r="P28" s="1500">
        <f>IFERROR(VLOOKUP($E$8:$E$196,'[1]INF GENERAL'!$V$2:$X$119,3,0),0)</f>
        <v>0</v>
      </c>
      <c r="Q28" s="1496">
        <f>IFERROR(SUMIFS('[1]INF GENERAL'!$P:$P,'[1]INF GENERAL'!$N:$N,Tabla16[[#This Row],[Código]]),0)</f>
        <v>0</v>
      </c>
      <c r="R28" s="1496">
        <f>IFERROR(VLOOKUP($E$8:$E$196,'[1]INF GENERAL'!$R$2:$T$119,3,0),0)</f>
        <v>0</v>
      </c>
      <c r="S28" s="1496">
        <f t="shared" si="8"/>
        <v>0</v>
      </c>
      <c r="T28" s="1496">
        <f t="shared" si="5"/>
        <v>0</v>
      </c>
      <c r="U28" s="1497">
        <f t="shared" si="7"/>
        <v>0</v>
      </c>
      <c r="V28" s="1498" t="str">
        <f t="shared" si="6"/>
        <v>NO CRITICO</v>
      </c>
    </row>
    <row r="29" spans="1:22" hidden="1">
      <c r="A29" s="1488" t="s">
        <v>829</v>
      </c>
      <c r="B29" s="1488" t="s">
        <v>830</v>
      </c>
      <c r="C29" s="1489" t="s">
        <v>831</v>
      </c>
      <c r="D29" s="1489" t="s">
        <v>878</v>
      </c>
      <c r="E29" s="1488" t="s">
        <v>879</v>
      </c>
      <c r="F29" s="1488" t="s">
        <v>880</v>
      </c>
      <c r="G29" s="1506"/>
      <c r="H29" s="1507"/>
      <c r="I29" s="1492">
        <f t="shared" si="0"/>
        <v>0</v>
      </c>
      <c r="J29" s="1493">
        <f t="shared" si="1"/>
        <v>0</v>
      </c>
      <c r="K29" s="1492">
        <f t="shared" si="2"/>
        <v>0</v>
      </c>
      <c r="L29" s="1494">
        <f t="shared" si="3"/>
        <v>0</v>
      </c>
      <c r="M29" s="1495">
        <f>IFERROR(VLOOKUP($E$8:$E$196,'[1]INF GENERAL'!$B$2:$D$135,3,0),0)</f>
        <v>0</v>
      </c>
      <c r="N29" s="1496">
        <f>IFERROR(VLOOKUP($E$8:$E$196,'[1]INF GENERAL'!$F$2:$H$80,3,0),0)</f>
        <v>0</v>
      </c>
      <c r="O29" s="1496">
        <f>IFERROR(SUMIFS('[1]INF GENERAL'!$L:$L,'[1]INF GENERAL'!$J:$J,Tabla16[[#This Row],[Código]]),0)</f>
        <v>0</v>
      </c>
      <c r="P29" s="1500">
        <f>IFERROR(VLOOKUP($E$8:$E$196,'[1]INF GENERAL'!$V$2:$X$119,3,0),0)</f>
        <v>0</v>
      </c>
      <c r="Q29" s="1496">
        <f>IFERROR(SUMIFS('[1]INF GENERAL'!$P:$P,'[1]INF GENERAL'!$N:$N,Tabla16[[#This Row],[Código]]),0)</f>
        <v>0</v>
      </c>
      <c r="R29" s="1496">
        <f>IFERROR(VLOOKUP($E$8:$E$196,'[1]INF GENERAL'!$R$2:$T$119,3,0),0)</f>
        <v>0</v>
      </c>
      <c r="S29" s="1496">
        <f t="shared" si="8"/>
        <v>0</v>
      </c>
      <c r="T29" s="1496">
        <f t="shared" si="5"/>
        <v>0</v>
      </c>
      <c r="U29" s="1497">
        <f t="shared" si="7"/>
        <v>0</v>
      </c>
      <c r="V29" s="1498" t="str">
        <f t="shared" si="6"/>
        <v>NO CRITICO</v>
      </c>
    </row>
    <row r="30" spans="1:22" hidden="1">
      <c r="A30" s="1488" t="s">
        <v>829</v>
      </c>
      <c r="B30" s="1488" t="s">
        <v>830</v>
      </c>
      <c r="C30" s="1489" t="s">
        <v>831</v>
      </c>
      <c r="D30" s="1489" t="s">
        <v>878</v>
      </c>
      <c r="E30" s="1488" t="s">
        <v>881</v>
      </c>
      <c r="F30" s="1488" t="s">
        <v>882</v>
      </c>
      <c r="G30" s="1506"/>
      <c r="H30" s="1507"/>
      <c r="I30" s="1492">
        <f t="shared" si="0"/>
        <v>0</v>
      </c>
      <c r="J30" s="1493">
        <f t="shared" si="1"/>
        <v>0</v>
      </c>
      <c r="K30" s="1492">
        <f t="shared" si="2"/>
        <v>0</v>
      </c>
      <c r="L30" s="1494">
        <f t="shared" si="3"/>
        <v>0</v>
      </c>
      <c r="M30" s="1495">
        <f>IFERROR(VLOOKUP($E$8:$E$196,'[1]INF GENERAL'!$B$2:$D$135,3,0),0)</f>
        <v>0</v>
      </c>
      <c r="N30" s="1496">
        <f>IFERROR(VLOOKUP($E$8:$E$196,'[1]INF GENERAL'!$F$2:$H$80,3,0),0)</f>
        <v>0</v>
      </c>
      <c r="O30" s="1496">
        <f>IFERROR(SUMIFS('[1]INF GENERAL'!$L:$L,'[1]INF GENERAL'!$J:$J,Tabla16[[#This Row],[Código]]),0)</f>
        <v>0</v>
      </c>
      <c r="P30" s="1500">
        <f>IFERROR(VLOOKUP($E$8:$E$196,'[1]INF GENERAL'!$V$2:$X$119,3,0),0)</f>
        <v>0</v>
      </c>
      <c r="Q30" s="1496">
        <f>IFERROR(SUMIFS('[1]INF GENERAL'!$P:$P,'[1]INF GENERAL'!$N:$N,Tabla16[[#This Row],[Código]]),0)</f>
        <v>0</v>
      </c>
      <c r="R30" s="1496">
        <f>IFERROR(VLOOKUP($E$8:$E$196,'[1]INF GENERAL'!$R$2:$T$119,3,0),0)</f>
        <v>0</v>
      </c>
      <c r="S30" s="1496">
        <f t="shared" si="8"/>
        <v>0</v>
      </c>
      <c r="T30" s="1496">
        <f t="shared" si="5"/>
        <v>0</v>
      </c>
      <c r="U30" s="1497">
        <f t="shared" si="7"/>
        <v>0</v>
      </c>
      <c r="V30" s="1498" t="str">
        <f t="shared" si="6"/>
        <v>NO CRITICO</v>
      </c>
    </row>
    <row r="31" spans="1:22" hidden="1">
      <c r="A31" s="1488" t="s">
        <v>829</v>
      </c>
      <c r="B31" s="1488" t="s">
        <v>830</v>
      </c>
      <c r="C31" s="1489" t="s">
        <v>831</v>
      </c>
      <c r="D31" s="1489" t="s">
        <v>878</v>
      </c>
      <c r="E31" s="1488" t="s">
        <v>883</v>
      </c>
      <c r="F31" s="1488" t="s">
        <v>884</v>
      </c>
      <c r="G31" s="1506"/>
      <c r="H31" s="1507"/>
      <c r="I31" s="1492">
        <f t="shared" si="0"/>
        <v>0</v>
      </c>
      <c r="J31" s="1493">
        <f t="shared" si="1"/>
        <v>0</v>
      </c>
      <c r="K31" s="1492">
        <f t="shared" si="2"/>
        <v>0</v>
      </c>
      <c r="L31" s="1494">
        <f t="shared" si="3"/>
        <v>0</v>
      </c>
      <c r="M31" s="1495">
        <f>IFERROR(VLOOKUP($E$8:$E$196,'[1]INF GENERAL'!$B$2:$D$135,3,0),0)</f>
        <v>0</v>
      </c>
      <c r="N31" s="1496">
        <f>IFERROR(VLOOKUP($E$8:$E$196,'[1]INF GENERAL'!$F$2:$H$80,3,0),0)</f>
        <v>0</v>
      </c>
      <c r="O31" s="1496">
        <f>IFERROR(SUMIFS('[1]INF GENERAL'!$L:$L,'[1]INF GENERAL'!$J:$J,Tabla16[[#This Row],[Código]]),0)</f>
        <v>0</v>
      </c>
      <c r="P31" s="1500">
        <f>IFERROR(VLOOKUP($E$8:$E$196,'[1]INF GENERAL'!$V$2:$X$119,3,0),0)</f>
        <v>0</v>
      </c>
      <c r="Q31" s="1496">
        <f>IFERROR(SUMIFS('[1]INF GENERAL'!$P:$P,'[1]INF GENERAL'!$N:$N,Tabla16[[#This Row],[Código]]),0)</f>
        <v>0</v>
      </c>
      <c r="R31" s="1496">
        <f>IFERROR(VLOOKUP($E$8:$E$196,'[1]INF GENERAL'!$R$2:$T$119,3,0),0)</f>
        <v>0</v>
      </c>
      <c r="S31" s="1496">
        <f t="shared" si="8"/>
        <v>0</v>
      </c>
      <c r="T31" s="1496">
        <f t="shared" si="5"/>
        <v>0</v>
      </c>
      <c r="U31" s="1497">
        <f t="shared" si="7"/>
        <v>0</v>
      </c>
      <c r="V31" s="1498" t="str">
        <f t="shared" si="6"/>
        <v>NO CRITICO</v>
      </c>
    </row>
    <row r="32" spans="1:22" hidden="1">
      <c r="A32" s="1488" t="s">
        <v>829</v>
      </c>
      <c r="B32" s="1488" t="s">
        <v>830</v>
      </c>
      <c r="C32" s="1489" t="s">
        <v>831</v>
      </c>
      <c r="D32" s="1489" t="s">
        <v>878</v>
      </c>
      <c r="E32" s="1488" t="s">
        <v>885</v>
      </c>
      <c r="F32" s="1488" t="s">
        <v>886</v>
      </c>
      <c r="G32" s="1506"/>
      <c r="H32" s="1507"/>
      <c r="I32" s="1492">
        <f t="shared" si="0"/>
        <v>0</v>
      </c>
      <c r="J32" s="1493">
        <f t="shared" si="1"/>
        <v>0</v>
      </c>
      <c r="K32" s="1492">
        <f t="shared" si="2"/>
        <v>0</v>
      </c>
      <c r="L32" s="1494">
        <f t="shared" si="3"/>
        <v>0</v>
      </c>
      <c r="M32" s="1495">
        <f>IFERROR(VLOOKUP($E$8:$E$196,'[1]INF GENERAL'!$B$2:$D$135,3,0),0)</f>
        <v>0</v>
      </c>
      <c r="N32" s="1496">
        <f>IFERROR(VLOOKUP($E$8:$E$196,'[1]INF GENERAL'!$F$2:$H$80,3,0),0)</f>
        <v>0</v>
      </c>
      <c r="O32" s="1496">
        <f>IFERROR(SUMIFS('[1]INF GENERAL'!$L:$L,'[1]INF GENERAL'!$J:$J,Tabla16[[#This Row],[Código]]),0)</f>
        <v>0</v>
      </c>
      <c r="P32" s="1500">
        <f>IFERROR(VLOOKUP($E$8:$E$196,'[1]INF GENERAL'!$V$2:$X$119,3,0),0)</f>
        <v>0</v>
      </c>
      <c r="Q32" s="1496">
        <f>IFERROR(SUMIFS('[1]INF GENERAL'!$P:$P,'[1]INF GENERAL'!$N:$N,Tabla16[[#This Row],[Código]]),0)</f>
        <v>0</v>
      </c>
      <c r="R32" s="1496">
        <f>IFERROR(VLOOKUP($E$8:$E$196,'[1]INF GENERAL'!$R$2:$T$119,3,0),0)</f>
        <v>0</v>
      </c>
      <c r="S32" s="1496">
        <f t="shared" si="8"/>
        <v>0</v>
      </c>
      <c r="T32" s="1496">
        <f t="shared" si="5"/>
        <v>0</v>
      </c>
      <c r="U32" s="1497">
        <f t="shared" si="7"/>
        <v>0</v>
      </c>
      <c r="V32" s="1498" t="str">
        <f t="shared" si="6"/>
        <v>NO CRITICO</v>
      </c>
    </row>
    <row r="33" spans="1:26" hidden="1">
      <c r="A33" s="1488" t="s">
        <v>829</v>
      </c>
      <c r="B33" s="1488" t="s">
        <v>830</v>
      </c>
      <c r="C33" s="1489" t="s">
        <v>831</v>
      </c>
      <c r="D33" s="1489" t="s">
        <v>878</v>
      </c>
      <c r="E33" s="1488" t="s">
        <v>887</v>
      </c>
      <c r="F33" s="1488" t="s">
        <v>888</v>
      </c>
      <c r="G33" s="1506"/>
      <c r="H33" s="1507"/>
      <c r="I33" s="1492">
        <f t="shared" si="0"/>
        <v>0</v>
      </c>
      <c r="J33" s="1493">
        <f t="shared" si="1"/>
        <v>0</v>
      </c>
      <c r="K33" s="1492">
        <f t="shared" si="2"/>
        <v>0</v>
      </c>
      <c r="L33" s="1494">
        <f t="shared" si="3"/>
        <v>0</v>
      </c>
      <c r="M33" s="1495">
        <f>IFERROR(VLOOKUP($E$8:$E$196,'[1]INF GENERAL'!$B$2:$D$135,3,0),0)</f>
        <v>0</v>
      </c>
      <c r="N33" s="1496">
        <f>IFERROR(VLOOKUP($E$8:$E$196,'[1]INF GENERAL'!$F$2:$H$80,3,0),0)</f>
        <v>0</v>
      </c>
      <c r="O33" s="1496">
        <f>IFERROR(SUMIFS('[1]INF GENERAL'!$L:$L,'[1]INF GENERAL'!$J:$J,Tabla16[[#This Row],[Código]]),0)</f>
        <v>0</v>
      </c>
      <c r="P33" s="1500">
        <f>IFERROR(VLOOKUP($E$8:$E$196,'[1]INF GENERAL'!$V$2:$X$119,3,0),0)</f>
        <v>0</v>
      </c>
      <c r="Q33" s="1496">
        <f>IFERROR(SUMIFS('[1]INF GENERAL'!$P:$P,'[1]INF GENERAL'!$N:$N,Tabla16[[#This Row],[Código]]),0)</f>
        <v>0</v>
      </c>
      <c r="R33" s="1496">
        <f>IFERROR(VLOOKUP($E$8:$E$196,'[1]INF GENERAL'!$R$2:$T$119,3,0),0)</f>
        <v>0</v>
      </c>
      <c r="S33" s="1496">
        <f t="shared" si="8"/>
        <v>0</v>
      </c>
      <c r="T33" s="1496">
        <f t="shared" si="5"/>
        <v>0</v>
      </c>
      <c r="U33" s="1497">
        <f t="shared" si="7"/>
        <v>0</v>
      </c>
      <c r="V33" s="1498" t="str">
        <f t="shared" si="6"/>
        <v>NO CRITICO</v>
      </c>
    </row>
    <row r="34" spans="1:26" hidden="1">
      <c r="A34" s="1488" t="s">
        <v>829</v>
      </c>
      <c r="B34" s="1488" t="s">
        <v>830</v>
      </c>
      <c r="C34" s="1489" t="s">
        <v>831</v>
      </c>
      <c r="D34" s="1489" t="s">
        <v>878</v>
      </c>
      <c r="E34" s="1488" t="s">
        <v>889</v>
      </c>
      <c r="F34" s="1488" t="s">
        <v>890</v>
      </c>
      <c r="G34" s="1506"/>
      <c r="H34" s="1507"/>
      <c r="I34" s="1492">
        <f t="shared" si="0"/>
        <v>0</v>
      </c>
      <c r="J34" s="1493">
        <f t="shared" si="1"/>
        <v>0</v>
      </c>
      <c r="K34" s="1492">
        <f t="shared" si="2"/>
        <v>0</v>
      </c>
      <c r="L34" s="1494">
        <f t="shared" si="3"/>
        <v>0</v>
      </c>
      <c r="M34" s="1495">
        <f>IFERROR(VLOOKUP($E$8:$E$196,'[1]INF GENERAL'!$B$2:$D$135,3,0),0)</f>
        <v>0</v>
      </c>
      <c r="N34" s="1496">
        <f>IFERROR(VLOOKUP($E$8:$E$196,'[1]INF GENERAL'!$F$2:$H$80,3,0),0)</f>
        <v>0</v>
      </c>
      <c r="O34" s="1496">
        <f>IFERROR(SUMIFS('[1]INF GENERAL'!$L:$L,'[1]INF GENERAL'!$J:$J,Tabla16[[#This Row],[Código]]),0)</f>
        <v>0</v>
      </c>
      <c r="P34" s="1500">
        <f>IFERROR(VLOOKUP($E$8:$E$196,'[1]INF GENERAL'!$V$2:$X$119,3,0),0)</f>
        <v>0</v>
      </c>
      <c r="Q34" s="1496">
        <f>IFERROR(SUMIFS('[1]INF GENERAL'!$P:$P,'[1]INF GENERAL'!$N:$N,Tabla16[[#This Row],[Código]]),0)</f>
        <v>0</v>
      </c>
      <c r="R34" s="1496">
        <f>IFERROR(VLOOKUP($E$8:$E$196,'[1]INF GENERAL'!$R$2:$T$119,3,0),0)</f>
        <v>0</v>
      </c>
      <c r="S34" s="1496">
        <f t="shared" si="8"/>
        <v>0</v>
      </c>
      <c r="T34" s="1496">
        <f t="shared" si="5"/>
        <v>0</v>
      </c>
      <c r="U34" s="1497">
        <f t="shared" si="7"/>
        <v>0</v>
      </c>
      <c r="V34" s="1498" t="str">
        <f t="shared" si="6"/>
        <v>NO CRITICO</v>
      </c>
    </row>
    <row r="35" spans="1:26" hidden="1">
      <c r="A35" s="1488" t="s">
        <v>829</v>
      </c>
      <c r="B35" s="1488" t="s">
        <v>830</v>
      </c>
      <c r="C35" s="1489" t="s">
        <v>831</v>
      </c>
      <c r="D35" s="1489" t="s">
        <v>878</v>
      </c>
      <c r="E35" s="1488" t="s">
        <v>891</v>
      </c>
      <c r="F35" s="1488" t="s">
        <v>892</v>
      </c>
      <c r="G35" s="1506"/>
      <c r="H35" s="1507"/>
      <c r="I35" s="1492">
        <f t="shared" si="0"/>
        <v>0</v>
      </c>
      <c r="J35" s="1493">
        <f t="shared" si="1"/>
        <v>0</v>
      </c>
      <c r="K35" s="1492">
        <f t="shared" si="2"/>
        <v>0</v>
      </c>
      <c r="L35" s="1494">
        <f t="shared" si="3"/>
        <v>0</v>
      </c>
      <c r="M35" s="1495">
        <f>IFERROR(VLOOKUP($E$8:$E$196,'[1]INF GENERAL'!$B$2:$D$135,3,0),0)</f>
        <v>0</v>
      </c>
      <c r="N35" s="1496">
        <f>IFERROR(VLOOKUP($E$8:$E$196,'[1]INF GENERAL'!$F$2:$H$80,3,0),0)</f>
        <v>0</v>
      </c>
      <c r="O35" s="1496">
        <f>IFERROR(SUMIFS('[1]INF GENERAL'!$L:$L,'[1]INF GENERAL'!$J:$J,Tabla16[[#This Row],[Código]]),0)</f>
        <v>0</v>
      </c>
      <c r="P35" s="1500">
        <f>IFERROR(VLOOKUP($E$8:$E$196,'[1]INF GENERAL'!$V$2:$X$119,3,0),0)</f>
        <v>0</v>
      </c>
      <c r="Q35" s="1496">
        <f>IFERROR(SUMIFS('[1]INF GENERAL'!$P:$P,'[1]INF GENERAL'!$N:$N,Tabla16[[#This Row],[Código]]),0)</f>
        <v>0</v>
      </c>
      <c r="R35" s="1496">
        <f>IFERROR(VLOOKUP($E$8:$E$196,'[1]INF GENERAL'!$R$2:$T$119,3,0),0)</f>
        <v>0</v>
      </c>
      <c r="S35" s="1496">
        <f t="shared" si="8"/>
        <v>0</v>
      </c>
      <c r="T35" s="1496">
        <f t="shared" si="5"/>
        <v>0</v>
      </c>
      <c r="U35" s="1497">
        <f t="shared" si="7"/>
        <v>0</v>
      </c>
      <c r="V35" s="1498" t="str">
        <f t="shared" si="6"/>
        <v>NO CRITICO</v>
      </c>
    </row>
    <row r="36" spans="1:26">
      <c r="A36" s="1488" t="s">
        <v>893</v>
      </c>
      <c r="B36" s="1488" t="s">
        <v>830</v>
      </c>
      <c r="C36" s="1489" t="s">
        <v>831</v>
      </c>
      <c r="D36" s="1489" t="s">
        <v>894</v>
      </c>
      <c r="E36" s="1488" t="s">
        <v>895</v>
      </c>
      <c r="F36" s="1488" t="s">
        <v>896</v>
      </c>
      <c r="G36" s="1508">
        <v>12167</v>
      </c>
      <c r="H36" s="1509"/>
      <c r="I36" s="1492">
        <f t="shared" si="0"/>
        <v>608.35</v>
      </c>
      <c r="J36" s="1493">
        <f t="shared" si="1"/>
        <v>4258.45</v>
      </c>
      <c r="K36" s="1492">
        <f t="shared" si="2"/>
        <v>9125.25</v>
      </c>
      <c r="L36" s="1494">
        <f t="shared" si="3"/>
        <v>12167</v>
      </c>
      <c r="M36" s="1505">
        <f>IFERROR(VLOOKUP($E$8:$E$196,'[1]INF GENERAL'!$B$2:$D$135,3,0),0)</f>
        <v>5136</v>
      </c>
      <c r="N36" s="1496">
        <f>IFERROR(VLOOKUP($E$8:$E$196,'[1]INF GENERAL'!$F$2:$H$80,3,0),0)</f>
        <v>12849</v>
      </c>
      <c r="O36" s="1496">
        <f>IFERROR(SUMIFS('[1]INF GENERAL'!$L:$L,'[1]INF GENERAL'!$J:$J,Tabla16[[#This Row],[Código]]),0)</f>
        <v>0</v>
      </c>
      <c r="P36" s="1496">
        <f>IFERROR(VLOOKUP($E$8:$E$196,'[1]INF GENERAL'!$V$2:$X$119,3,0),0)</f>
        <v>502</v>
      </c>
      <c r="Q36" s="1496">
        <f>IFERROR(SUMIFS('[1]INF GENERAL'!$P:$P,'[1]INF GENERAL'!$N:$N,Tabla16[[#This Row],[Código]]),0)</f>
        <v>0</v>
      </c>
      <c r="R36" s="1496">
        <f>IFERROR(VLOOKUP($E$8:$E$196,'[1]INF GENERAL'!$R$2:$T$119,3,0),0)</f>
        <v>1535.7529</v>
      </c>
      <c r="S36" s="1496">
        <f t="shared" ref="S36:S46" si="9">IF(G36=0,0,(G36-(O36+P36)))</f>
        <v>11665</v>
      </c>
      <c r="T36" s="1496">
        <f t="shared" si="5"/>
        <v>12167</v>
      </c>
      <c r="U36" s="1497">
        <f t="shared" si="7"/>
        <v>0</v>
      </c>
      <c r="V36" s="1498" t="str">
        <f t="shared" ref="V36:V49" si="10">IF((Q36)&lt;J36,"INV&lt;7",IF((Q36)&lt;L36,"7≤INV≤20","INV&gt;20"))</f>
        <v>INV&lt;7</v>
      </c>
      <c r="W36" s="1510"/>
      <c r="X36" s="1510"/>
      <c r="Y36" s="1510"/>
      <c r="Z36" s="1511"/>
    </row>
    <row r="37" spans="1:26">
      <c r="A37" s="1488" t="s">
        <v>893</v>
      </c>
      <c r="B37" s="1488" t="s">
        <v>830</v>
      </c>
      <c r="C37" s="1489" t="s">
        <v>831</v>
      </c>
      <c r="D37" s="1489" t="s">
        <v>894</v>
      </c>
      <c r="E37" s="1488" t="s">
        <v>897</v>
      </c>
      <c r="F37" s="1488" t="s">
        <v>898</v>
      </c>
      <c r="G37" s="1508">
        <v>29933</v>
      </c>
      <c r="H37" s="1509"/>
      <c r="I37" s="1492">
        <f t="shared" si="0"/>
        <v>1496.65</v>
      </c>
      <c r="J37" s="1493">
        <f t="shared" si="1"/>
        <v>10476.550000000001</v>
      </c>
      <c r="K37" s="1492">
        <f t="shared" si="2"/>
        <v>22449.75</v>
      </c>
      <c r="L37" s="1494">
        <f t="shared" si="3"/>
        <v>29933</v>
      </c>
      <c r="M37" s="1505">
        <f>IFERROR(VLOOKUP($E$8:$E$196,'[1]INF GENERAL'!$B$2:$D$135,3,0),0)</f>
        <v>19944</v>
      </c>
      <c r="N37" s="1496">
        <f>IFERROR(VLOOKUP($E$8:$E$196,'[1]INF GENERAL'!$F$2:$H$80,3,0),0)</f>
        <v>12709</v>
      </c>
      <c r="O37" s="1496">
        <f>IFERROR(SUMIFS('[1]INF GENERAL'!$L:$L,'[1]INF GENERAL'!$J:$J,Tabla16[[#This Row],[Código]]),0)</f>
        <v>0</v>
      </c>
      <c r="P37" s="1496">
        <f>IFERROR(VLOOKUP($E$8:$E$196,'[1]INF GENERAL'!$V$2:$X$119,3,0),0)</f>
        <v>1074.4167</v>
      </c>
      <c r="Q37" s="1496">
        <f>IFERROR(SUMIFS('[1]INF GENERAL'!$P:$P,'[1]INF GENERAL'!$N:$N,Tabla16[[#This Row],[Código]]),0)</f>
        <v>0</v>
      </c>
      <c r="R37" s="1496">
        <f>IFERROR(VLOOKUP($E$8:$E$196,'[1]INF GENERAL'!$R$2:$T$119,3,0),0)</f>
        <v>1958.7534000000001</v>
      </c>
      <c r="S37" s="1496">
        <f t="shared" si="9"/>
        <v>28858.583299999998</v>
      </c>
      <c r="T37" s="1496">
        <f t="shared" si="5"/>
        <v>29933</v>
      </c>
      <c r="U37" s="1497">
        <f t="shared" si="7"/>
        <v>0</v>
      </c>
      <c r="V37" s="1498" t="str">
        <f t="shared" si="10"/>
        <v>INV&lt;7</v>
      </c>
      <c r="W37" s="1510"/>
      <c r="Z37" s="1511"/>
    </row>
    <row r="38" spans="1:26">
      <c r="A38" s="1488" t="s">
        <v>893</v>
      </c>
      <c r="B38" s="1488" t="s">
        <v>830</v>
      </c>
      <c r="C38" s="1489" t="s">
        <v>831</v>
      </c>
      <c r="D38" s="1489" t="s">
        <v>894</v>
      </c>
      <c r="E38" s="1488" t="s">
        <v>899</v>
      </c>
      <c r="F38" s="1488" t="s">
        <v>900</v>
      </c>
      <c r="G38" s="1508">
        <v>23183</v>
      </c>
      <c r="H38" s="1509"/>
      <c r="I38" s="1492">
        <f t="shared" si="0"/>
        <v>1159.1500000000001</v>
      </c>
      <c r="J38" s="1493">
        <f t="shared" si="1"/>
        <v>8114.0500000000011</v>
      </c>
      <c r="K38" s="1492">
        <f t="shared" si="2"/>
        <v>17387.25</v>
      </c>
      <c r="L38" s="1494">
        <f t="shared" si="3"/>
        <v>23183</v>
      </c>
      <c r="M38" s="1505">
        <f>IFERROR(VLOOKUP($E$8:$E$196,'[1]INF GENERAL'!$B$2:$D$135,3,0),0)</f>
        <v>20457</v>
      </c>
      <c r="N38" s="1496">
        <f>IFERROR(VLOOKUP($E$8:$E$196,'[1]INF GENERAL'!$F$2:$H$80,3,0),0)</f>
        <v>16643</v>
      </c>
      <c r="O38" s="1496">
        <f>IFERROR(SUMIFS('[1]INF GENERAL'!$L:$L,'[1]INF GENERAL'!$J:$J,Tabla16[[#This Row],[Código]]),0)</f>
        <v>0</v>
      </c>
      <c r="P38" s="1496">
        <f>IFERROR(VLOOKUP($E$8:$E$196,'[1]INF GENERAL'!$V$2:$X$119,3,0),0)</f>
        <v>812.66660000000002</v>
      </c>
      <c r="Q38" s="1496">
        <f>IFERROR(SUMIFS('[1]INF GENERAL'!$P:$P,'[1]INF GENERAL'!$N:$N,Tabla16[[#This Row],[Código]]),0)</f>
        <v>0</v>
      </c>
      <c r="R38" s="1496">
        <f>IFERROR(VLOOKUP($E$8:$E$196,'[1]INF GENERAL'!$R$2:$T$119,3,0),0)</f>
        <v>2431.0030999999999</v>
      </c>
      <c r="S38" s="1496">
        <f t="shared" si="9"/>
        <v>22370.3334</v>
      </c>
      <c r="T38" s="1496">
        <f t="shared" si="5"/>
        <v>23183</v>
      </c>
      <c r="U38" s="1497">
        <f t="shared" si="7"/>
        <v>0</v>
      </c>
      <c r="V38" s="1498" t="str">
        <f t="shared" si="10"/>
        <v>INV&lt;7</v>
      </c>
      <c r="X38" s="1510"/>
      <c r="Y38" s="1510"/>
      <c r="Z38" s="1511"/>
    </row>
    <row r="39" spans="1:26">
      <c r="A39" s="1488" t="s">
        <v>893</v>
      </c>
      <c r="B39" s="1488" t="s">
        <v>830</v>
      </c>
      <c r="C39" s="1489" t="s">
        <v>831</v>
      </c>
      <c r="D39" s="1489" t="s">
        <v>894</v>
      </c>
      <c r="E39" s="1488" t="s">
        <v>901</v>
      </c>
      <c r="F39" s="1488" t="s">
        <v>902</v>
      </c>
      <c r="G39" s="1508">
        <v>0</v>
      </c>
      <c r="H39" s="1509"/>
      <c r="I39" s="1492">
        <f t="shared" si="0"/>
        <v>0</v>
      </c>
      <c r="J39" s="1493">
        <f t="shared" si="1"/>
        <v>0</v>
      </c>
      <c r="K39" s="1492">
        <f t="shared" si="2"/>
        <v>0</v>
      </c>
      <c r="L39" s="1494">
        <f t="shared" si="3"/>
        <v>0</v>
      </c>
      <c r="M39" s="1505">
        <f>IFERROR(VLOOKUP($E$8:$E$196,'[1]INF GENERAL'!$B$2:$D$135,3,0),0)</f>
        <v>1045</v>
      </c>
      <c r="N39" s="1496">
        <f>IFERROR(VLOOKUP($E$8:$E$196,'[1]INF GENERAL'!$F$2:$H$80,3,0),0)</f>
        <v>0</v>
      </c>
      <c r="O39" s="1496">
        <f>IFERROR(SUMIFS('[1]INF GENERAL'!$L:$L,'[1]INF GENERAL'!$J:$J,Tabla16[[#This Row],[Código]]),0)</f>
        <v>0</v>
      </c>
      <c r="P39" s="1496">
        <f>IFERROR(VLOOKUP($E$8:$E$196,'[1]INF GENERAL'!$V$2:$X$119,3,0),0)</f>
        <v>388.16669999999999</v>
      </c>
      <c r="Q39" s="1496">
        <f>IFERROR(SUMIFS('[1]INF GENERAL'!$P:$P,'[1]INF GENERAL'!$N:$N,Tabla16[[#This Row],[Código]]),0)</f>
        <v>0</v>
      </c>
      <c r="R39" s="1496">
        <f>IFERROR(VLOOKUP($E$8:$E$196,'[1]INF GENERAL'!$R$2:$T$119,3,0),0)</f>
        <v>854.25030000000004</v>
      </c>
      <c r="S39" s="1496">
        <f t="shared" si="9"/>
        <v>0</v>
      </c>
      <c r="T39" s="1496">
        <f t="shared" si="5"/>
        <v>0</v>
      </c>
      <c r="U39" s="1497">
        <f t="shared" si="7"/>
        <v>0</v>
      </c>
      <c r="V39" s="1498" t="str">
        <f t="shared" si="10"/>
        <v>INV&gt;20</v>
      </c>
    </row>
    <row r="40" spans="1:26">
      <c r="A40" s="1488" t="s">
        <v>893</v>
      </c>
      <c r="B40" s="1488" t="s">
        <v>830</v>
      </c>
      <c r="C40" s="1489" t="s">
        <v>831</v>
      </c>
      <c r="D40" s="1489" t="s">
        <v>894</v>
      </c>
      <c r="E40" s="1488" t="s">
        <v>903</v>
      </c>
      <c r="F40" s="1488" t="s">
        <v>904</v>
      </c>
      <c r="G40" s="1508">
        <v>5844</v>
      </c>
      <c r="H40" s="1509"/>
      <c r="I40" s="1492">
        <f t="shared" si="0"/>
        <v>292.2</v>
      </c>
      <c r="J40" s="1493">
        <f t="shared" si="1"/>
        <v>2045.3999999999999</v>
      </c>
      <c r="K40" s="1492">
        <f t="shared" si="2"/>
        <v>4383</v>
      </c>
      <c r="L40" s="1494">
        <f t="shared" si="3"/>
        <v>5844</v>
      </c>
      <c r="M40" s="1505">
        <f>IFERROR(VLOOKUP($E$8:$E$196,'[1]INF GENERAL'!$B$2:$D$135,3,0),0)</f>
        <v>3509</v>
      </c>
      <c r="N40" s="1496">
        <f>IFERROR(VLOOKUP($E$8:$E$196,'[1]INF GENERAL'!$F$2:$H$80,3,0),0)</f>
        <v>2557</v>
      </c>
      <c r="O40" s="1496">
        <f>IFERROR(SUMIFS('[1]INF GENERAL'!$L:$L,'[1]INF GENERAL'!$J:$J,Tabla16[[#This Row],[Código]]),0)</f>
        <v>0</v>
      </c>
      <c r="P40" s="1496">
        <f>IFERROR(VLOOKUP($E$8:$E$196,'[1]INF GENERAL'!$V$2:$X$119,3,0),0)</f>
        <v>0</v>
      </c>
      <c r="Q40" s="1496">
        <f>IFERROR(SUMIFS('[1]INF GENERAL'!$P:$P,'[1]INF GENERAL'!$N:$N,Tabla16[[#This Row],[Código]]),0)</f>
        <v>0</v>
      </c>
      <c r="R40" s="1496">
        <f>IFERROR(VLOOKUP($E$8:$E$196,'[1]INF GENERAL'!$R$2:$T$119,3,0),0)</f>
        <v>13.75</v>
      </c>
      <c r="S40" s="1496">
        <f t="shared" si="9"/>
        <v>5844</v>
      </c>
      <c r="T40" s="1496">
        <f t="shared" si="5"/>
        <v>5844</v>
      </c>
      <c r="U40" s="1497">
        <f t="shared" si="7"/>
        <v>0</v>
      </c>
      <c r="V40" s="1498" t="str">
        <f t="shared" si="10"/>
        <v>INV&lt;7</v>
      </c>
      <c r="X40" s="1510"/>
      <c r="Y40" s="1510"/>
    </row>
    <row r="41" spans="1:26">
      <c r="A41" s="1488" t="s">
        <v>893</v>
      </c>
      <c r="B41" s="1488" t="s">
        <v>830</v>
      </c>
      <c r="C41" s="1489" t="s">
        <v>831</v>
      </c>
      <c r="D41" s="1489" t="s">
        <v>894</v>
      </c>
      <c r="E41" s="1488" t="s">
        <v>905</v>
      </c>
      <c r="F41" s="1488" t="s">
        <v>906</v>
      </c>
      <c r="G41" s="1508">
        <v>1286</v>
      </c>
      <c r="H41" s="1509"/>
      <c r="I41" s="1492">
        <f t="shared" si="0"/>
        <v>64.3</v>
      </c>
      <c r="J41" s="1493">
        <f t="shared" si="1"/>
        <v>450.09999999999997</v>
      </c>
      <c r="K41" s="1492">
        <f t="shared" si="2"/>
        <v>964.5</v>
      </c>
      <c r="L41" s="1494">
        <f t="shared" si="3"/>
        <v>1286</v>
      </c>
      <c r="M41" s="1505">
        <f>IFERROR(VLOOKUP($E$8:$E$196,'[1]INF GENERAL'!$B$2:$D$135,3,0),0)</f>
        <v>1770</v>
      </c>
      <c r="N41" s="1496">
        <f>IFERROR(VLOOKUP($E$8:$E$196,'[1]INF GENERAL'!$F$2:$H$80,3,0),0)</f>
        <v>2089</v>
      </c>
      <c r="O41" s="1496">
        <f>IFERROR(SUMIFS('[1]INF GENERAL'!$L:$L,'[1]INF GENERAL'!$J:$J,Tabla16[[#This Row],[Código]]),0)</f>
        <v>0</v>
      </c>
      <c r="P41" s="1496">
        <f>IFERROR(VLOOKUP($E$8:$E$196,'[1]INF GENERAL'!$V$2:$X$119,3,0),0)</f>
        <v>0</v>
      </c>
      <c r="Q41" s="1496">
        <f>IFERROR(SUMIFS('[1]INF GENERAL'!$P:$P,'[1]INF GENERAL'!$N:$N,Tabla16[[#This Row],[Código]]),0)</f>
        <v>0</v>
      </c>
      <c r="R41" s="1496">
        <f>IFERROR(VLOOKUP($E$8:$E$196,'[1]INF GENERAL'!$R$2:$T$119,3,0),0)</f>
        <v>0</v>
      </c>
      <c r="S41" s="1496">
        <f t="shared" si="9"/>
        <v>1286</v>
      </c>
      <c r="T41" s="1496">
        <f t="shared" si="5"/>
        <v>1286</v>
      </c>
      <c r="U41" s="1497">
        <f t="shared" si="7"/>
        <v>0</v>
      </c>
      <c r="V41" s="1498" t="str">
        <f t="shared" si="10"/>
        <v>INV&lt;7</v>
      </c>
      <c r="W41" s="1510"/>
      <c r="Z41" s="1510"/>
    </row>
    <row r="42" spans="1:26" hidden="1">
      <c r="A42" s="1488" t="s">
        <v>829</v>
      </c>
      <c r="B42" s="1488" t="s">
        <v>830</v>
      </c>
      <c r="C42" s="1489" t="s">
        <v>907</v>
      </c>
      <c r="D42" s="1489" t="s">
        <v>894</v>
      </c>
      <c r="E42" s="1488" t="s">
        <v>908</v>
      </c>
      <c r="F42" s="1488" t="s">
        <v>909</v>
      </c>
      <c r="G42" s="1512">
        <v>0</v>
      </c>
      <c r="H42" s="1492"/>
      <c r="I42" s="1492">
        <f t="shared" si="0"/>
        <v>0</v>
      </c>
      <c r="J42" s="1493">
        <f t="shared" si="1"/>
        <v>0</v>
      </c>
      <c r="K42" s="1492">
        <f t="shared" si="2"/>
        <v>0</v>
      </c>
      <c r="L42" s="1494">
        <f t="shared" si="3"/>
        <v>0</v>
      </c>
      <c r="M42" s="1505">
        <f>IFERROR(VLOOKUP($E$8:$E$196,'[1]INF GENERAL'!$B$2:$D$135,3,0),0)</f>
        <v>0</v>
      </c>
      <c r="N42" s="1496">
        <f>IFERROR(VLOOKUP($E$8:$E$196,'[1]INF GENERAL'!$F$2:$H$80,3,0),0)</f>
        <v>0</v>
      </c>
      <c r="O42" s="1496">
        <f>IFERROR(SUMIFS('[1]INF GENERAL'!$L:$L,'[1]INF GENERAL'!$J:$J,Tabla16[[#This Row],[Código]]),0)</f>
        <v>0</v>
      </c>
      <c r="P42" s="1496">
        <f>IFERROR(VLOOKUP($E$8:$E$196,'[1]INF GENERAL'!$V$2:$X$119,3,0),0)</f>
        <v>0</v>
      </c>
      <c r="Q42" s="1496">
        <f>IFERROR(SUMIFS('[1]INF GENERAL'!$P:$P,'[1]INF GENERAL'!$N:$N,Tabla16[[#This Row],[Código]]),0)</f>
        <v>0</v>
      </c>
      <c r="R42" s="1496">
        <f>IFERROR(VLOOKUP($E$8:$E$196,'[1]INF GENERAL'!$R$2:$T$119,3,0),0)</f>
        <v>0</v>
      </c>
      <c r="S42" s="1496">
        <f t="shared" si="9"/>
        <v>0</v>
      </c>
      <c r="T42" s="1496">
        <f t="shared" si="5"/>
        <v>0</v>
      </c>
      <c r="U42" s="1497">
        <f t="shared" si="7"/>
        <v>0</v>
      </c>
      <c r="V42" s="1498" t="str">
        <f t="shared" si="10"/>
        <v>INV&gt;20</v>
      </c>
      <c r="Z42" s="1510"/>
    </row>
    <row r="43" spans="1:26">
      <c r="A43" s="1488" t="s">
        <v>893</v>
      </c>
      <c r="B43" s="1488" t="s">
        <v>830</v>
      </c>
      <c r="C43" s="1489" t="s">
        <v>907</v>
      </c>
      <c r="D43" s="1489" t="s">
        <v>894</v>
      </c>
      <c r="E43" s="1488" t="s">
        <v>910</v>
      </c>
      <c r="F43" s="1488" t="s">
        <v>911</v>
      </c>
      <c r="G43" s="1512">
        <v>0</v>
      </c>
      <c r="H43" s="1492"/>
      <c r="I43" s="1492">
        <f t="shared" si="0"/>
        <v>0</v>
      </c>
      <c r="J43" s="1493">
        <f t="shared" si="1"/>
        <v>0</v>
      </c>
      <c r="K43" s="1492">
        <f t="shared" si="2"/>
        <v>0</v>
      </c>
      <c r="L43" s="1494">
        <f t="shared" si="3"/>
        <v>0</v>
      </c>
      <c r="M43" s="1505">
        <f>IFERROR(VLOOKUP($E$8:$E$196,'[1]INF GENERAL'!$B$2:$D$135,3,0),0)</f>
        <v>96</v>
      </c>
      <c r="N43" s="1496">
        <f>IFERROR(VLOOKUP($E$8:$E$196,'[1]INF GENERAL'!$F$2:$H$80,3,0),0)</f>
        <v>0</v>
      </c>
      <c r="O43" s="1496">
        <f>IFERROR(SUMIFS('[1]INF GENERAL'!$L:$L,'[1]INF GENERAL'!$J:$J,Tabla16[[#This Row],[Código]]),0)</f>
        <v>0</v>
      </c>
      <c r="P43" s="1496">
        <f>IFERROR(VLOOKUP($E$8:$E$196,'[1]INF GENERAL'!$V$2:$X$119,3,0),0)</f>
        <v>0</v>
      </c>
      <c r="Q43" s="1496">
        <f>IFERROR(SUMIFS('[1]INF GENERAL'!$P:$P,'[1]INF GENERAL'!$N:$N,Tabla16[[#This Row],[Código]]),0)</f>
        <v>0</v>
      </c>
      <c r="R43" s="1496">
        <f>IFERROR(VLOOKUP($E$8:$E$196,'[1]INF GENERAL'!$R$2:$T$119,3,0),0)</f>
        <v>0</v>
      </c>
      <c r="S43" s="1496">
        <f t="shared" si="9"/>
        <v>0</v>
      </c>
      <c r="T43" s="1496">
        <f t="shared" si="5"/>
        <v>0</v>
      </c>
      <c r="U43" s="1497">
        <f t="shared" si="7"/>
        <v>0</v>
      </c>
      <c r="V43" s="1498" t="str">
        <f t="shared" si="10"/>
        <v>INV&gt;20</v>
      </c>
    </row>
    <row r="44" spans="1:26">
      <c r="A44" s="1488" t="s">
        <v>893</v>
      </c>
      <c r="B44" s="1488" t="s">
        <v>830</v>
      </c>
      <c r="C44" s="1489" t="s">
        <v>912</v>
      </c>
      <c r="D44" s="1489" t="s">
        <v>894</v>
      </c>
      <c r="E44" s="1488" t="s">
        <v>913</v>
      </c>
      <c r="F44" s="1488" t="s">
        <v>914</v>
      </c>
      <c r="G44" s="1508">
        <v>645</v>
      </c>
      <c r="H44" s="1509"/>
      <c r="I44" s="1492">
        <f t="shared" si="0"/>
        <v>32.25</v>
      </c>
      <c r="J44" s="1493">
        <f t="shared" si="1"/>
        <v>225.75</v>
      </c>
      <c r="K44" s="1492">
        <f t="shared" si="2"/>
        <v>483.75</v>
      </c>
      <c r="L44" s="1494">
        <f t="shared" si="3"/>
        <v>645</v>
      </c>
      <c r="M44" s="1505">
        <f>IFERROR(VLOOKUP($E$8:$E$196,'[1]INF GENERAL'!$B$2:$D$135,3,0),0)</f>
        <v>823</v>
      </c>
      <c r="N44" s="1496">
        <f>IFERROR(VLOOKUP($E$8:$E$196,'[1]INF GENERAL'!$F$2:$H$80,3,0),0)</f>
        <v>1827</v>
      </c>
      <c r="O44" s="1496">
        <f>IFERROR(SUMIFS('[1]INF GENERAL'!$L:$L,'[1]INF GENERAL'!$J:$J,Tabla16[[#This Row],[Código]]),0)</f>
        <v>0</v>
      </c>
      <c r="P44" s="1496">
        <f>IFERROR(VLOOKUP($E$8:$E$196,'[1]INF GENERAL'!$V$2:$X$119,3,0),0)</f>
        <v>0</v>
      </c>
      <c r="Q44" s="1496">
        <f>IFERROR(SUMIFS('[1]INF GENERAL'!$P:$P,'[1]INF GENERAL'!$N:$N,Tabla16[[#This Row],[Código]]),0)</f>
        <v>0</v>
      </c>
      <c r="R44" s="1496">
        <f>IFERROR(VLOOKUP($E$8:$E$196,'[1]INF GENERAL'!$R$2:$T$119,3,0),0)</f>
        <v>0</v>
      </c>
      <c r="S44" s="1496">
        <f t="shared" si="9"/>
        <v>645</v>
      </c>
      <c r="T44" s="1496">
        <f t="shared" si="5"/>
        <v>645</v>
      </c>
      <c r="U44" s="1497">
        <f t="shared" si="7"/>
        <v>0</v>
      </c>
      <c r="V44" s="1498" t="str">
        <f t="shared" si="10"/>
        <v>INV&lt;7</v>
      </c>
    </row>
    <row r="45" spans="1:26">
      <c r="A45" s="1488" t="s">
        <v>893</v>
      </c>
      <c r="B45" s="1488" t="s">
        <v>830</v>
      </c>
      <c r="C45" s="1489" t="s">
        <v>912</v>
      </c>
      <c r="D45" s="1489" t="s">
        <v>894</v>
      </c>
      <c r="E45" s="1488" t="s">
        <v>915</v>
      </c>
      <c r="F45" s="1488" t="s">
        <v>916</v>
      </c>
      <c r="G45" s="1508">
        <v>778</v>
      </c>
      <c r="H45" s="1509"/>
      <c r="I45" s="1492">
        <f t="shared" si="0"/>
        <v>38.9</v>
      </c>
      <c r="J45" s="1493">
        <f t="shared" si="1"/>
        <v>272.3</v>
      </c>
      <c r="K45" s="1492">
        <f t="shared" si="2"/>
        <v>583.5</v>
      </c>
      <c r="L45" s="1494">
        <f t="shared" si="3"/>
        <v>778</v>
      </c>
      <c r="M45" s="1505">
        <f>IFERROR(VLOOKUP($E$8:$E$196,'[1]INF GENERAL'!$B$2:$D$135,3,0),0)</f>
        <v>6</v>
      </c>
      <c r="N45" s="1496">
        <f>IFERROR(VLOOKUP($E$8:$E$196,'[1]INF GENERAL'!$F$2:$H$80,3,0),0)</f>
        <v>1794</v>
      </c>
      <c r="O45" s="1496">
        <f>IFERROR(SUMIFS('[1]INF GENERAL'!$L:$L,'[1]INF GENERAL'!$J:$J,Tabla16[[#This Row],[Código]]),0)</f>
        <v>0</v>
      </c>
      <c r="P45" s="1496">
        <f>IFERROR(VLOOKUP($E$8:$E$196,'[1]INF GENERAL'!$V$2:$X$119,3,0),0)</f>
        <v>0</v>
      </c>
      <c r="Q45" s="1496">
        <f>IFERROR(SUMIFS('[1]INF GENERAL'!$P:$P,'[1]INF GENERAL'!$N:$N,Tabla16[[#This Row],[Código]]),0)</f>
        <v>0</v>
      </c>
      <c r="R45" s="1496">
        <f>IFERROR(VLOOKUP($E$8:$E$196,'[1]INF GENERAL'!$R$2:$T$119,3,0),0)</f>
        <v>0</v>
      </c>
      <c r="S45" s="1496">
        <f t="shared" si="9"/>
        <v>778</v>
      </c>
      <c r="T45" s="1496">
        <f t="shared" si="5"/>
        <v>778</v>
      </c>
      <c r="U45" s="1497">
        <f t="shared" si="7"/>
        <v>0</v>
      </c>
      <c r="V45" s="1498" t="str">
        <f t="shared" si="10"/>
        <v>INV&lt;7</v>
      </c>
    </row>
    <row r="46" spans="1:26">
      <c r="A46" s="1488" t="s">
        <v>893</v>
      </c>
      <c r="B46" s="1488" t="s">
        <v>830</v>
      </c>
      <c r="C46" s="1489" t="s">
        <v>912</v>
      </c>
      <c r="D46" s="1489" t="s">
        <v>894</v>
      </c>
      <c r="E46" s="1488" t="s">
        <v>917</v>
      </c>
      <c r="F46" s="1488" t="s">
        <v>918</v>
      </c>
      <c r="G46" s="1508">
        <v>723</v>
      </c>
      <c r="H46" s="1509"/>
      <c r="I46" s="1492">
        <f t="shared" si="0"/>
        <v>36.15</v>
      </c>
      <c r="J46" s="1493">
        <f t="shared" si="1"/>
        <v>253.04999999999998</v>
      </c>
      <c r="K46" s="1492">
        <f t="shared" si="2"/>
        <v>542.25</v>
      </c>
      <c r="L46" s="1494">
        <f t="shared" si="3"/>
        <v>723</v>
      </c>
      <c r="M46" s="1505">
        <f>IFERROR(VLOOKUP($E$8:$E$196,'[1]INF GENERAL'!$B$2:$D$135,3,0),0)</f>
        <v>649</v>
      </c>
      <c r="N46" s="1496">
        <f>IFERROR(VLOOKUP($E$8:$E$196,'[1]INF GENERAL'!$F$2:$H$80,3,0),0)</f>
        <v>0</v>
      </c>
      <c r="O46" s="1496">
        <f>IFERROR(SUMIFS('[1]INF GENERAL'!$L:$L,'[1]INF GENERAL'!$J:$J,Tabla16[[#This Row],[Código]]),0)</f>
        <v>0</v>
      </c>
      <c r="P46" s="1496">
        <f>IFERROR(VLOOKUP($E$8:$E$196,'[1]INF GENERAL'!$V$2:$X$119,3,0),0)</f>
        <v>0</v>
      </c>
      <c r="Q46" s="1496">
        <f>IFERROR(SUMIFS('[1]INF GENERAL'!$P:$P,'[1]INF GENERAL'!$N:$N,Tabla16[[#This Row],[Código]]),0)</f>
        <v>0</v>
      </c>
      <c r="R46" s="1496">
        <f>IFERROR(VLOOKUP($E$8:$E$196,'[1]INF GENERAL'!$R$2:$T$119,3,0),0)</f>
        <v>0</v>
      </c>
      <c r="S46" s="1496">
        <f t="shared" si="9"/>
        <v>723</v>
      </c>
      <c r="T46" s="1496">
        <f t="shared" si="5"/>
        <v>723</v>
      </c>
      <c r="U46" s="1497">
        <f t="shared" si="7"/>
        <v>0</v>
      </c>
      <c r="V46" s="1498" t="str">
        <f t="shared" si="10"/>
        <v>INV&lt;7</v>
      </c>
    </row>
    <row r="47" spans="1:26">
      <c r="A47" s="1488" t="s">
        <v>893</v>
      </c>
      <c r="B47" s="1488" t="s">
        <v>830</v>
      </c>
      <c r="C47" s="1489" t="s">
        <v>912</v>
      </c>
      <c r="D47" s="1489" t="s">
        <v>894</v>
      </c>
      <c r="E47" s="1488" t="s">
        <v>919</v>
      </c>
      <c r="F47" s="1488" t="s">
        <v>920</v>
      </c>
      <c r="G47" s="1512">
        <v>0</v>
      </c>
      <c r="H47" s="1492"/>
      <c r="I47" s="1492">
        <f t="shared" si="0"/>
        <v>0</v>
      </c>
      <c r="J47" s="1493">
        <f t="shared" si="1"/>
        <v>0</v>
      </c>
      <c r="K47" s="1492">
        <f t="shared" si="2"/>
        <v>0</v>
      </c>
      <c r="L47" s="1494">
        <f t="shared" si="3"/>
        <v>0</v>
      </c>
      <c r="M47" s="1505">
        <f>IFERROR(VLOOKUP($E$8:$E$196,'[1]INF GENERAL'!$B$2:$D$135,3,0),0)</f>
        <v>508</v>
      </c>
      <c r="N47" s="1496">
        <f>IFERROR(VLOOKUP($E$8:$E$196,'[1]INF GENERAL'!$F$2:$H$80,3,0),0)</f>
        <v>0</v>
      </c>
      <c r="O47" s="1496">
        <f>IFERROR(SUMIFS('[1]INF GENERAL'!$L:$L,'[1]INF GENERAL'!$J:$J,Tabla16[[#This Row],[Código]]),0)</f>
        <v>0</v>
      </c>
      <c r="P47" s="1500">
        <f>IFERROR(VLOOKUP($E$8:$E$196,'[1]INF GENERAL'!$V$2:$X$119,3,0),0)</f>
        <v>0</v>
      </c>
      <c r="Q47" s="1496">
        <f>IFERROR(SUMIFS('[1]INF GENERAL'!$P:$P,'[1]INF GENERAL'!$N:$N,Tabla16[[#This Row],[Código]]),0)</f>
        <v>0</v>
      </c>
      <c r="R47" s="1496">
        <f>IFERROR(VLOOKUP($E$8:$E$196,'[1]INF GENERAL'!$R$2:$T$119,3,0),0)</f>
        <v>0</v>
      </c>
      <c r="S47" s="1496">
        <f>IF(G47=0,0,(G47-O47))</f>
        <v>0</v>
      </c>
      <c r="T47" s="1496">
        <f t="shared" si="5"/>
        <v>0</v>
      </c>
      <c r="U47" s="1497">
        <f t="shared" si="7"/>
        <v>0</v>
      </c>
      <c r="V47" s="1498" t="str">
        <f t="shared" si="10"/>
        <v>INV&gt;20</v>
      </c>
    </row>
    <row r="48" spans="1:26" hidden="1">
      <c r="A48" s="1488" t="s">
        <v>829</v>
      </c>
      <c r="B48" s="1488" t="s">
        <v>830</v>
      </c>
      <c r="C48" s="1489" t="s">
        <v>912</v>
      </c>
      <c r="D48" s="1489" t="s">
        <v>894</v>
      </c>
      <c r="E48" s="1488" t="s">
        <v>921</v>
      </c>
      <c r="F48" s="1488" t="s">
        <v>922</v>
      </c>
      <c r="G48" s="1503"/>
      <c r="H48" s="1491"/>
      <c r="I48" s="1492">
        <f t="shared" si="0"/>
        <v>0</v>
      </c>
      <c r="J48" s="1493">
        <f t="shared" si="1"/>
        <v>0</v>
      </c>
      <c r="K48" s="1492">
        <f t="shared" si="2"/>
        <v>0</v>
      </c>
      <c r="L48" s="1494">
        <f t="shared" si="3"/>
        <v>0</v>
      </c>
      <c r="M48" s="1495">
        <f>IFERROR(VLOOKUP($E$8:$E$196,'[1]INF GENERAL'!$B$2:$D$135,3,0),0)</f>
        <v>0</v>
      </c>
      <c r="N48" s="1496">
        <f>IFERROR(VLOOKUP($E$8:$E$196,'[1]INF GENERAL'!$F$2:$H$80,3,0),0)</f>
        <v>0</v>
      </c>
      <c r="O48" s="1496">
        <f>IFERROR(SUMIFS('[1]INF GENERAL'!$L:$L,'[1]INF GENERAL'!$J:$J,Tabla16[[#This Row],[Código]]),0)</f>
        <v>0</v>
      </c>
      <c r="P48" s="1500">
        <f>IFERROR(VLOOKUP($E$8:$E$196,'[1]INF GENERAL'!$V$2:$X$119,3,0),0)</f>
        <v>0</v>
      </c>
      <c r="Q48" s="1496">
        <f>IFERROR(SUMIFS('[1]INF GENERAL'!$P:$P,'[1]INF GENERAL'!$N:$N,Tabla16[[#This Row],[Código]]),0)</f>
        <v>0</v>
      </c>
      <c r="R48" s="1496">
        <f>IFERROR(VLOOKUP($E$8:$E$196,'[1]INF GENERAL'!$R$2:$T$119,3,0),0)</f>
        <v>0</v>
      </c>
      <c r="S48" s="1496">
        <f>IF(G48=0,0,(G48-O48))</f>
        <v>0</v>
      </c>
      <c r="T48" s="1496">
        <f t="shared" si="5"/>
        <v>0</v>
      </c>
      <c r="U48" s="1497">
        <f t="shared" si="7"/>
        <v>0</v>
      </c>
      <c r="V48" s="1498" t="str">
        <f t="shared" ref="V48:V104" si="11">IF((Q48)&lt;J48,"QUIEBRE",IF((Q48)&lt;L48,"VIGILAR","NO CRITICO"))</f>
        <v>NO CRITICO</v>
      </c>
    </row>
    <row r="49" spans="1:22">
      <c r="A49" s="1488" t="s">
        <v>893</v>
      </c>
      <c r="B49" s="1488" t="s">
        <v>830</v>
      </c>
      <c r="C49" s="1489" t="s">
        <v>867</v>
      </c>
      <c r="D49" s="1489" t="s">
        <v>894</v>
      </c>
      <c r="E49" s="1488" t="s">
        <v>923</v>
      </c>
      <c r="F49" s="1488" t="s">
        <v>924</v>
      </c>
      <c r="G49" s="1512">
        <v>370</v>
      </c>
      <c r="H49" s="1491"/>
      <c r="I49" s="1492">
        <f t="shared" si="0"/>
        <v>18.5</v>
      </c>
      <c r="J49" s="1493">
        <f t="shared" si="1"/>
        <v>129.5</v>
      </c>
      <c r="K49" s="1492">
        <f t="shared" si="2"/>
        <v>277.5</v>
      </c>
      <c r="L49" s="1494">
        <f t="shared" si="3"/>
        <v>370</v>
      </c>
      <c r="M49" s="1495">
        <f>IFERROR(VLOOKUP($E$8:$E$196,'[1]INF GENERAL'!$B$2:$D$135,3,0),0)</f>
        <v>1466</v>
      </c>
      <c r="N49" s="1496">
        <f>IFERROR(VLOOKUP($E$8:$E$196,'[1]INF GENERAL'!$F$2:$H$80,3,0),0)</f>
        <v>0</v>
      </c>
      <c r="O49" s="1496">
        <f>IFERROR(SUMIFS('[1]INF GENERAL'!$L:$L,'[1]INF GENERAL'!$J:$J,Tabla16[[#This Row],[Código]]),0)</f>
        <v>0</v>
      </c>
      <c r="P49" s="1500">
        <f>IFERROR(VLOOKUP($E$8:$E$196,'[1]INF GENERAL'!$V$2:$X$119,3,0),0)</f>
        <v>0</v>
      </c>
      <c r="Q49" s="1496">
        <f>IFERROR(SUMIFS('[1]INF GENERAL'!$P:$P,'[1]INF GENERAL'!$N:$N,Tabla16[[#This Row],[Código]]),0)</f>
        <v>0</v>
      </c>
      <c r="R49" s="1496">
        <f>IFERROR(VLOOKUP($E$8:$E$196,'[1]INF GENERAL'!$R$2:$T$119,3,0),0)</f>
        <v>0</v>
      </c>
      <c r="S49" s="1496">
        <f>IF(G49=0,0,(G49-O49))</f>
        <v>370</v>
      </c>
      <c r="T49" s="1496">
        <f t="shared" si="5"/>
        <v>370</v>
      </c>
      <c r="U49" s="1497">
        <f t="shared" si="7"/>
        <v>0</v>
      </c>
      <c r="V49" s="1498" t="str">
        <f t="shared" si="10"/>
        <v>INV&lt;7</v>
      </c>
    </row>
    <row r="50" spans="1:22">
      <c r="A50" s="1488" t="s">
        <v>893</v>
      </c>
      <c r="B50" s="1488" t="s">
        <v>830</v>
      </c>
      <c r="C50" s="1489" t="s">
        <v>867</v>
      </c>
      <c r="D50" s="1489" t="s">
        <v>894</v>
      </c>
      <c r="E50" s="1488" t="s">
        <v>925</v>
      </c>
      <c r="F50" s="1488" t="s">
        <v>926</v>
      </c>
      <c r="G50" s="1513">
        <v>485</v>
      </c>
      <c r="H50" s="1514"/>
      <c r="I50" s="1492">
        <f t="shared" si="0"/>
        <v>24.25</v>
      </c>
      <c r="J50" s="1493">
        <f t="shared" si="1"/>
        <v>169.75</v>
      </c>
      <c r="K50" s="1492">
        <f t="shared" si="2"/>
        <v>363.75</v>
      </c>
      <c r="L50" s="1494">
        <f t="shared" si="3"/>
        <v>485</v>
      </c>
      <c r="M50" s="1505">
        <f>IFERROR(VLOOKUP($E$8:$E$196,'[1]INF GENERAL'!$B$2:$D$135,3,0),0)</f>
        <v>103</v>
      </c>
      <c r="N50" s="1496">
        <f>IFERROR(VLOOKUP($E$8:$E$196,'[1]INF GENERAL'!$F$2:$H$80,3,0),0)</f>
        <v>0</v>
      </c>
      <c r="O50" s="1496">
        <f>IFERROR(SUMIFS('[1]INF GENERAL'!$L:$L,'[1]INF GENERAL'!$J:$J,Tabla16[[#This Row],[Código]]),0)</f>
        <v>0</v>
      </c>
      <c r="P50" s="1496">
        <f>IFERROR(VLOOKUP($E$8:$E$196,'[1]INF GENERAL'!$V$2:$X$119,3,0),0)</f>
        <v>0</v>
      </c>
      <c r="Q50" s="1496">
        <f>IFERROR(SUMIFS('[1]INF GENERAL'!$P:$P,'[1]INF GENERAL'!$N:$N,Tabla16[[#This Row],[Código]]),0)</f>
        <v>0</v>
      </c>
      <c r="R50" s="1496">
        <f>IFERROR(VLOOKUP($E$8:$E$196,'[1]INF GENERAL'!$R$2:$T$119,3,0),0)</f>
        <v>0</v>
      </c>
      <c r="S50" s="1496">
        <f>IF(G50=0,0,(G50-(O50+P50)))</f>
        <v>485</v>
      </c>
      <c r="T50" s="1496">
        <f t="shared" si="5"/>
        <v>485</v>
      </c>
      <c r="U50" s="1497">
        <f t="shared" si="7"/>
        <v>0</v>
      </c>
      <c r="V50" s="1498" t="str">
        <f>IF((Q50)&lt;J50,"INV&lt;7",IF((Q50)&lt;L50,"7≤INV≤20","INV&gt;20"))</f>
        <v>INV&lt;7</v>
      </c>
    </row>
    <row r="51" spans="1:22">
      <c r="A51" s="1488" t="s">
        <v>893</v>
      </c>
      <c r="B51" s="1488" t="s">
        <v>830</v>
      </c>
      <c r="C51" s="1489" t="s">
        <v>246</v>
      </c>
      <c r="D51" s="1489" t="s">
        <v>894</v>
      </c>
      <c r="E51" s="1488" t="s">
        <v>927</v>
      </c>
      <c r="F51" s="1488" t="s">
        <v>928</v>
      </c>
      <c r="G51" s="1504">
        <v>0</v>
      </c>
      <c r="H51" s="1494"/>
      <c r="I51" s="1492">
        <f t="shared" si="0"/>
        <v>0</v>
      </c>
      <c r="J51" s="1493">
        <f t="shared" si="1"/>
        <v>0</v>
      </c>
      <c r="K51" s="1492">
        <f t="shared" si="2"/>
        <v>0</v>
      </c>
      <c r="L51" s="1494">
        <f t="shared" si="3"/>
        <v>0</v>
      </c>
      <c r="M51" s="1505">
        <f>IFERROR(VLOOKUP($E$8:$E$196,'[1]INF GENERAL'!$B$2:$D$135,3,0),0)</f>
        <v>20</v>
      </c>
      <c r="N51" s="1496">
        <f>IFERROR(VLOOKUP($E$8:$E$196,'[1]INF GENERAL'!$F$2:$H$80,3,0),0)</f>
        <v>0</v>
      </c>
      <c r="O51" s="1496">
        <f>IFERROR(SUMIFS('[1]INF GENERAL'!$L:$L,'[1]INF GENERAL'!$J:$J,Tabla16[[#This Row],[Código]]),0)</f>
        <v>0</v>
      </c>
      <c r="P51" s="1496">
        <f>IFERROR(VLOOKUP($E$8:$E$196,'[1]INF GENERAL'!$V$2:$X$119,3,0),0)</f>
        <v>0</v>
      </c>
      <c r="Q51" s="1496">
        <f>IFERROR(SUMIFS('[1]INF GENERAL'!$P:$P,'[1]INF GENERAL'!$N:$N,Tabla16[[#This Row],[Código]]),0)</f>
        <v>0</v>
      </c>
      <c r="R51" s="1496">
        <f>IFERROR(VLOOKUP($E$8:$E$196,'[1]INF GENERAL'!$R$2:$T$119,3,0),0)</f>
        <v>0</v>
      </c>
      <c r="S51" s="1496">
        <f>IF(G51=0,0,(G51-(O51+P51)))</f>
        <v>0</v>
      </c>
      <c r="T51" s="1496">
        <f t="shared" si="5"/>
        <v>0</v>
      </c>
      <c r="U51" s="1497">
        <f t="shared" si="7"/>
        <v>0</v>
      </c>
      <c r="V51" s="1498" t="str">
        <f>IF((Q51)&lt;J51,"INV&lt;7",IF((Q51)&lt;L51,"7≤INV≤20","INV&gt;20"))</f>
        <v>INV&gt;20</v>
      </c>
    </row>
    <row r="52" spans="1:22" hidden="1">
      <c r="A52" s="1488" t="s">
        <v>829</v>
      </c>
      <c r="B52" s="1488" t="s">
        <v>830</v>
      </c>
      <c r="C52" s="1489" t="s">
        <v>831</v>
      </c>
      <c r="D52" s="1489" t="s">
        <v>929</v>
      </c>
      <c r="E52" s="1488" t="s">
        <v>930</v>
      </c>
      <c r="F52" s="1488" t="s">
        <v>931</v>
      </c>
      <c r="G52" s="1503"/>
      <c r="H52" s="1491"/>
      <c r="I52" s="1492">
        <f t="shared" si="0"/>
        <v>0</v>
      </c>
      <c r="J52" s="1493">
        <f t="shared" si="1"/>
        <v>0</v>
      </c>
      <c r="K52" s="1492">
        <f t="shared" si="2"/>
        <v>0</v>
      </c>
      <c r="L52" s="1494">
        <f t="shared" si="3"/>
        <v>0</v>
      </c>
      <c r="M52" s="1495">
        <f>IFERROR(VLOOKUP($E$8:$E$196,'[1]INF GENERAL'!$B$2:$D$135,3,0),0)</f>
        <v>0</v>
      </c>
      <c r="N52" s="1496">
        <f>IFERROR(VLOOKUP($E$8:$E$196,'[1]INF GENERAL'!$F$2:$H$80,3,0),0)</f>
        <v>0</v>
      </c>
      <c r="O52" s="1496">
        <f>IFERROR(SUMIFS('[1]INF GENERAL'!$L:$L,'[1]INF GENERAL'!$J:$J,Tabla16[[#This Row],[Código]]),0)</f>
        <v>0</v>
      </c>
      <c r="P52" s="1500">
        <f>IFERROR(VLOOKUP($E$8:$E$196,'[1]INF GENERAL'!$V$2:$X$119,3,0),0)</f>
        <v>0</v>
      </c>
      <c r="Q52" s="1496">
        <f>IFERROR(SUMIFS('[1]INF GENERAL'!$P:$P,'[1]INF GENERAL'!$N:$N,Tabla16[[#This Row],[Código]]),0)</f>
        <v>0</v>
      </c>
      <c r="R52" s="1496">
        <f>IFERROR(VLOOKUP($E$8:$E$196,'[1]INF GENERAL'!$R$2:$T$119,3,0),0)</f>
        <v>0</v>
      </c>
      <c r="S52" s="1496">
        <f>IF(G52=0,0,(G52-O52))</f>
        <v>0</v>
      </c>
      <c r="T52" s="1496">
        <f t="shared" si="5"/>
        <v>0</v>
      </c>
      <c r="U52" s="1497">
        <f t="shared" si="7"/>
        <v>0</v>
      </c>
      <c r="V52" s="1498" t="str">
        <f t="shared" si="11"/>
        <v>NO CRITICO</v>
      </c>
    </row>
    <row r="53" spans="1:22" hidden="1">
      <c r="A53" s="1488" t="s">
        <v>829</v>
      </c>
      <c r="B53" s="1488" t="s">
        <v>830</v>
      </c>
      <c r="C53" s="1489" t="s">
        <v>831</v>
      </c>
      <c r="D53" s="1489" t="s">
        <v>929</v>
      </c>
      <c r="E53" s="1488" t="s">
        <v>932</v>
      </c>
      <c r="F53" s="1488" t="s">
        <v>933</v>
      </c>
      <c r="G53" s="1515">
        <v>0</v>
      </c>
      <c r="H53" s="1516">
        <v>0</v>
      </c>
      <c r="I53" s="1492">
        <f t="shared" si="0"/>
        <v>0</v>
      </c>
      <c r="J53" s="1493">
        <f t="shared" si="1"/>
        <v>0</v>
      </c>
      <c r="K53" s="1492">
        <f t="shared" si="2"/>
        <v>0</v>
      </c>
      <c r="L53" s="1494">
        <f t="shared" si="3"/>
        <v>0</v>
      </c>
      <c r="M53" s="1495">
        <f>IFERROR(VLOOKUP($E$8:$E$196,'[1]INF GENERAL'!$B$2:$D$135,3,0),0)</f>
        <v>0</v>
      </c>
      <c r="N53" s="1496">
        <f>IFERROR(VLOOKUP($E$8:$E$196,'[1]INF GENERAL'!$F$2:$H$80,3,0),0)</f>
        <v>0</v>
      </c>
      <c r="O53" s="1496">
        <f>IFERROR(SUMIFS('[1]INF GENERAL'!$L:$L,'[1]INF GENERAL'!$J:$J,Tabla16[[#This Row],[Código]]),0)</f>
        <v>0</v>
      </c>
      <c r="P53" s="1496">
        <f>IFERROR(VLOOKUP($E$8:$E$196,'[1]INF GENERAL'!$V$2:$X$119,3,0),0)</f>
        <v>0</v>
      </c>
      <c r="Q53" s="1496">
        <f>IFERROR(SUMIFS('[1]INF GENERAL'!$P:$P,'[1]INF GENERAL'!$N:$N,Tabla16[[#This Row],[Código]]),0)</f>
        <v>0</v>
      </c>
      <c r="R53" s="1496">
        <f>IFERROR(VLOOKUP($E$8:$E$196,'[1]INF GENERAL'!$R$2:$T$119,3,0),0)</f>
        <v>0</v>
      </c>
      <c r="S53" s="1496">
        <f>IF(G53=0,0,(G53-(O53+P53)))</f>
        <v>0</v>
      </c>
      <c r="T53" s="1496">
        <f t="shared" si="5"/>
        <v>0</v>
      </c>
      <c r="U53" s="1497">
        <f t="shared" si="7"/>
        <v>0</v>
      </c>
      <c r="V53" s="1498" t="str">
        <f t="shared" si="11"/>
        <v>NO CRITICO</v>
      </c>
    </row>
    <row r="54" spans="1:22" hidden="1">
      <c r="A54" s="1488" t="s">
        <v>829</v>
      </c>
      <c r="B54" s="1488" t="s">
        <v>830</v>
      </c>
      <c r="C54" s="1489" t="s">
        <v>831</v>
      </c>
      <c r="D54" s="1489" t="s">
        <v>929</v>
      </c>
      <c r="E54" s="1488" t="s">
        <v>934</v>
      </c>
      <c r="F54" s="1488" t="s">
        <v>935</v>
      </c>
      <c r="G54" s="1515">
        <v>0</v>
      </c>
      <c r="H54" s="1516">
        <v>0</v>
      </c>
      <c r="I54" s="1492">
        <f t="shared" si="0"/>
        <v>0</v>
      </c>
      <c r="J54" s="1493">
        <f t="shared" si="1"/>
        <v>0</v>
      </c>
      <c r="K54" s="1492">
        <f t="shared" si="2"/>
        <v>0</v>
      </c>
      <c r="L54" s="1494">
        <f t="shared" si="3"/>
        <v>0</v>
      </c>
      <c r="M54" s="1495">
        <f>IFERROR(VLOOKUP($E$8:$E$196,'[1]INF GENERAL'!$B$2:$D$135,3,0),0)</f>
        <v>0</v>
      </c>
      <c r="N54" s="1496">
        <f>IFERROR(VLOOKUP($E$8:$E$196,'[1]INF GENERAL'!$F$2:$H$80,3,0),0)</f>
        <v>0</v>
      </c>
      <c r="O54" s="1496">
        <f>IFERROR(SUMIFS('[1]INF GENERAL'!$L:$L,'[1]INF GENERAL'!$J:$J,Tabla16[[#This Row],[Código]]),0)</f>
        <v>0</v>
      </c>
      <c r="P54" s="1496">
        <f>IFERROR(VLOOKUP($E$8:$E$196,'[1]INF GENERAL'!$V$2:$X$119,3,0),0)</f>
        <v>0</v>
      </c>
      <c r="Q54" s="1496">
        <f>IFERROR(SUMIFS('[1]INF GENERAL'!$P:$P,'[1]INF GENERAL'!$N:$N,Tabla16[[#This Row],[Código]]),0)</f>
        <v>0</v>
      </c>
      <c r="R54" s="1496">
        <f>IFERROR(VLOOKUP($E$8:$E$196,'[1]INF GENERAL'!$R$2:$T$119,3,0),0)</f>
        <v>0</v>
      </c>
      <c r="S54" s="1496">
        <f>IF(G54=0,0,(G54-(O54+P54)))</f>
        <v>0</v>
      </c>
      <c r="T54" s="1496">
        <f t="shared" si="5"/>
        <v>0</v>
      </c>
      <c r="U54" s="1497">
        <f t="shared" si="7"/>
        <v>0</v>
      </c>
      <c r="V54" s="1498" t="str">
        <f t="shared" si="11"/>
        <v>NO CRITICO</v>
      </c>
    </row>
    <row r="55" spans="1:22" hidden="1">
      <c r="A55" s="1488" t="s">
        <v>829</v>
      </c>
      <c r="B55" s="1488" t="s">
        <v>830</v>
      </c>
      <c r="C55" s="1489" t="s">
        <v>831</v>
      </c>
      <c r="D55" s="1489" t="s">
        <v>929</v>
      </c>
      <c r="E55" s="1488" t="s">
        <v>936</v>
      </c>
      <c r="F55" s="1488" t="s">
        <v>937</v>
      </c>
      <c r="G55" s="1503"/>
      <c r="H55" s="1491"/>
      <c r="I55" s="1492">
        <f t="shared" si="0"/>
        <v>0</v>
      </c>
      <c r="J55" s="1493">
        <f t="shared" si="1"/>
        <v>0</v>
      </c>
      <c r="K55" s="1492">
        <f t="shared" si="2"/>
        <v>0</v>
      </c>
      <c r="L55" s="1494">
        <f t="shared" si="3"/>
        <v>0</v>
      </c>
      <c r="M55" s="1495">
        <f>IFERROR(VLOOKUP($E$8:$E$196,'[1]INF GENERAL'!$B$2:$D$135,3,0),0)</f>
        <v>0</v>
      </c>
      <c r="N55" s="1496">
        <f>IFERROR(VLOOKUP($E$8:$E$196,'[1]INF GENERAL'!$F$2:$H$80,3,0),0)</f>
        <v>0</v>
      </c>
      <c r="O55" s="1496">
        <f>IFERROR(SUMIFS('[1]INF GENERAL'!$L:$L,'[1]INF GENERAL'!$J:$J,Tabla16[[#This Row],[Código]]),0)</f>
        <v>0</v>
      </c>
      <c r="P55" s="1500">
        <f>IFERROR(VLOOKUP($E$8:$E$196,'[1]INF GENERAL'!$V$2:$X$119,3,0),0)</f>
        <v>0</v>
      </c>
      <c r="Q55" s="1496">
        <f>IFERROR(SUMIFS('[1]INF GENERAL'!$P:$P,'[1]INF GENERAL'!$N:$N,Tabla16[[#This Row],[Código]]),0)</f>
        <v>0</v>
      </c>
      <c r="R55" s="1496">
        <f>IFERROR(VLOOKUP($E$8:$E$196,'[1]INF GENERAL'!$R$2:$T$119,3,0),0)</f>
        <v>0</v>
      </c>
      <c r="S55" s="1496">
        <f>IF(G55=0,0,(G55-O55))</f>
        <v>0</v>
      </c>
      <c r="T55" s="1496">
        <f t="shared" si="5"/>
        <v>0</v>
      </c>
      <c r="U55" s="1497">
        <f t="shared" si="7"/>
        <v>0</v>
      </c>
      <c r="V55" s="1498" t="str">
        <f t="shared" si="11"/>
        <v>NO CRITICO</v>
      </c>
    </row>
    <row r="56" spans="1:22" hidden="1">
      <c r="A56" s="1488" t="s">
        <v>829</v>
      </c>
      <c r="B56" s="1488" t="s">
        <v>830</v>
      </c>
      <c r="C56" s="1489" t="s">
        <v>907</v>
      </c>
      <c r="D56" s="1489" t="s">
        <v>929</v>
      </c>
      <c r="E56" s="1488" t="s">
        <v>938</v>
      </c>
      <c r="F56" s="1488" t="s">
        <v>939</v>
      </c>
      <c r="G56" s="1512"/>
      <c r="H56" s="1491">
        <v>825</v>
      </c>
      <c r="I56" s="1492">
        <f t="shared" si="0"/>
        <v>0</v>
      </c>
      <c r="J56" s="1493">
        <f t="shared" si="1"/>
        <v>0</v>
      </c>
      <c r="K56" s="1492">
        <f t="shared" si="2"/>
        <v>0</v>
      </c>
      <c r="L56" s="1494">
        <f t="shared" si="3"/>
        <v>0</v>
      </c>
      <c r="M56" s="1495">
        <f>IFERROR(VLOOKUP($E$8:$E$196,'[1]INF GENERAL'!$B$2:$D$135,3,0),0)</f>
        <v>0</v>
      </c>
      <c r="N56" s="1496">
        <f>IFERROR(VLOOKUP($E$8:$E$196,'[1]INF GENERAL'!$F$2:$H$80,3,0),0)</f>
        <v>0</v>
      </c>
      <c r="O56" s="1496">
        <f>IFERROR(SUMIFS('[1]INF GENERAL'!$L:$L,'[1]INF GENERAL'!$J:$J,Tabla16[[#This Row],[Código]]),0)</f>
        <v>0</v>
      </c>
      <c r="P56" s="1496">
        <f>IFERROR(VLOOKUP($E$8:$E$196,'[1]INF GENERAL'!$V$2:$X$119,3,0),0)</f>
        <v>0</v>
      </c>
      <c r="Q56" s="1496">
        <f>IFERROR(SUMIFS('[1]INF GENERAL'!$P:$P,'[1]INF GENERAL'!$N:$N,Tabla16[[#This Row],[Código]]),0)</f>
        <v>0</v>
      </c>
      <c r="R56" s="1496">
        <f>IFERROR(VLOOKUP($E$8:$E$196,'[1]INF GENERAL'!$R$2:$T$119,3,0),0)</f>
        <v>0</v>
      </c>
      <c r="S56" s="1496">
        <f>IF(G56=0,0,(G56-O56))</f>
        <v>0</v>
      </c>
      <c r="T56" s="1496">
        <f t="shared" si="5"/>
        <v>0</v>
      </c>
      <c r="U56" s="1497">
        <f t="shared" si="7"/>
        <v>0</v>
      </c>
      <c r="V56" s="1498" t="str">
        <f t="shared" ref="V56:V66" si="12">IF((Q56)&lt;J56,"INV&lt;7",IF((Q56)&lt;L56,"7≤INV≤20","INV&gt;20"))</f>
        <v>INV&gt;20</v>
      </c>
    </row>
    <row r="57" spans="1:22" hidden="1">
      <c r="A57" s="1488" t="s">
        <v>829</v>
      </c>
      <c r="B57" s="1488" t="s">
        <v>830</v>
      </c>
      <c r="C57" s="1489" t="s">
        <v>907</v>
      </c>
      <c r="D57" s="1489" t="s">
        <v>929</v>
      </c>
      <c r="E57" s="1488" t="s">
        <v>940</v>
      </c>
      <c r="F57" s="1488" t="s">
        <v>941</v>
      </c>
      <c r="G57" s="1503"/>
      <c r="H57" s="1491">
        <v>675</v>
      </c>
      <c r="I57" s="1492">
        <f t="shared" si="0"/>
        <v>0</v>
      </c>
      <c r="J57" s="1493">
        <f t="shared" si="1"/>
        <v>0</v>
      </c>
      <c r="K57" s="1492">
        <f t="shared" si="2"/>
        <v>0</v>
      </c>
      <c r="L57" s="1494">
        <f t="shared" si="3"/>
        <v>0</v>
      </c>
      <c r="M57" s="1495">
        <f>IFERROR(VLOOKUP($E$8:$E$196,'[1]INF GENERAL'!$B$2:$D$135,3,0),0)</f>
        <v>0</v>
      </c>
      <c r="N57" s="1496">
        <f>IFERROR(VLOOKUP($E$8:$E$196,'[1]INF GENERAL'!$F$2:$H$80,3,0),0)</f>
        <v>0</v>
      </c>
      <c r="O57" s="1496">
        <f>IFERROR(SUMIFS('[1]INF GENERAL'!$L:$L,'[1]INF GENERAL'!$J:$J,Tabla16[[#This Row],[Código]]),0)</f>
        <v>0</v>
      </c>
      <c r="P57" s="1496">
        <f>IFERROR(VLOOKUP($E$8:$E$196,'[1]INF GENERAL'!$V$2:$X$119,3,0),0)</f>
        <v>0</v>
      </c>
      <c r="Q57" s="1496">
        <f>IFERROR(SUMIFS('[1]INF GENERAL'!$P:$P,'[1]INF GENERAL'!$N:$N,Tabla16[[#This Row],[Código]]),0)</f>
        <v>0</v>
      </c>
      <c r="R57" s="1496">
        <f>IFERROR(VLOOKUP($E$8:$E$196,'[1]INF GENERAL'!$R$2:$T$119,3,0),0)</f>
        <v>0</v>
      </c>
      <c r="S57" s="1496">
        <f>IF(G57=0,0,(G57-O57))</f>
        <v>0</v>
      </c>
      <c r="T57" s="1496">
        <f t="shared" si="5"/>
        <v>0</v>
      </c>
      <c r="U57" s="1497">
        <f t="shared" si="7"/>
        <v>0</v>
      </c>
      <c r="V57" s="1498" t="str">
        <f t="shared" si="12"/>
        <v>INV&gt;20</v>
      </c>
    </row>
    <row r="58" spans="1:22">
      <c r="A58" s="1488" t="s">
        <v>893</v>
      </c>
      <c r="B58" s="1488" t="s">
        <v>830</v>
      </c>
      <c r="C58" s="1489" t="s">
        <v>831</v>
      </c>
      <c r="D58" s="1489" t="s">
        <v>942</v>
      </c>
      <c r="E58" s="1488" t="s">
        <v>943</v>
      </c>
      <c r="F58" s="1488" t="s">
        <v>944</v>
      </c>
      <c r="G58" s="1508">
        <v>8704</v>
      </c>
      <c r="H58" s="1509"/>
      <c r="I58" s="1492">
        <f t="shared" si="0"/>
        <v>435.2</v>
      </c>
      <c r="J58" s="1493">
        <f t="shared" si="1"/>
        <v>3046.4</v>
      </c>
      <c r="K58" s="1492">
        <f t="shared" si="2"/>
        <v>6528</v>
      </c>
      <c r="L58" s="1494">
        <f t="shared" si="3"/>
        <v>8704</v>
      </c>
      <c r="M58" s="1505">
        <f>IFERROR(VLOOKUP($E$8:$E$196,'[1]INF GENERAL'!$B$2:$D$135,3,0),0)</f>
        <v>4430</v>
      </c>
      <c r="N58" s="1496">
        <f>IFERROR(VLOOKUP($E$8:$E$196,'[1]INF GENERAL'!$F$2:$H$80,3,0),0)</f>
        <v>5676</v>
      </c>
      <c r="O58" s="1496">
        <f>IFERROR(SUMIFS('[1]INF GENERAL'!$L:$L,'[1]INF GENERAL'!$J:$J,Tabla16[[#This Row],[Código]]),0)</f>
        <v>0</v>
      </c>
      <c r="P58" s="1496">
        <f>IFERROR(VLOOKUP($E$8:$E$196,'[1]INF GENERAL'!$V$2:$X$119,3,0),0)</f>
        <v>217.75</v>
      </c>
      <c r="Q58" s="1496">
        <f>IFERROR(SUMIFS('[1]INF GENERAL'!$P:$P,'[1]INF GENERAL'!$N:$N,Tabla16[[#This Row],[Código]]),0)</f>
        <v>0</v>
      </c>
      <c r="R58" s="1496">
        <f>IFERROR(VLOOKUP($E$8:$E$196,'[1]INF GENERAL'!$R$2:$T$119,3,0),0)</f>
        <v>277.7285</v>
      </c>
      <c r="S58" s="1496">
        <f t="shared" ref="S58:S64" si="13">IF(G58=0,0,(G58-(O58+P58)))</f>
        <v>8486.25</v>
      </c>
      <c r="T58" s="1496">
        <f t="shared" si="5"/>
        <v>8704</v>
      </c>
      <c r="U58" s="1497">
        <f t="shared" si="7"/>
        <v>0</v>
      </c>
      <c r="V58" s="1498" t="str">
        <f t="shared" si="12"/>
        <v>INV&lt;7</v>
      </c>
    </row>
    <row r="59" spans="1:22">
      <c r="A59" s="1488" t="s">
        <v>893</v>
      </c>
      <c r="B59" s="1488" t="s">
        <v>830</v>
      </c>
      <c r="C59" s="1489" t="s">
        <v>831</v>
      </c>
      <c r="D59" s="1489" t="s">
        <v>942</v>
      </c>
      <c r="E59" s="1488" t="s">
        <v>945</v>
      </c>
      <c r="F59" s="1488" t="s">
        <v>946</v>
      </c>
      <c r="G59" s="1508">
        <v>21772</v>
      </c>
      <c r="H59" s="1509"/>
      <c r="I59" s="1492">
        <f t="shared" si="0"/>
        <v>1088.5999999999999</v>
      </c>
      <c r="J59" s="1493">
        <f t="shared" si="1"/>
        <v>7620.1999999999989</v>
      </c>
      <c r="K59" s="1492">
        <f t="shared" si="2"/>
        <v>16328.999999999998</v>
      </c>
      <c r="L59" s="1494">
        <f t="shared" si="3"/>
        <v>21772</v>
      </c>
      <c r="M59" s="1505">
        <f>IFERROR(VLOOKUP($E$8:$E$196,'[1]INF GENERAL'!$B$2:$D$135,3,0),0)</f>
        <v>5653</v>
      </c>
      <c r="N59" s="1496">
        <f>IFERROR(VLOOKUP($E$8:$E$196,'[1]INF GENERAL'!$F$2:$H$80,3,0),0)</f>
        <v>10593</v>
      </c>
      <c r="O59" s="1496">
        <f>IFERROR(SUMIFS('[1]INF GENERAL'!$L:$L,'[1]INF GENERAL'!$J:$J,Tabla16[[#This Row],[Código]]),0)</f>
        <v>0</v>
      </c>
      <c r="P59" s="1496">
        <f>IFERROR(VLOOKUP($E$8:$E$196,'[1]INF GENERAL'!$V$2:$X$119,3,0),0)</f>
        <v>751.125</v>
      </c>
      <c r="Q59" s="1496">
        <f>IFERROR(SUMIFS('[1]INF GENERAL'!$P:$P,'[1]INF GENERAL'!$N:$N,Tabla16[[#This Row],[Código]]),0)</f>
        <v>0</v>
      </c>
      <c r="R59" s="1496">
        <f>IFERROR(VLOOKUP($E$8:$E$196,'[1]INF GENERAL'!$R$2:$T$119,3,0),0)</f>
        <v>901.61890000000005</v>
      </c>
      <c r="S59" s="1496">
        <f t="shared" si="13"/>
        <v>21020.875</v>
      </c>
      <c r="T59" s="1496">
        <f t="shared" si="5"/>
        <v>21772</v>
      </c>
      <c r="U59" s="1497">
        <f t="shared" si="7"/>
        <v>0</v>
      </c>
      <c r="V59" s="1498" t="str">
        <f t="shared" si="12"/>
        <v>INV&lt;7</v>
      </c>
    </row>
    <row r="60" spans="1:22">
      <c r="A60" s="1488" t="s">
        <v>893</v>
      </c>
      <c r="B60" s="1488" t="s">
        <v>830</v>
      </c>
      <c r="C60" s="1489" t="s">
        <v>831</v>
      </c>
      <c r="D60" s="1489" t="s">
        <v>942</v>
      </c>
      <c r="E60" s="1488" t="s">
        <v>947</v>
      </c>
      <c r="F60" s="1488" t="s">
        <v>948</v>
      </c>
      <c r="G60" s="1508">
        <v>17168</v>
      </c>
      <c r="H60" s="1509"/>
      <c r="I60" s="1492">
        <f t="shared" si="0"/>
        <v>858.4</v>
      </c>
      <c r="J60" s="1493">
        <f t="shared" si="1"/>
        <v>6008.8</v>
      </c>
      <c r="K60" s="1492">
        <f t="shared" si="2"/>
        <v>12876</v>
      </c>
      <c r="L60" s="1494">
        <f t="shared" si="3"/>
        <v>17168</v>
      </c>
      <c r="M60" s="1505">
        <f>IFERROR(VLOOKUP($E$8:$E$196,'[1]INF GENERAL'!$B$2:$D$135,3,0),0)</f>
        <v>5879</v>
      </c>
      <c r="N60" s="1496">
        <f>IFERROR(VLOOKUP($E$8:$E$196,'[1]INF GENERAL'!$F$2:$H$80,3,0),0)</f>
        <v>11895</v>
      </c>
      <c r="O60" s="1496">
        <f>IFERROR(SUMIFS('[1]INF GENERAL'!$L:$L,'[1]INF GENERAL'!$J:$J,Tabla16[[#This Row],[Código]]),0)</f>
        <v>0</v>
      </c>
      <c r="P60" s="1496">
        <f>IFERROR(VLOOKUP($E$8:$E$196,'[1]INF GENERAL'!$V$2:$X$119,3,0),0)</f>
        <v>476.75</v>
      </c>
      <c r="Q60" s="1496">
        <f>IFERROR(SUMIFS('[1]INF GENERAL'!$P:$P,'[1]INF GENERAL'!$N:$N,Tabla16[[#This Row],[Código]]),0)</f>
        <v>0</v>
      </c>
      <c r="R60" s="1496">
        <f>IFERROR(VLOOKUP($E$8:$E$196,'[1]INF GENERAL'!$R$2:$T$119,3,0),0)</f>
        <v>626.21709999999996</v>
      </c>
      <c r="S60" s="1496">
        <f t="shared" si="13"/>
        <v>16691.25</v>
      </c>
      <c r="T60" s="1496">
        <f t="shared" si="5"/>
        <v>17168</v>
      </c>
      <c r="U60" s="1497">
        <f t="shared" si="7"/>
        <v>0</v>
      </c>
      <c r="V60" s="1498" t="str">
        <f t="shared" si="12"/>
        <v>INV&lt;7</v>
      </c>
    </row>
    <row r="61" spans="1:22">
      <c r="A61" s="1488" t="s">
        <v>893</v>
      </c>
      <c r="B61" s="1488" t="s">
        <v>830</v>
      </c>
      <c r="C61" s="1489" t="s">
        <v>831</v>
      </c>
      <c r="D61" s="1489" t="s">
        <v>942</v>
      </c>
      <c r="E61" s="1488" t="s">
        <v>949</v>
      </c>
      <c r="F61" s="1488" t="s">
        <v>950</v>
      </c>
      <c r="G61" s="1508">
        <v>4380</v>
      </c>
      <c r="H61" s="1509"/>
      <c r="I61" s="1492">
        <f t="shared" si="0"/>
        <v>219</v>
      </c>
      <c r="J61" s="1493">
        <f t="shared" si="1"/>
        <v>1533</v>
      </c>
      <c r="K61" s="1492">
        <f t="shared" si="2"/>
        <v>3285</v>
      </c>
      <c r="L61" s="1494">
        <f t="shared" si="3"/>
        <v>4380</v>
      </c>
      <c r="M61" s="1505">
        <f>IFERROR(VLOOKUP($E$8:$E$196,'[1]INF GENERAL'!$B$2:$D$135,3,0),0)</f>
        <v>704</v>
      </c>
      <c r="N61" s="1496">
        <f>IFERROR(VLOOKUP($E$8:$E$196,'[1]INF GENERAL'!$F$2:$H$80,3,0),0)</f>
        <v>2092</v>
      </c>
      <c r="O61" s="1496">
        <f>IFERROR(SUMIFS('[1]INF GENERAL'!$L:$L,'[1]INF GENERAL'!$J:$J,Tabla16[[#This Row],[Código]]),0)</f>
        <v>0</v>
      </c>
      <c r="P61" s="1496">
        <f>IFERROR(VLOOKUP($E$8:$E$196,'[1]INF GENERAL'!$V$2:$X$119,3,0),0)</f>
        <v>182.25</v>
      </c>
      <c r="Q61" s="1496">
        <f>IFERROR(SUMIFS('[1]INF GENERAL'!$P:$P,'[1]INF GENERAL'!$N:$N,Tabla16[[#This Row],[Código]]),0)</f>
        <v>0</v>
      </c>
      <c r="R61" s="1496">
        <f>IFERROR(VLOOKUP($E$8:$E$196,'[1]INF GENERAL'!$R$2:$T$119,3,0),0)</f>
        <v>286.48509999999999</v>
      </c>
      <c r="S61" s="1496">
        <f t="shared" si="13"/>
        <v>4197.75</v>
      </c>
      <c r="T61" s="1496">
        <f t="shared" si="5"/>
        <v>4380</v>
      </c>
      <c r="U61" s="1497">
        <f t="shared" si="7"/>
        <v>0</v>
      </c>
      <c r="V61" s="1498" t="str">
        <f t="shared" si="12"/>
        <v>INV&lt;7</v>
      </c>
    </row>
    <row r="62" spans="1:22">
      <c r="A62" s="1488" t="s">
        <v>893</v>
      </c>
      <c r="B62" s="1488" t="s">
        <v>830</v>
      </c>
      <c r="C62" s="1489" t="s">
        <v>912</v>
      </c>
      <c r="D62" s="1489" t="s">
        <v>942</v>
      </c>
      <c r="E62" s="1488" t="s">
        <v>951</v>
      </c>
      <c r="F62" s="1488" t="s">
        <v>952</v>
      </c>
      <c r="G62" s="1517">
        <v>658</v>
      </c>
      <c r="H62" s="1518"/>
      <c r="I62" s="1492">
        <f t="shared" si="0"/>
        <v>32.9</v>
      </c>
      <c r="J62" s="1493">
        <f t="shared" si="1"/>
        <v>230.29999999999998</v>
      </c>
      <c r="K62" s="1492">
        <f t="shared" si="2"/>
        <v>493.5</v>
      </c>
      <c r="L62" s="1494">
        <f t="shared" si="3"/>
        <v>658</v>
      </c>
      <c r="M62" s="1505">
        <f>IFERROR(VLOOKUP($E$8:$E$196,'[1]INF GENERAL'!$B$2:$D$135,3,0),0)</f>
        <v>32</v>
      </c>
      <c r="N62" s="1496">
        <f>IFERROR(VLOOKUP($E$8:$E$196,'[1]INF GENERAL'!$F$2:$H$80,3,0),0)</f>
        <v>1096</v>
      </c>
      <c r="O62" s="1496">
        <f>IFERROR(SUMIFS('[1]INF GENERAL'!$L:$L,'[1]INF GENERAL'!$J:$J,Tabla16[[#This Row],[Código]]),0)</f>
        <v>0</v>
      </c>
      <c r="P62" s="1496">
        <f>IFERROR(VLOOKUP($E$8:$E$196,'[1]INF GENERAL'!$V$2:$X$119,3,0),0)</f>
        <v>0</v>
      </c>
      <c r="Q62" s="1496">
        <f>IFERROR(SUMIFS('[1]INF GENERAL'!$P:$P,'[1]INF GENERAL'!$N:$N,Tabla16[[#This Row],[Código]]),0)</f>
        <v>0</v>
      </c>
      <c r="R62" s="1496">
        <f>IFERROR(VLOOKUP($E$8:$E$196,'[1]INF GENERAL'!$R$2:$T$119,3,0),0)</f>
        <v>0</v>
      </c>
      <c r="S62" s="1496">
        <f t="shared" si="13"/>
        <v>658</v>
      </c>
      <c r="T62" s="1496">
        <f t="shared" si="5"/>
        <v>658</v>
      </c>
      <c r="U62" s="1497">
        <f t="shared" si="7"/>
        <v>0</v>
      </c>
      <c r="V62" s="1498" t="str">
        <f t="shared" si="12"/>
        <v>INV&lt;7</v>
      </c>
    </row>
    <row r="63" spans="1:22">
      <c r="A63" s="1488" t="s">
        <v>893</v>
      </c>
      <c r="B63" s="1488" t="s">
        <v>830</v>
      </c>
      <c r="C63" s="1489" t="s">
        <v>912</v>
      </c>
      <c r="D63" s="1489" t="s">
        <v>942</v>
      </c>
      <c r="E63" s="1488" t="s">
        <v>953</v>
      </c>
      <c r="F63" s="1488" t="s">
        <v>954</v>
      </c>
      <c r="G63" s="1517">
        <v>1042</v>
      </c>
      <c r="H63" s="1518"/>
      <c r="I63" s="1492">
        <f t="shared" si="0"/>
        <v>52.1</v>
      </c>
      <c r="J63" s="1493">
        <f t="shared" si="1"/>
        <v>364.7</v>
      </c>
      <c r="K63" s="1492">
        <f t="shared" si="2"/>
        <v>781.5</v>
      </c>
      <c r="L63" s="1494">
        <f t="shared" si="3"/>
        <v>1042</v>
      </c>
      <c r="M63" s="1505">
        <f>IFERROR(VLOOKUP($E$8:$E$196,'[1]INF GENERAL'!$B$2:$D$135,3,0),0)</f>
        <v>383</v>
      </c>
      <c r="N63" s="1496">
        <f>IFERROR(VLOOKUP($E$8:$E$196,'[1]INF GENERAL'!$F$2:$H$80,3,0),0)</f>
        <v>778</v>
      </c>
      <c r="O63" s="1496">
        <f>IFERROR(SUMIFS('[1]INF GENERAL'!$L:$L,'[1]INF GENERAL'!$J:$J,Tabla16[[#This Row],[Código]]),0)</f>
        <v>0</v>
      </c>
      <c r="P63" s="1496">
        <f>IFERROR(VLOOKUP($E$8:$E$196,'[1]INF GENERAL'!$V$2:$X$119,3,0),0)</f>
        <v>0</v>
      </c>
      <c r="Q63" s="1496">
        <f>IFERROR(SUMIFS('[1]INF GENERAL'!$P:$P,'[1]INF GENERAL'!$N:$N,Tabla16[[#This Row],[Código]]),0)</f>
        <v>0</v>
      </c>
      <c r="R63" s="1496">
        <f>IFERROR(VLOOKUP($E$8:$E$196,'[1]INF GENERAL'!$R$2:$T$119,3,0),0)</f>
        <v>0</v>
      </c>
      <c r="S63" s="1496">
        <f t="shared" si="13"/>
        <v>1042</v>
      </c>
      <c r="T63" s="1496">
        <f t="shared" si="5"/>
        <v>1042</v>
      </c>
      <c r="U63" s="1497">
        <f t="shared" si="7"/>
        <v>0</v>
      </c>
      <c r="V63" s="1498" t="str">
        <f t="shared" si="12"/>
        <v>INV&lt;7</v>
      </c>
    </row>
    <row r="64" spans="1:22">
      <c r="A64" s="1488" t="s">
        <v>893</v>
      </c>
      <c r="B64" s="1488" t="s">
        <v>830</v>
      </c>
      <c r="C64" s="1489" t="s">
        <v>912</v>
      </c>
      <c r="D64" s="1489" t="s">
        <v>942</v>
      </c>
      <c r="E64" s="1488" t="s">
        <v>955</v>
      </c>
      <c r="F64" s="1488" t="s">
        <v>956</v>
      </c>
      <c r="G64" s="1517">
        <v>900</v>
      </c>
      <c r="H64" s="1518"/>
      <c r="I64" s="1492">
        <f t="shared" si="0"/>
        <v>45</v>
      </c>
      <c r="J64" s="1493">
        <f t="shared" si="1"/>
        <v>315</v>
      </c>
      <c r="K64" s="1492">
        <f t="shared" si="2"/>
        <v>675</v>
      </c>
      <c r="L64" s="1494">
        <f t="shared" si="3"/>
        <v>900</v>
      </c>
      <c r="M64" s="1505">
        <f>IFERROR(VLOOKUP($E$8:$E$196,'[1]INF GENERAL'!$B$2:$D$135,3,0),0)</f>
        <v>779</v>
      </c>
      <c r="N64" s="1496">
        <f>IFERROR(VLOOKUP($E$8:$E$196,'[1]INF GENERAL'!$F$2:$H$80,3,0),0)</f>
        <v>0</v>
      </c>
      <c r="O64" s="1496">
        <f>IFERROR(SUMIFS('[1]INF GENERAL'!$L:$L,'[1]INF GENERAL'!$J:$J,Tabla16[[#This Row],[Código]]),0)</f>
        <v>0</v>
      </c>
      <c r="P64" s="1496">
        <f>IFERROR(VLOOKUP($E$8:$E$196,'[1]INF GENERAL'!$V$2:$X$119,3,0),0)</f>
        <v>0</v>
      </c>
      <c r="Q64" s="1496">
        <f>IFERROR(SUMIFS('[1]INF GENERAL'!$P:$P,'[1]INF GENERAL'!$N:$N,Tabla16[[#This Row],[Código]]),0)</f>
        <v>0</v>
      </c>
      <c r="R64" s="1496">
        <f>IFERROR(VLOOKUP($E$8:$E$196,'[1]INF GENERAL'!$R$2:$T$119,3,0),0)</f>
        <v>0</v>
      </c>
      <c r="S64" s="1496">
        <f t="shared" si="13"/>
        <v>900</v>
      </c>
      <c r="T64" s="1496">
        <f t="shared" si="5"/>
        <v>900</v>
      </c>
      <c r="U64" s="1497">
        <f t="shared" si="7"/>
        <v>0</v>
      </c>
      <c r="V64" s="1498" t="str">
        <f t="shared" si="12"/>
        <v>INV&lt;7</v>
      </c>
    </row>
    <row r="65" spans="1:22" ht="12" customHeight="1">
      <c r="A65" s="1488" t="s">
        <v>893</v>
      </c>
      <c r="B65" s="1488" t="s">
        <v>830</v>
      </c>
      <c r="C65" s="1489" t="s">
        <v>867</v>
      </c>
      <c r="D65" s="1489" t="s">
        <v>942</v>
      </c>
      <c r="E65" s="1488" t="s">
        <v>957</v>
      </c>
      <c r="F65" s="1488" t="s">
        <v>958</v>
      </c>
      <c r="G65" s="1503">
        <v>280</v>
      </c>
      <c r="H65" s="1491"/>
      <c r="I65" s="1492">
        <f t="shared" si="0"/>
        <v>14</v>
      </c>
      <c r="J65" s="1493">
        <f t="shared" si="1"/>
        <v>98</v>
      </c>
      <c r="K65" s="1492">
        <f t="shared" si="2"/>
        <v>210</v>
      </c>
      <c r="L65" s="1494">
        <f t="shared" si="3"/>
        <v>280</v>
      </c>
      <c r="M65" s="1495">
        <f>IFERROR(VLOOKUP($E$8:$E$196,'[1]INF GENERAL'!$B$2:$D$135,3,0),0)</f>
        <v>552</v>
      </c>
      <c r="N65" s="1496">
        <f>IFERROR(VLOOKUP($E$8:$E$196,'[1]INF GENERAL'!$F$2:$H$80,3,0),0)</f>
        <v>0</v>
      </c>
      <c r="O65" s="1496">
        <f>IFERROR(SUMIFS('[1]INF GENERAL'!$L:$L,'[1]INF GENERAL'!$J:$J,Tabla16[[#This Row],[Código]]),0)</f>
        <v>0</v>
      </c>
      <c r="P65" s="1500">
        <f>IFERROR(VLOOKUP($E$8:$E$196,'[1]INF GENERAL'!$V$2:$X$119,3,0),0)</f>
        <v>0</v>
      </c>
      <c r="Q65" s="1496">
        <f>IFERROR(SUMIFS('[1]INF GENERAL'!$P:$P,'[1]INF GENERAL'!$N:$N,Tabla16[[#This Row],[Código]]),0)</f>
        <v>0</v>
      </c>
      <c r="R65" s="1496">
        <f>IFERROR(VLOOKUP($E$8:$E$196,'[1]INF GENERAL'!$R$2:$T$119,3,0),0)</f>
        <v>0</v>
      </c>
      <c r="S65" s="1496">
        <f>IF(G65=0,0,(G65-O65))</f>
        <v>280</v>
      </c>
      <c r="T65" s="1496">
        <f t="shared" si="5"/>
        <v>280</v>
      </c>
      <c r="U65" s="1497">
        <f t="shared" si="7"/>
        <v>0</v>
      </c>
      <c r="V65" s="1498" t="str">
        <f t="shared" si="12"/>
        <v>INV&lt;7</v>
      </c>
    </row>
    <row r="66" spans="1:22" hidden="1">
      <c r="A66" s="1488" t="s">
        <v>829</v>
      </c>
      <c r="B66" s="1488" t="s">
        <v>830</v>
      </c>
      <c r="C66" s="1489" t="s">
        <v>867</v>
      </c>
      <c r="D66" s="1489" t="s">
        <v>942</v>
      </c>
      <c r="E66" s="1488" t="s">
        <v>959</v>
      </c>
      <c r="F66" s="1519" t="s">
        <v>960</v>
      </c>
      <c r="G66" s="1508">
        <v>0</v>
      </c>
      <c r="H66" s="1509"/>
      <c r="I66" s="1492">
        <f t="shared" si="0"/>
        <v>0</v>
      </c>
      <c r="J66" s="1493">
        <f t="shared" si="1"/>
        <v>0</v>
      </c>
      <c r="K66" s="1492">
        <f t="shared" si="2"/>
        <v>0</v>
      </c>
      <c r="L66" s="1494">
        <f t="shared" si="3"/>
        <v>0</v>
      </c>
      <c r="M66" s="1505">
        <f>IFERROR(VLOOKUP($E$8:$E$196,'[1]INF GENERAL'!$B$2:$D$135,3,0),0)</f>
        <v>0</v>
      </c>
      <c r="N66" s="1496">
        <f>IFERROR(VLOOKUP($E$8:$E$196,'[1]INF GENERAL'!$F$2:$H$80,3,0),0)</f>
        <v>0</v>
      </c>
      <c r="O66" s="1496">
        <f>IFERROR(SUMIFS('[1]INF GENERAL'!$L:$L,'[1]INF GENERAL'!$J:$J,Tabla16[[#This Row],[Código]]),0)</f>
        <v>0</v>
      </c>
      <c r="P66" s="1496">
        <f>IFERROR(VLOOKUP($E$8:$E$196,'[1]INF GENERAL'!$V$2:$X$119,3,0),0)</f>
        <v>0</v>
      </c>
      <c r="Q66" s="1496">
        <f>IFERROR(SUMIFS('[1]INF GENERAL'!$P:$P,'[1]INF GENERAL'!$N:$N,Tabla16[[#This Row],[Código]]),0)</f>
        <v>0</v>
      </c>
      <c r="R66" s="1496">
        <f>IFERROR(VLOOKUP($E$8:$E$196,'[1]INF GENERAL'!$R$2:$T$119,3,0),0)</f>
        <v>0</v>
      </c>
      <c r="S66" s="1496">
        <f>IF(G66=0,0,(G66-(O66+P66)))</f>
        <v>0</v>
      </c>
      <c r="T66" s="1496">
        <f t="shared" si="5"/>
        <v>0</v>
      </c>
      <c r="U66" s="1497">
        <f t="shared" si="7"/>
        <v>0</v>
      </c>
      <c r="V66" s="1498" t="str">
        <f t="shared" si="12"/>
        <v>INV&gt;20</v>
      </c>
    </row>
    <row r="67" spans="1:22">
      <c r="A67" s="1488" t="s">
        <v>893</v>
      </c>
      <c r="B67" s="1488" t="s">
        <v>830</v>
      </c>
      <c r="C67" s="1489" t="s">
        <v>246</v>
      </c>
      <c r="D67" s="1489" t="s">
        <v>942</v>
      </c>
      <c r="E67" s="1488" t="s">
        <v>961</v>
      </c>
      <c r="F67" s="1519" t="s">
        <v>962</v>
      </c>
      <c r="G67" s="1512">
        <v>0</v>
      </c>
      <c r="H67" s="1492"/>
      <c r="I67" s="1492">
        <f t="shared" si="0"/>
        <v>0</v>
      </c>
      <c r="J67" s="1493">
        <f t="shared" si="1"/>
        <v>0</v>
      </c>
      <c r="K67" s="1492">
        <f t="shared" si="2"/>
        <v>0</v>
      </c>
      <c r="L67" s="1494">
        <f t="shared" si="3"/>
        <v>0</v>
      </c>
      <c r="M67" s="1495">
        <f>IFERROR(VLOOKUP($E$8:$E$196,'[1]INF GENERAL'!$B$2:$D$135,3,0),0)</f>
        <v>27</v>
      </c>
      <c r="N67" s="1496">
        <f>IFERROR(VLOOKUP($E$8:$E$196,'[1]INF GENERAL'!$F$2:$H$80,3,0),0)</f>
        <v>0</v>
      </c>
      <c r="O67" s="1496">
        <f>IFERROR(SUMIFS('[1]INF GENERAL'!$L:$L,'[1]INF GENERAL'!$J:$J,Tabla16[[#This Row],[Código]]),0)</f>
        <v>0</v>
      </c>
      <c r="P67" s="1500">
        <f>IFERROR(VLOOKUP($E$8:$E$196,'[1]INF GENERAL'!$V$2:$X$119,3,0),0)</f>
        <v>0</v>
      </c>
      <c r="Q67" s="1496">
        <f>IFERROR(SUMIFS('[1]INF GENERAL'!$P:$P,'[1]INF GENERAL'!$N:$N,Tabla16[[#This Row],[Código]]),0)</f>
        <v>0</v>
      </c>
      <c r="R67" s="1496">
        <f>IFERROR(VLOOKUP($E$8:$E$196,'[1]INF GENERAL'!$R$2:$T$119,3,0),0)</f>
        <v>0</v>
      </c>
      <c r="S67" s="1496">
        <f t="shared" ref="S67:S94" si="14">IF(G67=0,0,(G67-O67))</f>
        <v>0</v>
      </c>
      <c r="T67" s="1496">
        <f t="shared" si="5"/>
        <v>0</v>
      </c>
      <c r="U67" s="1497">
        <f t="shared" si="7"/>
        <v>0</v>
      </c>
      <c r="V67" s="1498" t="str">
        <f>IF((Q67)&lt;J67,"INV&lt;7",IF((Q67)&lt;L67,"7≤INV≤20","INV&gt;20"))</f>
        <v>INV&gt;20</v>
      </c>
    </row>
    <row r="68" spans="1:22" hidden="1">
      <c r="A68" s="1488" t="s">
        <v>829</v>
      </c>
      <c r="B68" s="1488" t="s">
        <v>830</v>
      </c>
      <c r="C68" s="1489" t="s">
        <v>831</v>
      </c>
      <c r="D68" s="1489" t="s">
        <v>942</v>
      </c>
      <c r="E68" s="1488" t="s">
        <v>963</v>
      </c>
      <c r="F68" s="1488" t="s">
        <v>964</v>
      </c>
      <c r="G68" s="1503"/>
      <c r="H68" s="1491"/>
      <c r="I68" s="1492">
        <f t="shared" si="0"/>
        <v>0</v>
      </c>
      <c r="J68" s="1493">
        <f t="shared" si="1"/>
        <v>0</v>
      </c>
      <c r="K68" s="1492">
        <f t="shared" si="2"/>
        <v>0</v>
      </c>
      <c r="L68" s="1494">
        <f t="shared" si="3"/>
        <v>0</v>
      </c>
      <c r="M68" s="1495">
        <f>IFERROR(VLOOKUP($E$8:$E$196,'[1]INF GENERAL'!$B$2:$D$135,3,0),0)</f>
        <v>0</v>
      </c>
      <c r="N68" s="1496">
        <f>IFERROR(VLOOKUP($E$8:$E$196,'[1]INF GENERAL'!$F$2:$H$80,3,0),0)</f>
        <v>0</v>
      </c>
      <c r="O68" s="1496">
        <f>IFERROR(SUMIFS('[1]INF GENERAL'!$L:$L,'[1]INF GENERAL'!$J:$J,Tabla16[[#This Row],[Código]]),0)</f>
        <v>0</v>
      </c>
      <c r="P68" s="1496">
        <f>IFERROR(VLOOKUP($E$8:$E$196,'[1]INF GENERAL'!$V$2:$X$119,3,0),0)</f>
        <v>0</v>
      </c>
      <c r="Q68" s="1496">
        <f>IFERROR(SUMIFS('[1]INF GENERAL'!$P:$P,'[1]INF GENERAL'!$N:$N,Tabla16[[#This Row],[Código]]),0)</f>
        <v>0</v>
      </c>
      <c r="R68" s="1496">
        <f>IFERROR(VLOOKUP($E$8:$E$196,'[1]INF GENERAL'!$R$2:$T$119,3,0),0)</f>
        <v>0</v>
      </c>
      <c r="S68" s="1496">
        <f t="shared" si="14"/>
        <v>0</v>
      </c>
      <c r="T68" s="1496">
        <f t="shared" si="5"/>
        <v>0</v>
      </c>
      <c r="U68" s="1497">
        <f t="shared" si="7"/>
        <v>0</v>
      </c>
      <c r="V68" s="1498" t="str">
        <f t="shared" si="11"/>
        <v>NO CRITICO</v>
      </c>
    </row>
    <row r="69" spans="1:22" hidden="1">
      <c r="A69" s="1488" t="s">
        <v>829</v>
      </c>
      <c r="B69" s="1488" t="s">
        <v>830</v>
      </c>
      <c r="C69" s="1489" t="s">
        <v>831</v>
      </c>
      <c r="D69" s="1489" t="s">
        <v>942</v>
      </c>
      <c r="E69" s="1488" t="s">
        <v>965</v>
      </c>
      <c r="F69" s="1488" t="s">
        <v>966</v>
      </c>
      <c r="G69" s="1503"/>
      <c r="H69" s="1491"/>
      <c r="I69" s="1492">
        <f t="shared" si="0"/>
        <v>0</v>
      </c>
      <c r="J69" s="1493">
        <f t="shared" si="1"/>
        <v>0</v>
      </c>
      <c r="K69" s="1492">
        <f t="shared" si="2"/>
        <v>0</v>
      </c>
      <c r="L69" s="1494">
        <f t="shared" si="3"/>
        <v>0</v>
      </c>
      <c r="M69" s="1495">
        <f>IFERROR(VLOOKUP($E$8:$E$196,'[1]INF GENERAL'!$B$2:$D$135,3,0),0)</f>
        <v>0</v>
      </c>
      <c r="N69" s="1496">
        <f>IFERROR(VLOOKUP($E$8:$E$196,'[1]INF GENERAL'!$F$2:$H$80,3,0),0)</f>
        <v>0</v>
      </c>
      <c r="O69" s="1496">
        <f>IFERROR(SUMIFS('[1]INF GENERAL'!$L:$L,'[1]INF GENERAL'!$J:$J,Tabla16[[#This Row],[Código]]),0)</f>
        <v>0</v>
      </c>
      <c r="P69" s="1500">
        <f>IFERROR(VLOOKUP($E$8:$E$196,'[1]INF GENERAL'!$V$2:$X$119,3,0),0)</f>
        <v>0</v>
      </c>
      <c r="Q69" s="1496">
        <f>IFERROR(SUMIFS('[1]INF GENERAL'!$P:$P,'[1]INF GENERAL'!$N:$N,Tabla16[[#This Row],[Código]]),0)</f>
        <v>0</v>
      </c>
      <c r="R69" s="1496">
        <f>IFERROR(VLOOKUP($E$8:$E$196,'[1]INF GENERAL'!$R$2:$T$119,3,0),0)</f>
        <v>0</v>
      </c>
      <c r="S69" s="1496">
        <f t="shared" si="14"/>
        <v>0</v>
      </c>
      <c r="T69" s="1496">
        <f t="shared" si="5"/>
        <v>0</v>
      </c>
      <c r="U69" s="1497">
        <v>0</v>
      </c>
      <c r="V69" s="1498" t="str">
        <f t="shared" si="11"/>
        <v>NO CRITICO</v>
      </c>
    </row>
    <row r="70" spans="1:22" hidden="1">
      <c r="A70" s="1488" t="s">
        <v>829</v>
      </c>
      <c r="B70" s="1488" t="s">
        <v>830</v>
      </c>
      <c r="C70" s="1489" t="s">
        <v>831</v>
      </c>
      <c r="D70" s="1489" t="s">
        <v>942</v>
      </c>
      <c r="E70" s="1488" t="s">
        <v>967</v>
      </c>
      <c r="F70" s="1488" t="s">
        <v>968</v>
      </c>
      <c r="G70" s="1503"/>
      <c r="H70" s="1491"/>
      <c r="I70" s="1492">
        <f t="shared" si="0"/>
        <v>0</v>
      </c>
      <c r="J70" s="1493">
        <f t="shared" si="1"/>
        <v>0</v>
      </c>
      <c r="K70" s="1492">
        <f t="shared" si="2"/>
        <v>0</v>
      </c>
      <c r="L70" s="1494">
        <f t="shared" si="3"/>
        <v>0</v>
      </c>
      <c r="M70" s="1495">
        <f>IFERROR(VLOOKUP($E$8:$E$196,'[1]INF GENERAL'!$B$2:$D$135,3,0),0)</f>
        <v>0</v>
      </c>
      <c r="N70" s="1496">
        <f>IFERROR(VLOOKUP($E$8:$E$196,'[1]INF GENERAL'!$F$2:$H$80,3,0),0)</f>
        <v>0</v>
      </c>
      <c r="O70" s="1496">
        <f>IFERROR(SUMIFS('[1]INF GENERAL'!$L:$L,'[1]INF GENERAL'!$J:$J,Tabla16[[#This Row],[Código]]),0)</f>
        <v>0</v>
      </c>
      <c r="P70" s="1500">
        <f>IFERROR(VLOOKUP($E$8:$E$196,'[1]INF GENERAL'!$V$2:$X$119,3,0),0)</f>
        <v>0</v>
      </c>
      <c r="Q70" s="1496">
        <f>IFERROR(SUMIFS('[1]INF GENERAL'!$P:$P,'[1]INF GENERAL'!$N:$N,Tabla16[[#This Row],[Código]]),0)</f>
        <v>0</v>
      </c>
      <c r="R70" s="1496">
        <f>IFERROR(VLOOKUP($E$8:$E$196,'[1]INF GENERAL'!$R$2:$T$119,3,0),0)</f>
        <v>0</v>
      </c>
      <c r="S70" s="1496">
        <f t="shared" si="14"/>
        <v>0</v>
      </c>
      <c r="T70" s="1496">
        <f t="shared" si="5"/>
        <v>0</v>
      </c>
      <c r="U70" s="1497">
        <v>0</v>
      </c>
      <c r="V70" s="1498" t="str">
        <f t="shared" si="11"/>
        <v>NO CRITICO</v>
      </c>
    </row>
    <row r="71" spans="1:22" hidden="1">
      <c r="A71" s="1488" t="s">
        <v>829</v>
      </c>
      <c r="B71" s="1488" t="s">
        <v>830</v>
      </c>
      <c r="C71" s="1489" t="s">
        <v>831</v>
      </c>
      <c r="D71" s="1489" t="s">
        <v>942</v>
      </c>
      <c r="E71" s="1488" t="s">
        <v>969</v>
      </c>
      <c r="F71" s="1488" t="s">
        <v>970</v>
      </c>
      <c r="G71" s="1503"/>
      <c r="H71" s="1491"/>
      <c r="I71" s="1492">
        <f t="shared" si="0"/>
        <v>0</v>
      </c>
      <c r="J71" s="1493">
        <f t="shared" si="1"/>
        <v>0</v>
      </c>
      <c r="K71" s="1492">
        <f t="shared" si="2"/>
        <v>0</v>
      </c>
      <c r="L71" s="1494">
        <f t="shared" si="3"/>
        <v>0</v>
      </c>
      <c r="M71" s="1495">
        <f>IFERROR(VLOOKUP($E$8:$E$196,'[1]INF GENERAL'!$B$2:$D$135,3,0),0)</f>
        <v>0</v>
      </c>
      <c r="N71" s="1496">
        <f>IFERROR(VLOOKUP($E$8:$E$196,'[1]INF GENERAL'!$F$2:$H$80,3,0),0)</f>
        <v>0</v>
      </c>
      <c r="O71" s="1496">
        <f>IFERROR(SUMIFS('[1]INF GENERAL'!$L:$L,'[1]INF GENERAL'!$J:$J,Tabla16[[#This Row],[Código]]),0)</f>
        <v>0</v>
      </c>
      <c r="P71" s="1500">
        <f>IFERROR(VLOOKUP($E$8:$E$196,'[1]INF GENERAL'!$V$2:$X$119,3,0),0)</f>
        <v>0</v>
      </c>
      <c r="Q71" s="1496">
        <f>IFERROR(SUMIFS('[1]INF GENERAL'!$P:$P,'[1]INF GENERAL'!$N:$N,Tabla16[[#This Row],[Código]]),0)</f>
        <v>0</v>
      </c>
      <c r="R71" s="1496">
        <f>IFERROR(VLOOKUP($E$8:$E$196,'[1]INF GENERAL'!$R$2:$T$119,3,0),0)</f>
        <v>0</v>
      </c>
      <c r="S71" s="1496">
        <f t="shared" si="14"/>
        <v>0</v>
      </c>
      <c r="T71" s="1496">
        <f t="shared" si="5"/>
        <v>0</v>
      </c>
      <c r="U71" s="1497">
        <v>0</v>
      </c>
      <c r="V71" s="1498" t="str">
        <f t="shared" si="11"/>
        <v>NO CRITICO</v>
      </c>
    </row>
    <row r="72" spans="1:22" hidden="1">
      <c r="A72" s="1488" t="s">
        <v>829</v>
      </c>
      <c r="B72" s="1488" t="s">
        <v>830</v>
      </c>
      <c r="C72" s="1489" t="s">
        <v>831</v>
      </c>
      <c r="D72" s="1489" t="s">
        <v>942</v>
      </c>
      <c r="E72" s="1488" t="s">
        <v>971</v>
      </c>
      <c r="F72" s="1488" t="s">
        <v>972</v>
      </c>
      <c r="G72" s="1503"/>
      <c r="H72" s="1491"/>
      <c r="I72" s="1492">
        <f t="shared" ref="I72:I135" si="15">+G72/$L$6</f>
        <v>0</v>
      </c>
      <c r="J72" s="1493">
        <f t="shared" si="1"/>
        <v>0</v>
      </c>
      <c r="K72" s="1492">
        <f t="shared" ref="K72:K135" si="16">+I72*$K$6</f>
        <v>0</v>
      </c>
      <c r="L72" s="1494">
        <f t="shared" ref="L72:L135" si="17">+I72*$L$6</f>
        <v>0</v>
      </c>
      <c r="M72" s="1495">
        <f>IFERROR(VLOOKUP($E$8:$E$196,'[1]INF GENERAL'!$B$2:$D$135,3,0),0)</f>
        <v>0</v>
      </c>
      <c r="N72" s="1496">
        <f>IFERROR(VLOOKUP($E$8:$E$196,'[1]INF GENERAL'!$F$2:$H$80,3,0),0)</f>
        <v>0</v>
      </c>
      <c r="O72" s="1496">
        <f>IFERROR(SUMIFS('[1]INF GENERAL'!$L:$L,'[1]INF GENERAL'!$J:$J,Tabla16[[#This Row],[Código]]),0)</f>
        <v>0</v>
      </c>
      <c r="P72" s="1500">
        <f>IFERROR(VLOOKUP($E$8:$E$196,'[1]INF GENERAL'!$V$2:$X$119,3,0),0)</f>
        <v>0</v>
      </c>
      <c r="Q72" s="1496">
        <f>IFERROR(SUMIFS('[1]INF GENERAL'!$P:$P,'[1]INF GENERAL'!$N:$N,Tabla16[[#This Row],[Código]]),0)</f>
        <v>0</v>
      </c>
      <c r="R72" s="1496">
        <f>IFERROR(VLOOKUP($E$8:$E$196,'[1]INF GENERAL'!$R$2:$T$119,3,0),0)</f>
        <v>0</v>
      </c>
      <c r="S72" s="1496">
        <f t="shared" si="14"/>
        <v>0</v>
      </c>
      <c r="T72" s="1496">
        <f t="shared" ref="T72:T135" si="18">IF(G72=0,0,(G72-(Q72+O72)))</f>
        <v>0</v>
      </c>
      <c r="U72" s="1497">
        <f>IF(G72=0,0,(Q72/I72))</f>
        <v>0</v>
      </c>
      <c r="V72" s="1498" t="str">
        <f t="shared" si="11"/>
        <v>NO CRITICO</v>
      </c>
    </row>
    <row r="73" spans="1:22" hidden="1">
      <c r="A73" s="1488" t="s">
        <v>829</v>
      </c>
      <c r="B73" s="1488" t="s">
        <v>973</v>
      </c>
      <c r="C73" s="1489" t="s">
        <v>831</v>
      </c>
      <c r="D73" s="1489" t="s">
        <v>974</v>
      </c>
      <c r="E73" s="1488" t="s">
        <v>975</v>
      </c>
      <c r="F73" s="1488" t="s">
        <v>976</v>
      </c>
      <c r="G73" s="1520"/>
      <c r="H73" s="1521"/>
      <c r="I73" s="1492">
        <f t="shared" si="15"/>
        <v>0</v>
      </c>
      <c r="J73" s="1493">
        <v>0</v>
      </c>
      <c r="K73" s="1492">
        <f t="shared" si="16"/>
        <v>0</v>
      </c>
      <c r="L73" s="1494">
        <f t="shared" si="17"/>
        <v>0</v>
      </c>
      <c r="M73" s="1495">
        <f>IFERROR(VLOOKUP($E$8:$E$196,'[1]INF GENERAL'!$B$2:$D$135,3,0),0)</f>
        <v>0</v>
      </c>
      <c r="N73" s="1496">
        <f>IFERROR(VLOOKUP($E$8:$E$196,'[1]INF GENERAL'!$F$2:$H$80,3,0),0)</f>
        <v>0</v>
      </c>
      <c r="O73" s="1496">
        <f>IFERROR(SUMIFS('[1]INF GENERAL'!$L:$L,'[1]INF GENERAL'!$J:$J,Tabla16[[#This Row],[Código]]),0)</f>
        <v>0</v>
      </c>
      <c r="P73" s="1500">
        <f>IFERROR(VLOOKUP($E$8:$E$196,'[1]INF GENERAL'!$V$2:$X$119,3,0),0)</f>
        <v>0</v>
      </c>
      <c r="Q73" s="1496">
        <f>IFERROR(SUMIFS('[1]INF GENERAL'!$P:$P,'[1]INF GENERAL'!$N:$N,Tabla16[[#This Row],[Código]]),0)</f>
        <v>0</v>
      </c>
      <c r="R73" s="1496">
        <f>IFERROR(VLOOKUP($E$8:$E$196,'[1]INF GENERAL'!$R$2:$T$119,3,0),0)</f>
        <v>0</v>
      </c>
      <c r="S73" s="1496">
        <f t="shared" si="14"/>
        <v>0</v>
      </c>
      <c r="T73" s="1496">
        <f t="shared" si="18"/>
        <v>0</v>
      </c>
      <c r="U73" s="1497">
        <v>0</v>
      </c>
      <c r="V73" s="1498" t="str">
        <f t="shared" si="11"/>
        <v>NO CRITICO</v>
      </c>
    </row>
    <row r="74" spans="1:22" hidden="1">
      <c r="A74" s="1488" t="s">
        <v>829</v>
      </c>
      <c r="B74" s="1488" t="s">
        <v>973</v>
      </c>
      <c r="C74" s="1489" t="s">
        <v>831</v>
      </c>
      <c r="D74" s="1489" t="s">
        <v>974</v>
      </c>
      <c r="E74" s="1488" t="s">
        <v>977</v>
      </c>
      <c r="F74" s="1488" t="s">
        <v>978</v>
      </c>
      <c r="G74" s="1520"/>
      <c r="H74" s="1521"/>
      <c r="I74" s="1492">
        <f t="shared" si="15"/>
        <v>0</v>
      </c>
      <c r="J74" s="1493">
        <v>0</v>
      </c>
      <c r="K74" s="1492">
        <f t="shared" si="16"/>
        <v>0</v>
      </c>
      <c r="L74" s="1494">
        <f t="shared" si="17"/>
        <v>0</v>
      </c>
      <c r="M74" s="1495">
        <f>IFERROR(VLOOKUP($E$8:$E$196,'[1]INF GENERAL'!$B$2:$D$135,3,0),0)</f>
        <v>0</v>
      </c>
      <c r="N74" s="1496">
        <f>IFERROR(VLOOKUP($E$8:$E$196,'[1]INF GENERAL'!$F$2:$H$80,3,0),0)</f>
        <v>0</v>
      </c>
      <c r="O74" s="1496">
        <f>IFERROR(SUMIFS('[1]INF GENERAL'!$L:$L,'[1]INF GENERAL'!$J:$J,Tabla16[[#This Row],[Código]]),0)</f>
        <v>0</v>
      </c>
      <c r="P74" s="1500">
        <f>IFERROR(VLOOKUP($E$8:$E$196,'[1]INF GENERAL'!$V$2:$X$119,3,0),0)</f>
        <v>0</v>
      </c>
      <c r="Q74" s="1496">
        <f>IFERROR(SUMIFS('[1]INF GENERAL'!$P:$P,'[1]INF GENERAL'!$N:$N,Tabla16[[#This Row],[Código]]),0)</f>
        <v>0</v>
      </c>
      <c r="R74" s="1496">
        <f>IFERROR(VLOOKUP($E$8:$E$196,'[1]INF GENERAL'!$R$2:$T$119,3,0),0)</f>
        <v>0</v>
      </c>
      <c r="S74" s="1496">
        <f t="shared" si="14"/>
        <v>0</v>
      </c>
      <c r="T74" s="1496">
        <f t="shared" si="18"/>
        <v>0</v>
      </c>
      <c r="U74" s="1497">
        <v>0</v>
      </c>
      <c r="V74" s="1498" t="str">
        <f t="shared" si="11"/>
        <v>NO CRITICO</v>
      </c>
    </row>
    <row r="75" spans="1:22" hidden="1">
      <c r="A75" s="1488" t="s">
        <v>829</v>
      </c>
      <c r="B75" s="1488" t="s">
        <v>973</v>
      </c>
      <c r="C75" s="1489" t="s">
        <v>831</v>
      </c>
      <c r="D75" s="1489" t="s">
        <v>974</v>
      </c>
      <c r="E75" s="1488" t="s">
        <v>979</v>
      </c>
      <c r="F75" s="1488" t="s">
        <v>980</v>
      </c>
      <c r="G75" s="1520"/>
      <c r="H75" s="1521"/>
      <c r="I75" s="1492">
        <f t="shared" si="15"/>
        <v>0</v>
      </c>
      <c r="J75" s="1493">
        <v>0</v>
      </c>
      <c r="K75" s="1492">
        <f t="shared" si="16"/>
        <v>0</v>
      </c>
      <c r="L75" s="1494">
        <f t="shared" si="17"/>
        <v>0</v>
      </c>
      <c r="M75" s="1495">
        <f>IFERROR(VLOOKUP($E$8:$E$196,'[1]INF GENERAL'!$B$2:$D$135,3,0),0)</f>
        <v>0</v>
      </c>
      <c r="N75" s="1496">
        <f>IFERROR(VLOOKUP($E$8:$E$196,'[1]INF GENERAL'!$F$2:$H$80,3,0),0)</f>
        <v>0</v>
      </c>
      <c r="O75" s="1496">
        <f>IFERROR(SUMIFS('[1]INF GENERAL'!$L:$L,'[1]INF GENERAL'!$J:$J,Tabla16[[#This Row],[Código]]),0)</f>
        <v>0</v>
      </c>
      <c r="P75" s="1500">
        <f>IFERROR(VLOOKUP($E$8:$E$196,'[1]INF GENERAL'!$V$2:$X$119,3,0),0)</f>
        <v>0</v>
      </c>
      <c r="Q75" s="1496">
        <f>IFERROR(SUMIFS('[1]INF GENERAL'!$P:$P,'[1]INF GENERAL'!$N:$N,Tabla16[[#This Row],[Código]]),0)</f>
        <v>0</v>
      </c>
      <c r="R75" s="1496">
        <f>IFERROR(VLOOKUP($E$8:$E$196,'[1]INF GENERAL'!$R$2:$T$119,3,0),0)</f>
        <v>0</v>
      </c>
      <c r="S75" s="1496">
        <f t="shared" si="14"/>
        <v>0</v>
      </c>
      <c r="T75" s="1496">
        <f t="shared" si="18"/>
        <v>0</v>
      </c>
      <c r="U75" s="1497">
        <v>0</v>
      </c>
      <c r="V75" s="1498" t="str">
        <f t="shared" si="11"/>
        <v>NO CRITICO</v>
      </c>
    </row>
    <row r="76" spans="1:22" hidden="1">
      <c r="A76" s="1488" t="s">
        <v>829</v>
      </c>
      <c r="B76" s="1488" t="s">
        <v>973</v>
      </c>
      <c r="C76" s="1489" t="s">
        <v>831</v>
      </c>
      <c r="D76" s="1489" t="s">
        <v>981</v>
      </c>
      <c r="E76" s="1488" t="s">
        <v>982</v>
      </c>
      <c r="F76" s="1488" t="s">
        <v>983</v>
      </c>
      <c r="G76" s="1503"/>
      <c r="H76" s="1491"/>
      <c r="I76" s="1492">
        <f t="shared" si="15"/>
        <v>0</v>
      </c>
      <c r="J76" s="1493">
        <f t="shared" ref="J76:J146" si="19">+I76*$J$6</f>
        <v>0</v>
      </c>
      <c r="K76" s="1492">
        <f t="shared" si="16"/>
        <v>0</v>
      </c>
      <c r="L76" s="1494">
        <f t="shared" si="17"/>
        <v>0</v>
      </c>
      <c r="M76" s="1495">
        <f>IFERROR(VLOOKUP($E$8:$E$196,'[1]INF GENERAL'!$B$2:$D$135,3,0),0)</f>
        <v>0</v>
      </c>
      <c r="N76" s="1496">
        <f>IFERROR(VLOOKUP($E$8:$E$196,'[1]INF GENERAL'!$F$2:$H$80,3,0),0)</f>
        <v>0</v>
      </c>
      <c r="O76" s="1496">
        <f>IFERROR(SUMIFS('[1]INF GENERAL'!$L:$L,'[1]INF GENERAL'!$J:$J,Tabla16[[#This Row],[Código]]),0)</f>
        <v>0</v>
      </c>
      <c r="P76" s="1500">
        <f>IFERROR(VLOOKUP($E$8:$E$196,'[1]INF GENERAL'!$V$2:$X$119,3,0),0)</f>
        <v>0</v>
      </c>
      <c r="Q76" s="1496">
        <f>IFERROR(SUMIFS('[1]INF GENERAL'!$P:$P,'[1]INF GENERAL'!$N:$N,Tabla16[[#This Row],[Código]]),0)</f>
        <v>0</v>
      </c>
      <c r="R76" s="1496">
        <f>IFERROR(VLOOKUP($E$8:$E$196,'[1]INF GENERAL'!$R$2:$T$119,3,0),0)</f>
        <v>0</v>
      </c>
      <c r="S76" s="1496">
        <f t="shared" si="14"/>
        <v>0</v>
      </c>
      <c r="T76" s="1496">
        <f t="shared" si="18"/>
        <v>0</v>
      </c>
      <c r="U76" s="1497">
        <f t="shared" ref="U76:U128" si="20">IF(G76=0,0,(Q76/I76))</f>
        <v>0</v>
      </c>
      <c r="V76" s="1498" t="str">
        <f t="shared" si="11"/>
        <v>NO CRITICO</v>
      </c>
    </row>
    <row r="77" spans="1:22" hidden="1">
      <c r="A77" s="1488" t="s">
        <v>829</v>
      </c>
      <c r="B77" s="1488" t="s">
        <v>973</v>
      </c>
      <c r="C77" s="1489" t="s">
        <v>831</v>
      </c>
      <c r="D77" s="1489" t="s">
        <v>981</v>
      </c>
      <c r="E77" s="1488" t="s">
        <v>984</v>
      </c>
      <c r="F77" s="1488" t="s">
        <v>985</v>
      </c>
      <c r="G77" s="1503"/>
      <c r="H77" s="1491"/>
      <c r="I77" s="1492">
        <f t="shared" si="15"/>
        <v>0</v>
      </c>
      <c r="J77" s="1493">
        <f t="shared" si="19"/>
        <v>0</v>
      </c>
      <c r="K77" s="1492">
        <f t="shared" si="16"/>
        <v>0</v>
      </c>
      <c r="L77" s="1494">
        <f t="shared" si="17"/>
        <v>0</v>
      </c>
      <c r="M77" s="1495">
        <f>IFERROR(VLOOKUP($E$8:$E$196,'[1]INF GENERAL'!$B$2:$D$135,3,0),0)</f>
        <v>0</v>
      </c>
      <c r="N77" s="1496">
        <f>IFERROR(VLOOKUP($E$8:$E$196,'[1]INF GENERAL'!$F$2:$H$80,3,0),0)</f>
        <v>0</v>
      </c>
      <c r="O77" s="1496">
        <f>IFERROR(SUMIFS('[1]INF GENERAL'!$L:$L,'[1]INF GENERAL'!$J:$J,Tabla16[[#This Row],[Código]]),0)</f>
        <v>0</v>
      </c>
      <c r="P77" s="1500">
        <f>IFERROR(VLOOKUP($E$8:$E$196,'[1]INF GENERAL'!$V$2:$X$119,3,0),0)</f>
        <v>0</v>
      </c>
      <c r="Q77" s="1496">
        <f>IFERROR(SUMIFS('[1]INF GENERAL'!$P:$P,'[1]INF GENERAL'!$N:$N,Tabla16[[#This Row],[Código]]),0)</f>
        <v>0</v>
      </c>
      <c r="R77" s="1496">
        <f>IFERROR(VLOOKUP($E$8:$E$196,'[1]INF GENERAL'!$R$2:$T$119,3,0),0)</f>
        <v>0</v>
      </c>
      <c r="S77" s="1496">
        <f t="shared" si="14"/>
        <v>0</v>
      </c>
      <c r="T77" s="1496">
        <f t="shared" si="18"/>
        <v>0</v>
      </c>
      <c r="U77" s="1497">
        <f t="shared" si="20"/>
        <v>0</v>
      </c>
      <c r="V77" s="1498" t="str">
        <f t="shared" si="11"/>
        <v>NO CRITICO</v>
      </c>
    </row>
    <row r="78" spans="1:22" hidden="1">
      <c r="A78" s="1488" t="s">
        <v>829</v>
      </c>
      <c r="B78" s="1488" t="s">
        <v>973</v>
      </c>
      <c r="C78" s="1489" t="s">
        <v>831</v>
      </c>
      <c r="D78" s="1489" t="s">
        <v>981</v>
      </c>
      <c r="E78" s="1488" t="s">
        <v>986</v>
      </c>
      <c r="F78" s="1488" t="s">
        <v>987</v>
      </c>
      <c r="G78" s="1503"/>
      <c r="H78" s="1491"/>
      <c r="I78" s="1492">
        <f t="shared" si="15"/>
        <v>0</v>
      </c>
      <c r="J78" s="1493">
        <f t="shared" si="19"/>
        <v>0</v>
      </c>
      <c r="K78" s="1492">
        <f t="shared" si="16"/>
        <v>0</v>
      </c>
      <c r="L78" s="1494">
        <f t="shared" si="17"/>
        <v>0</v>
      </c>
      <c r="M78" s="1495">
        <f>IFERROR(VLOOKUP($E$8:$E$196,'[1]INF GENERAL'!$B$2:$D$135,3,0),0)</f>
        <v>0</v>
      </c>
      <c r="N78" s="1496">
        <f>IFERROR(VLOOKUP($E$8:$E$196,'[1]INF GENERAL'!$F$2:$H$80,3,0),0)</f>
        <v>0</v>
      </c>
      <c r="O78" s="1496">
        <f>IFERROR(SUMIFS('[1]INF GENERAL'!$L:$L,'[1]INF GENERAL'!$J:$J,Tabla16[[#This Row],[Código]]),0)</f>
        <v>0</v>
      </c>
      <c r="P78" s="1500">
        <f>IFERROR(VLOOKUP($E$8:$E$196,'[1]INF GENERAL'!$V$2:$X$119,3,0),0)</f>
        <v>0</v>
      </c>
      <c r="Q78" s="1496">
        <f>IFERROR(SUMIFS('[1]INF GENERAL'!$P:$P,'[1]INF GENERAL'!$N:$N,Tabla16[[#This Row],[Código]]),0)</f>
        <v>0</v>
      </c>
      <c r="R78" s="1496">
        <f>IFERROR(VLOOKUP($E$8:$E$196,'[1]INF GENERAL'!$R$2:$T$119,3,0),0)</f>
        <v>0</v>
      </c>
      <c r="S78" s="1496">
        <f t="shared" si="14"/>
        <v>0</v>
      </c>
      <c r="T78" s="1496">
        <f t="shared" si="18"/>
        <v>0</v>
      </c>
      <c r="U78" s="1497">
        <f t="shared" si="20"/>
        <v>0</v>
      </c>
      <c r="V78" s="1498" t="str">
        <f t="shared" si="11"/>
        <v>NO CRITICO</v>
      </c>
    </row>
    <row r="79" spans="1:22" hidden="1">
      <c r="A79" s="1488" t="s">
        <v>829</v>
      </c>
      <c r="B79" s="1488" t="s">
        <v>973</v>
      </c>
      <c r="C79" s="1489" t="s">
        <v>831</v>
      </c>
      <c r="D79" s="1489" t="s">
        <v>981</v>
      </c>
      <c r="E79" s="1488" t="s">
        <v>988</v>
      </c>
      <c r="F79" s="1488" t="s">
        <v>989</v>
      </c>
      <c r="G79" s="1503"/>
      <c r="H79" s="1491"/>
      <c r="I79" s="1492">
        <f t="shared" si="15"/>
        <v>0</v>
      </c>
      <c r="J79" s="1493">
        <f t="shared" si="19"/>
        <v>0</v>
      </c>
      <c r="K79" s="1492">
        <f t="shared" si="16"/>
        <v>0</v>
      </c>
      <c r="L79" s="1494">
        <f t="shared" si="17"/>
        <v>0</v>
      </c>
      <c r="M79" s="1495">
        <f>IFERROR(VLOOKUP($E$8:$E$196,'[1]INF GENERAL'!$B$2:$D$135,3,0),0)</f>
        <v>0</v>
      </c>
      <c r="N79" s="1496">
        <f>IFERROR(VLOOKUP($E$8:$E$196,'[1]INF GENERAL'!$F$2:$H$80,3,0),0)</f>
        <v>0</v>
      </c>
      <c r="O79" s="1496">
        <f>IFERROR(SUMIFS('[1]INF GENERAL'!$L:$L,'[1]INF GENERAL'!$J:$J,Tabla16[[#This Row],[Código]]),0)</f>
        <v>0</v>
      </c>
      <c r="P79" s="1500">
        <f>IFERROR(VLOOKUP($E$8:$E$196,'[1]INF GENERAL'!$V$2:$X$119,3,0),0)</f>
        <v>0</v>
      </c>
      <c r="Q79" s="1496">
        <f>IFERROR(SUMIFS('[1]INF GENERAL'!$P:$P,'[1]INF GENERAL'!$N:$N,Tabla16[[#This Row],[Código]]),0)</f>
        <v>0</v>
      </c>
      <c r="R79" s="1496">
        <f>IFERROR(VLOOKUP($E$8:$E$196,'[1]INF GENERAL'!$R$2:$T$119,3,0),0)</f>
        <v>0</v>
      </c>
      <c r="S79" s="1496">
        <f t="shared" si="14"/>
        <v>0</v>
      </c>
      <c r="T79" s="1496">
        <f t="shared" si="18"/>
        <v>0</v>
      </c>
      <c r="U79" s="1497">
        <f t="shared" si="20"/>
        <v>0</v>
      </c>
      <c r="V79" s="1498" t="str">
        <f t="shared" si="11"/>
        <v>NO CRITICO</v>
      </c>
    </row>
    <row r="80" spans="1:22" hidden="1">
      <c r="A80" s="1488" t="s">
        <v>829</v>
      </c>
      <c r="B80" s="1488" t="s">
        <v>973</v>
      </c>
      <c r="C80" s="1489" t="s">
        <v>831</v>
      </c>
      <c r="D80" s="1489" t="s">
        <v>981</v>
      </c>
      <c r="E80" s="1488" t="s">
        <v>990</v>
      </c>
      <c r="F80" s="1488" t="s">
        <v>991</v>
      </c>
      <c r="G80" s="1503"/>
      <c r="H80" s="1491"/>
      <c r="I80" s="1492">
        <f t="shared" si="15"/>
        <v>0</v>
      </c>
      <c r="J80" s="1493">
        <f t="shared" si="19"/>
        <v>0</v>
      </c>
      <c r="K80" s="1492">
        <f t="shared" si="16"/>
        <v>0</v>
      </c>
      <c r="L80" s="1494">
        <f t="shared" si="17"/>
        <v>0</v>
      </c>
      <c r="M80" s="1495">
        <f>IFERROR(VLOOKUP($E$8:$E$196,'[1]INF GENERAL'!$B$2:$D$135,3,0),0)</f>
        <v>0</v>
      </c>
      <c r="N80" s="1496">
        <f>IFERROR(VLOOKUP($E$8:$E$196,'[1]INF GENERAL'!$F$2:$H$80,3,0),0)</f>
        <v>0</v>
      </c>
      <c r="O80" s="1496">
        <f>IFERROR(SUMIFS('[1]INF GENERAL'!$L:$L,'[1]INF GENERAL'!$J:$J,Tabla16[[#This Row],[Código]]),0)</f>
        <v>0</v>
      </c>
      <c r="P80" s="1500">
        <f>IFERROR(VLOOKUP($E$8:$E$196,'[1]INF GENERAL'!$V$2:$X$119,3,0),0)</f>
        <v>0</v>
      </c>
      <c r="Q80" s="1496">
        <f>IFERROR(SUMIFS('[1]INF GENERAL'!$P:$P,'[1]INF GENERAL'!$N:$N,Tabla16[[#This Row],[Código]]),0)</f>
        <v>0</v>
      </c>
      <c r="R80" s="1496">
        <f>IFERROR(VLOOKUP($E$8:$E$196,'[1]INF GENERAL'!$R$2:$T$119,3,0),0)</f>
        <v>0</v>
      </c>
      <c r="S80" s="1496">
        <f t="shared" si="14"/>
        <v>0</v>
      </c>
      <c r="T80" s="1496">
        <f t="shared" si="18"/>
        <v>0</v>
      </c>
      <c r="U80" s="1497">
        <f t="shared" si="20"/>
        <v>0</v>
      </c>
      <c r="V80" s="1498" t="str">
        <f t="shared" si="11"/>
        <v>NO CRITICO</v>
      </c>
    </row>
    <row r="81" spans="1:22" hidden="1">
      <c r="A81" s="1488" t="s">
        <v>829</v>
      </c>
      <c r="B81" s="1488" t="s">
        <v>992</v>
      </c>
      <c r="C81" s="1489" t="s">
        <v>831</v>
      </c>
      <c r="D81" s="1489" t="s">
        <v>993</v>
      </c>
      <c r="E81" s="1488" t="s">
        <v>994</v>
      </c>
      <c r="F81" s="1488" t="s">
        <v>995</v>
      </c>
      <c r="G81" s="1512">
        <v>0</v>
      </c>
      <c r="H81" s="1492">
        <v>0</v>
      </c>
      <c r="I81" s="1492">
        <f t="shared" si="15"/>
        <v>0</v>
      </c>
      <c r="J81" s="1493">
        <f t="shared" si="19"/>
        <v>0</v>
      </c>
      <c r="K81" s="1492">
        <f t="shared" si="16"/>
        <v>0</v>
      </c>
      <c r="L81" s="1494">
        <f t="shared" si="17"/>
        <v>0</v>
      </c>
      <c r="M81" s="1495">
        <f>IFERROR(VLOOKUP($E$8:$E$196,'[1]INF GENERAL'!$B$2:$D$135,3,0),0)</f>
        <v>0</v>
      </c>
      <c r="N81" s="1496">
        <f>IFERROR(VLOOKUP($E$8:$E$196,'[1]INF GENERAL'!$F$2:$H$80,3,0),0)</f>
        <v>0</v>
      </c>
      <c r="O81" s="1496">
        <f>IFERROR(SUMIFS('[1]INF GENERAL'!$L:$L,'[1]INF GENERAL'!$J:$J,Tabla16[[#This Row],[Código]]),0)</f>
        <v>0</v>
      </c>
      <c r="P81" s="1500">
        <f>IFERROR(VLOOKUP($E$8:$E$196,'[1]INF GENERAL'!$V$2:$X$119,3,0),0)</f>
        <v>0</v>
      </c>
      <c r="Q81" s="1496">
        <f>IFERROR(SUMIFS('[1]INF GENERAL'!$P:$P,'[1]INF GENERAL'!$N:$N,Tabla16[[#This Row],[Código]]),0)</f>
        <v>0</v>
      </c>
      <c r="R81" s="1496">
        <f>IFERROR(VLOOKUP($E$8:$E$196,'[1]INF GENERAL'!$R$2:$T$119,3,0),0)</f>
        <v>0</v>
      </c>
      <c r="S81" s="1496">
        <f t="shared" si="14"/>
        <v>0</v>
      </c>
      <c r="T81" s="1496">
        <f t="shared" si="18"/>
        <v>0</v>
      </c>
      <c r="U81" s="1497">
        <f t="shared" si="20"/>
        <v>0</v>
      </c>
      <c r="V81" s="1498" t="str">
        <f t="shared" si="11"/>
        <v>NO CRITICO</v>
      </c>
    </row>
    <row r="82" spans="1:22" hidden="1">
      <c r="A82" s="1488" t="s">
        <v>829</v>
      </c>
      <c r="B82" s="1488" t="s">
        <v>992</v>
      </c>
      <c r="C82" s="1489" t="s">
        <v>831</v>
      </c>
      <c r="D82" s="1489" t="s">
        <v>993</v>
      </c>
      <c r="E82" s="1488" t="s">
        <v>996</v>
      </c>
      <c r="F82" s="1488" t="s">
        <v>997</v>
      </c>
      <c r="G82" s="1512">
        <v>0</v>
      </c>
      <c r="H82" s="1492">
        <v>0</v>
      </c>
      <c r="I82" s="1492">
        <f t="shared" si="15"/>
        <v>0</v>
      </c>
      <c r="J82" s="1493">
        <f t="shared" si="19"/>
        <v>0</v>
      </c>
      <c r="K82" s="1492">
        <f t="shared" si="16"/>
        <v>0</v>
      </c>
      <c r="L82" s="1494">
        <f t="shared" si="17"/>
        <v>0</v>
      </c>
      <c r="M82" s="1495">
        <f>IFERROR(VLOOKUP($E$8:$E$196,'[1]INF GENERAL'!$B$2:$D$135,3,0),0)</f>
        <v>0</v>
      </c>
      <c r="N82" s="1496">
        <f>IFERROR(VLOOKUP($E$8:$E$196,'[1]INF GENERAL'!$F$2:$H$80,3,0),0)</f>
        <v>0</v>
      </c>
      <c r="O82" s="1496">
        <f>IFERROR(SUMIFS('[1]INF GENERAL'!$L:$L,'[1]INF GENERAL'!$J:$J,Tabla16[[#This Row],[Código]]),0)</f>
        <v>0</v>
      </c>
      <c r="P82" s="1500">
        <f>IFERROR(VLOOKUP($E$8:$E$196,'[1]INF GENERAL'!$V$2:$X$119,3,0),0)</f>
        <v>0</v>
      </c>
      <c r="Q82" s="1496">
        <f>IFERROR(SUMIFS('[1]INF GENERAL'!$P:$P,'[1]INF GENERAL'!$N:$N,Tabla16[[#This Row],[Código]]),0)</f>
        <v>0</v>
      </c>
      <c r="R82" s="1496">
        <f>IFERROR(VLOOKUP($E$8:$E$196,'[1]INF GENERAL'!$R$2:$T$119,3,0),0)</f>
        <v>0</v>
      </c>
      <c r="S82" s="1496">
        <f t="shared" si="14"/>
        <v>0</v>
      </c>
      <c r="T82" s="1496">
        <f t="shared" si="18"/>
        <v>0</v>
      </c>
      <c r="U82" s="1497">
        <f t="shared" si="20"/>
        <v>0</v>
      </c>
      <c r="V82" s="1498" t="str">
        <f t="shared" si="11"/>
        <v>NO CRITICO</v>
      </c>
    </row>
    <row r="83" spans="1:22" hidden="1">
      <c r="A83" s="1488" t="s">
        <v>829</v>
      </c>
      <c r="B83" s="1488" t="s">
        <v>992</v>
      </c>
      <c r="C83" s="1489" t="s">
        <v>831</v>
      </c>
      <c r="D83" s="1489" t="s">
        <v>993</v>
      </c>
      <c r="E83" s="1488" t="s">
        <v>998</v>
      </c>
      <c r="F83" s="1488" t="s">
        <v>999</v>
      </c>
      <c r="G83" s="1512">
        <v>0</v>
      </c>
      <c r="H83" s="1492">
        <v>0</v>
      </c>
      <c r="I83" s="1492">
        <f t="shared" si="15"/>
        <v>0</v>
      </c>
      <c r="J83" s="1493">
        <f t="shared" si="19"/>
        <v>0</v>
      </c>
      <c r="K83" s="1492">
        <f t="shared" si="16"/>
        <v>0</v>
      </c>
      <c r="L83" s="1494">
        <f t="shared" si="17"/>
        <v>0</v>
      </c>
      <c r="M83" s="1495">
        <f>IFERROR(VLOOKUP($E$8:$E$196,'[1]INF GENERAL'!$B$2:$D$135,3,0),0)</f>
        <v>0</v>
      </c>
      <c r="N83" s="1496">
        <f>IFERROR(VLOOKUP($E$8:$E$196,'[1]INF GENERAL'!$F$2:$H$80,3,0),0)</f>
        <v>0</v>
      </c>
      <c r="O83" s="1496">
        <f>IFERROR(SUMIFS('[1]INF GENERAL'!$L:$L,'[1]INF GENERAL'!$J:$J,Tabla16[[#This Row],[Código]]),0)</f>
        <v>0</v>
      </c>
      <c r="P83" s="1500">
        <f>IFERROR(VLOOKUP($E$8:$E$196,'[1]INF GENERAL'!$V$2:$X$119,3,0),0)</f>
        <v>0</v>
      </c>
      <c r="Q83" s="1496">
        <f>IFERROR(SUMIFS('[1]INF GENERAL'!$P:$P,'[1]INF GENERAL'!$N:$N,Tabla16[[#This Row],[Código]]),0)</f>
        <v>0</v>
      </c>
      <c r="R83" s="1496">
        <f>IFERROR(VLOOKUP($E$8:$E$196,'[1]INF GENERAL'!$R$2:$T$119,3,0),0)</f>
        <v>0</v>
      </c>
      <c r="S83" s="1496">
        <f t="shared" si="14"/>
        <v>0</v>
      </c>
      <c r="T83" s="1496">
        <f t="shared" si="18"/>
        <v>0</v>
      </c>
      <c r="U83" s="1497">
        <f t="shared" si="20"/>
        <v>0</v>
      </c>
      <c r="V83" s="1498" t="str">
        <f t="shared" si="11"/>
        <v>NO CRITICO</v>
      </c>
    </row>
    <row r="84" spans="1:22" hidden="1">
      <c r="A84" s="1488" t="s">
        <v>829</v>
      </c>
      <c r="B84" s="1488" t="s">
        <v>992</v>
      </c>
      <c r="C84" s="1489" t="s">
        <v>831</v>
      </c>
      <c r="D84" s="1489" t="s">
        <v>993</v>
      </c>
      <c r="E84" s="1488" t="s">
        <v>1000</v>
      </c>
      <c r="F84" s="1488" t="s">
        <v>1001</v>
      </c>
      <c r="G84" s="1503"/>
      <c r="H84" s="1491"/>
      <c r="I84" s="1492">
        <f t="shared" si="15"/>
        <v>0</v>
      </c>
      <c r="J84" s="1493">
        <f t="shared" si="19"/>
        <v>0</v>
      </c>
      <c r="K84" s="1492">
        <f t="shared" si="16"/>
        <v>0</v>
      </c>
      <c r="L84" s="1494">
        <f t="shared" si="17"/>
        <v>0</v>
      </c>
      <c r="M84" s="1495">
        <f>IFERROR(VLOOKUP($E$8:$E$196,'[1]INF GENERAL'!$B$2:$D$135,3,0),0)</f>
        <v>0</v>
      </c>
      <c r="N84" s="1496">
        <f>IFERROR(VLOOKUP($E$8:$E$196,'[1]INF GENERAL'!$F$2:$H$80,3,0),0)</f>
        <v>0</v>
      </c>
      <c r="O84" s="1496">
        <f>IFERROR(SUMIFS('[1]INF GENERAL'!$L:$L,'[1]INF GENERAL'!$J:$J,Tabla16[[#This Row],[Código]]),0)</f>
        <v>0</v>
      </c>
      <c r="P84" s="1496">
        <f>IFERROR(VLOOKUP($E$8:$E$196,'[1]INF GENERAL'!$V$2:$X$119,3,0),0)</f>
        <v>0</v>
      </c>
      <c r="Q84" s="1496">
        <f>IFERROR(SUMIFS('[1]INF GENERAL'!$P:$P,'[1]INF GENERAL'!$N:$N,Tabla16[[#This Row],[Código]]),0)</f>
        <v>0</v>
      </c>
      <c r="R84" s="1496">
        <f>IFERROR(VLOOKUP($E$8:$E$196,'[1]INF GENERAL'!$R$2:$T$119,3,0),0)</f>
        <v>0</v>
      </c>
      <c r="S84" s="1496">
        <f t="shared" si="14"/>
        <v>0</v>
      </c>
      <c r="T84" s="1496">
        <f t="shared" si="18"/>
        <v>0</v>
      </c>
      <c r="U84" s="1497">
        <f t="shared" si="20"/>
        <v>0</v>
      </c>
      <c r="V84" s="1498" t="str">
        <f t="shared" si="11"/>
        <v>NO CRITICO</v>
      </c>
    </row>
    <row r="85" spans="1:22" hidden="1">
      <c r="A85" s="1488" t="s">
        <v>829</v>
      </c>
      <c r="B85" s="1488" t="s">
        <v>992</v>
      </c>
      <c r="C85" s="1489" t="s">
        <v>907</v>
      </c>
      <c r="D85" s="1489" t="s">
        <v>993</v>
      </c>
      <c r="E85" s="1488" t="s">
        <v>1002</v>
      </c>
      <c r="F85" s="1488" t="s">
        <v>1003</v>
      </c>
      <c r="G85" s="1512">
        <v>0</v>
      </c>
      <c r="H85" s="1492">
        <v>0</v>
      </c>
      <c r="I85" s="1492">
        <f t="shared" si="15"/>
        <v>0</v>
      </c>
      <c r="J85" s="1493">
        <f t="shared" si="19"/>
        <v>0</v>
      </c>
      <c r="K85" s="1492">
        <f t="shared" si="16"/>
        <v>0</v>
      </c>
      <c r="L85" s="1494">
        <f t="shared" si="17"/>
        <v>0</v>
      </c>
      <c r="M85" s="1495">
        <f>IFERROR(VLOOKUP($E$8:$E$196,'[1]INF GENERAL'!$B$2:$D$135,3,0),0)</f>
        <v>0</v>
      </c>
      <c r="N85" s="1496">
        <f>IFERROR(VLOOKUP($E$8:$E$196,'[1]INF GENERAL'!$F$2:$H$80,3,0),0)</f>
        <v>0</v>
      </c>
      <c r="O85" s="1496">
        <f>IFERROR(SUMIFS('[1]INF GENERAL'!$L:$L,'[1]INF GENERAL'!$J:$J,Tabla16[[#This Row],[Código]]),0)</f>
        <v>0</v>
      </c>
      <c r="P85" s="1500">
        <f>IFERROR(VLOOKUP($E$8:$E$196,'[1]INF GENERAL'!$V$2:$X$119,3,0),0)</f>
        <v>0</v>
      </c>
      <c r="Q85" s="1496">
        <f>IFERROR(SUMIFS('[1]INF GENERAL'!$P:$P,'[1]INF GENERAL'!$N:$N,Tabla16[[#This Row],[Código]]),0)</f>
        <v>0</v>
      </c>
      <c r="R85" s="1496">
        <f>IFERROR(VLOOKUP($E$8:$E$196,'[1]INF GENERAL'!$R$2:$T$119,3,0),0)</f>
        <v>0</v>
      </c>
      <c r="S85" s="1496">
        <f t="shared" si="14"/>
        <v>0</v>
      </c>
      <c r="T85" s="1496">
        <f t="shared" si="18"/>
        <v>0</v>
      </c>
      <c r="U85" s="1497">
        <f t="shared" si="20"/>
        <v>0</v>
      </c>
      <c r="V85" s="1498" t="str">
        <f t="shared" si="11"/>
        <v>NO CRITICO</v>
      </c>
    </row>
    <row r="86" spans="1:22" hidden="1">
      <c r="A86" s="1488" t="s">
        <v>829</v>
      </c>
      <c r="B86" s="1488" t="s">
        <v>992</v>
      </c>
      <c r="C86" s="1489" t="s">
        <v>907</v>
      </c>
      <c r="D86" s="1489" t="s">
        <v>993</v>
      </c>
      <c r="E86" s="1488" t="s">
        <v>1004</v>
      </c>
      <c r="F86" s="1488" t="s">
        <v>1005</v>
      </c>
      <c r="G86" s="1512">
        <v>0</v>
      </c>
      <c r="H86" s="1492">
        <v>0</v>
      </c>
      <c r="I86" s="1492">
        <f t="shared" si="15"/>
        <v>0</v>
      </c>
      <c r="J86" s="1493">
        <f t="shared" si="19"/>
        <v>0</v>
      </c>
      <c r="K86" s="1492">
        <f t="shared" si="16"/>
        <v>0</v>
      </c>
      <c r="L86" s="1494">
        <f t="shared" si="17"/>
        <v>0</v>
      </c>
      <c r="M86" s="1495">
        <f>IFERROR(VLOOKUP($E$8:$E$196,'[1]INF GENERAL'!$B$2:$D$135,3,0),0)</f>
        <v>0</v>
      </c>
      <c r="N86" s="1496">
        <f>IFERROR(VLOOKUP($E$8:$E$196,'[1]INF GENERAL'!$F$2:$H$80,3,0),0)</f>
        <v>0</v>
      </c>
      <c r="O86" s="1496">
        <f>IFERROR(SUMIFS('[1]INF GENERAL'!$L:$L,'[1]INF GENERAL'!$J:$J,Tabla16[[#This Row],[Código]]),0)</f>
        <v>0</v>
      </c>
      <c r="P86" s="1500">
        <f>IFERROR(VLOOKUP($E$8:$E$196,'[1]INF GENERAL'!$V$2:$X$119,3,0),0)</f>
        <v>0</v>
      </c>
      <c r="Q86" s="1496">
        <f>IFERROR(SUMIFS('[1]INF GENERAL'!$P:$P,'[1]INF GENERAL'!$N:$N,Tabla16[[#This Row],[Código]]),0)</f>
        <v>0</v>
      </c>
      <c r="R86" s="1496">
        <f>IFERROR(VLOOKUP($E$8:$E$196,'[1]INF GENERAL'!$R$2:$T$119,3,0),0)</f>
        <v>0</v>
      </c>
      <c r="S86" s="1496">
        <f t="shared" si="14"/>
        <v>0</v>
      </c>
      <c r="T86" s="1496">
        <f t="shared" si="18"/>
        <v>0</v>
      </c>
      <c r="U86" s="1497">
        <f t="shared" si="20"/>
        <v>0</v>
      </c>
      <c r="V86" s="1498" t="str">
        <f t="shared" si="11"/>
        <v>NO CRITICO</v>
      </c>
    </row>
    <row r="87" spans="1:22" hidden="1">
      <c r="A87" s="1488" t="s">
        <v>829</v>
      </c>
      <c r="B87" s="1488" t="s">
        <v>992</v>
      </c>
      <c r="C87" s="1489" t="s">
        <v>831</v>
      </c>
      <c r="D87" s="1489" t="s">
        <v>993</v>
      </c>
      <c r="E87" s="1488" t="s">
        <v>1006</v>
      </c>
      <c r="F87" s="1488" t="s">
        <v>1007</v>
      </c>
      <c r="G87" s="1503"/>
      <c r="H87" s="1491"/>
      <c r="I87" s="1492">
        <f t="shared" si="15"/>
        <v>0</v>
      </c>
      <c r="J87" s="1493">
        <f t="shared" si="19"/>
        <v>0</v>
      </c>
      <c r="K87" s="1492">
        <f t="shared" si="16"/>
        <v>0</v>
      </c>
      <c r="L87" s="1494">
        <f t="shared" si="17"/>
        <v>0</v>
      </c>
      <c r="M87" s="1495">
        <f>IFERROR(VLOOKUP($E$8:$E$196,'[1]INF GENERAL'!$B$2:$D$135,3,0),0)</f>
        <v>0</v>
      </c>
      <c r="N87" s="1496">
        <f>IFERROR(VLOOKUP($E$8:$E$196,'[1]INF GENERAL'!$F$2:$H$80,3,0),0)</f>
        <v>0</v>
      </c>
      <c r="O87" s="1496">
        <f>IFERROR(SUMIFS('[1]INF GENERAL'!$L:$L,'[1]INF GENERAL'!$J:$J,Tabla16[[#This Row],[Código]]),0)</f>
        <v>0</v>
      </c>
      <c r="P87" s="1496">
        <f>IFERROR(VLOOKUP($E$8:$E$196,'[1]INF GENERAL'!$V$2:$X$119,3,0),0)</f>
        <v>0</v>
      </c>
      <c r="Q87" s="1496">
        <f>IFERROR(SUMIFS('[1]INF GENERAL'!$P:$P,'[1]INF GENERAL'!$N:$N,Tabla16[[#This Row],[Código]]),0)</f>
        <v>0</v>
      </c>
      <c r="R87" s="1496">
        <f>IFERROR(VLOOKUP($E$8:$E$196,'[1]INF GENERAL'!$R$2:$T$119,3,0),0)</f>
        <v>0</v>
      </c>
      <c r="S87" s="1496">
        <f t="shared" si="14"/>
        <v>0</v>
      </c>
      <c r="T87" s="1496">
        <f t="shared" si="18"/>
        <v>0</v>
      </c>
      <c r="U87" s="1497">
        <f t="shared" si="20"/>
        <v>0</v>
      </c>
      <c r="V87" s="1498" t="str">
        <f t="shared" si="11"/>
        <v>NO CRITICO</v>
      </c>
    </row>
    <row r="88" spans="1:22" hidden="1">
      <c r="A88" s="1488" t="s">
        <v>829</v>
      </c>
      <c r="B88" s="1488" t="s">
        <v>992</v>
      </c>
      <c r="C88" s="1489" t="s">
        <v>831</v>
      </c>
      <c r="D88" s="1489" t="s">
        <v>1008</v>
      </c>
      <c r="E88" s="1488" t="s">
        <v>1009</v>
      </c>
      <c r="F88" s="1488" t="s">
        <v>1010</v>
      </c>
      <c r="G88" s="1503"/>
      <c r="H88" s="1491"/>
      <c r="I88" s="1492">
        <f t="shared" si="15"/>
        <v>0</v>
      </c>
      <c r="J88" s="1493">
        <f t="shared" si="19"/>
        <v>0</v>
      </c>
      <c r="K88" s="1492">
        <f t="shared" si="16"/>
        <v>0</v>
      </c>
      <c r="L88" s="1494">
        <f t="shared" si="17"/>
        <v>0</v>
      </c>
      <c r="M88" s="1495">
        <f>IFERROR(VLOOKUP($E$8:$E$196,'[1]INF GENERAL'!$B$2:$D$135,3,0),0)</f>
        <v>0</v>
      </c>
      <c r="N88" s="1496">
        <f>IFERROR(VLOOKUP($E$8:$E$196,'[1]INF GENERAL'!$F$2:$H$80,3,0),0)</f>
        <v>0</v>
      </c>
      <c r="O88" s="1496">
        <f>IFERROR(SUMIFS('[1]INF GENERAL'!$L:$L,'[1]INF GENERAL'!$J:$J,Tabla16[[#This Row],[Código]]),0)</f>
        <v>0</v>
      </c>
      <c r="P88" s="1496">
        <f>IFERROR(VLOOKUP($E$8:$E$196,'[1]INF GENERAL'!$V$2:$X$119,3,0),0)</f>
        <v>0</v>
      </c>
      <c r="Q88" s="1496">
        <f>IFERROR(SUMIFS('[1]INF GENERAL'!$P:$P,'[1]INF GENERAL'!$N:$N,Tabla16[[#This Row],[Código]]),0)</f>
        <v>0</v>
      </c>
      <c r="R88" s="1496">
        <f>IFERROR(VLOOKUP($E$8:$E$196,'[1]INF GENERAL'!$R$2:$T$119,3,0),0)</f>
        <v>0</v>
      </c>
      <c r="S88" s="1496">
        <f t="shared" si="14"/>
        <v>0</v>
      </c>
      <c r="T88" s="1496">
        <f t="shared" si="18"/>
        <v>0</v>
      </c>
      <c r="U88" s="1497">
        <f t="shared" si="20"/>
        <v>0</v>
      </c>
      <c r="V88" s="1498" t="str">
        <f t="shared" si="11"/>
        <v>NO CRITICO</v>
      </c>
    </row>
    <row r="89" spans="1:22" hidden="1">
      <c r="A89" s="1488" t="s">
        <v>829</v>
      </c>
      <c r="B89" s="1488" t="s">
        <v>992</v>
      </c>
      <c r="C89" s="1489" t="s">
        <v>831</v>
      </c>
      <c r="D89" s="1489" t="s">
        <v>1008</v>
      </c>
      <c r="E89" s="1488" t="s">
        <v>1011</v>
      </c>
      <c r="F89" s="1488" t="s">
        <v>1012</v>
      </c>
      <c r="G89" s="1512">
        <v>0</v>
      </c>
      <c r="H89" s="1492">
        <v>0</v>
      </c>
      <c r="I89" s="1492">
        <f t="shared" si="15"/>
        <v>0</v>
      </c>
      <c r="J89" s="1493">
        <f t="shared" si="19"/>
        <v>0</v>
      </c>
      <c r="K89" s="1492">
        <f t="shared" si="16"/>
        <v>0</v>
      </c>
      <c r="L89" s="1494">
        <f t="shared" si="17"/>
        <v>0</v>
      </c>
      <c r="M89" s="1495">
        <f>IFERROR(VLOOKUP($E$8:$E$196,'[1]INF GENERAL'!$B$2:$D$135,3,0),0)</f>
        <v>0</v>
      </c>
      <c r="N89" s="1496">
        <f>IFERROR(VLOOKUP($E$8:$E$196,'[1]INF GENERAL'!$F$2:$H$80,3,0),0)</f>
        <v>0</v>
      </c>
      <c r="O89" s="1496">
        <f>IFERROR(SUMIFS('[1]INF GENERAL'!$L:$L,'[1]INF GENERAL'!$J:$J,Tabla16[[#This Row],[Código]]),0)</f>
        <v>0</v>
      </c>
      <c r="P89" s="1500">
        <f>IFERROR(VLOOKUP($E$8:$E$196,'[1]INF GENERAL'!$V$2:$X$119,3,0),0)</f>
        <v>0</v>
      </c>
      <c r="Q89" s="1496">
        <f>IFERROR(SUMIFS('[1]INF GENERAL'!$P:$P,'[1]INF GENERAL'!$N:$N,Tabla16[[#This Row],[Código]]),0)</f>
        <v>0</v>
      </c>
      <c r="R89" s="1496">
        <f>IFERROR(VLOOKUP($E$8:$E$196,'[1]INF GENERAL'!$R$2:$T$119,3,0),0)</f>
        <v>0</v>
      </c>
      <c r="S89" s="1496">
        <f t="shared" si="14"/>
        <v>0</v>
      </c>
      <c r="T89" s="1496">
        <f t="shared" si="18"/>
        <v>0</v>
      </c>
      <c r="U89" s="1497">
        <f t="shared" si="20"/>
        <v>0</v>
      </c>
      <c r="V89" s="1498" t="str">
        <f t="shared" si="11"/>
        <v>NO CRITICO</v>
      </c>
    </row>
    <row r="90" spans="1:22" hidden="1">
      <c r="A90" s="1488" t="s">
        <v>829</v>
      </c>
      <c r="B90" s="1488" t="s">
        <v>992</v>
      </c>
      <c r="C90" s="1489" t="s">
        <v>831</v>
      </c>
      <c r="D90" s="1489" t="s">
        <v>1008</v>
      </c>
      <c r="E90" s="1488" t="s">
        <v>1013</v>
      </c>
      <c r="F90" s="1488" t="s">
        <v>1014</v>
      </c>
      <c r="G90" s="1512">
        <v>0</v>
      </c>
      <c r="H90" s="1492">
        <v>0</v>
      </c>
      <c r="I90" s="1492">
        <f t="shared" si="15"/>
        <v>0</v>
      </c>
      <c r="J90" s="1493">
        <f t="shared" si="19"/>
        <v>0</v>
      </c>
      <c r="K90" s="1492">
        <f t="shared" si="16"/>
        <v>0</v>
      </c>
      <c r="L90" s="1494">
        <f t="shared" si="17"/>
        <v>0</v>
      </c>
      <c r="M90" s="1495">
        <f>IFERROR(VLOOKUP($E$8:$E$196,'[1]INF GENERAL'!$B$2:$D$135,3,0),0)</f>
        <v>0</v>
      </c>
      <c r="N90" s="1496">
        <f>IFERROR(VLOOKUP($E$8:$E$196,'[1]INF GENERAL'!$F$2:$H$80,3,0),0)</f>
        <v>0</v>
      </c>
      <c r="O90" s="1496">
        <f>IFERROR(SUMIFS('[1]INF GENERAL'!$L:$L,'[1]INF GENERAL'!$J:$J,Tabla16[[#This Row],[Código]]),0)</f>
        <v>0</v>
      </c>
      <c r="P90" s="1500">
        <f>IFERROR(VLOOKUP($E$8:$E$196,'[1]INF GENERAL'!$V$2:$X$119,3,0),0)</f>
        <v>0</v>
      </c>
      <c r="Q90" s="1496">
        <f>IFERROR(SUMIFS('[1]INF GENERAL'!$P:$P,'[1]INF GENERAL'!$N:$N,Tabla16[[#This Row],[Código]]),0)</f>
        <v>0</v>
      </c>
      <c r="R90" s="1496">
        <f>IFERROR(VLOOKUP($E$8:$E$196,'[1]INF GENERAL'!$R$2:$T$119,3,0),0)</f>
        <v>0</v>
      </c>
      <c r="S90" s="1496">
        <f t="shared" si="14"/>
        <v>0</v>
      </c>
      <c r="T90" s="1496">
        <f t="shared" si="18"/>
        <v>0</v>
      </c>
      <c r="U90" s="1497">
        <f t="shared" si="20"/>
        <v>0</v>
      </c>
      <c r="V90" s="1498" t="str">
        <f t="shared" si="11"/>
        <v>NO CRITICO</v>
      </c>
    </row>
    <row r="91" spans="1:22" hidden="1">
      <c r="A91" s="1488" t="s">
        <v>829</v>
      </c>
      <c r="B91" s="1488" t="s">
        <v>992</v>
      </c>
      <c r="C91" s="1489" t="s">
        <v>831</v>
      </c>
      <c r="D91" s="1489" t="s">
        <v>1008</v>
      </c>
      <c r="E91" s="1488" t="s">
        <v>1015</v>
      </c>
      <c r="F91" s="1488" t="s">
        <v>1016</v>
      </c>
      <c r="G91" s="1512">
        <v>0</v>
      </c>
      <c r="H91" s="1492">
        <v>0</v>
      </c>
      <c r="I91" s="1492">
        <f t="shared" si="15"/>
        <v>0</v>
      </c>
      <c r="J91" s="1493">
        <f t="shared" si="19"/>
        <v>0</v>
      </c>
      <c r="K91" s="1492">
        <f t="shared" si="16"/>
        <v>0</v>
      </c>
      <c r="L91" s="1494">
        <f t="shared" si="17"/>
        <v>0</v>
      </c>
      <c r="M91" s="1495">
        <f>IFERROR(VLOOKUP($E$8:$E$196,'[1]INF GENERAL'!$B$2:$D$135,3,0),0)</f>
        <v>0</v>
      </c>
      <c r="N91" s="1496">
        <f>IFERROR(VLOOKUP($E$8:$E$196,'[1]INF GENERAL'!$F$2:$H$80,3,0),0)</f>
        <v>0</v>
      </c>
      <c r="O91" s="1496">
        <f>IFERROR(SUMIFS('[1]INF GENERAL'!$L:$L,'[1]INF GENERAL'!$J:$J,Tabla16[[#This Row],[Código]]),0)</f>
        <v>0</v>
      </c>
      <c r="P91" s="1500">
        <f>IFERROR(VLOOKUP($E$8:$E$196,'[1]INF GENERAL'!$V$2:$X$119,3,0),0)</f>
        <v>0</v>
      </c>
      <c r="Q91" s="1496">
        <f>IFERROR(SUMIFS('[1]INF GENERAL'!$P:$P,'[1]INF GENERAL'!$N:$N,Tabla16[[#This Row],[Código]]),0)</f>
        <v>0</v>
      </c>
      <c r="R91" s="1496">
        <f>IFERROR(VLOOKUP($E$8:$E$196,'[1]INF GENERAL'!$R$2:$T$119,3,0),0)</f>
        <v>0</v>
      </c>
      <c r="S91" s="1496">
        <f t="shared" si="14"/>
        <v>0</v>
      </c>
      <c r="T91" s="1496">
        <f t="shared" si="18"/>
        <v>0</v>
      </c>
      <c r="U91" s="1497">
        <f t="shared" si="20"/>
        <v>0</v>
      </c>
      <c r="V91" s="1498" t="str">
        <f t="shared" si="11"/>
        <v>NO CRITICO</v>
      </c>
    </row>
    <row r="92" spans="1:22" hidden="1">
      <c r="A92" s="1488" t="s">
        <v>829</v>
      </c>
      <c r="B92" s="1488" t="s">
        <v>992</v>
      </c>
      <c r="C92" s="1489" t="s">
        <v>907</v>
      </c>
      <c r="D92" s="1489" t="s">
        <v>1008</v>
      </c>
      <c r="E92" s="1488" t="s">
        <v>1017</v>
      </c>
      <c r="F92" s="1488" t="s">
        <v>1018</v>
      </c>
      <c r="G92" s="1512">
        <v>0</v>
      </c>
      <c r="H92" s="1492">
        <v>0</v>
      </c>
      <c r="I92" s="1492">
        <f t="shared" si="15"/>
        <v>0</v>
      </c>
      <c r="J92" s="1493">
        <f t="shared" si="19"/>
        <v>0</v>
      </c>
      <c r="K92" s="1492">
        <f t="shared" si="16"/>
        <v>0</v>
      </c>
      <c r="L92" s="1494">
        <f t="shared" si="17"/>
        <v>0</v>
      </c>
      <c r="M92" s="1495">
        <f>IFERROR(VLOOKUP($E$8:$E$196,'[1]INF GENERAL'!$B$2:$D$135,3,0),0)</f>
        <v>0</v>
      </c>
      <c r="N92" s="1496">
        <f>IFERROR(VLOOKUP($E$8:$E$196,'[1]INF GENERAL'!$F$2:$H$80,3,0),0)</f>
        <v>0</v>
      </c>
      <c r="O92" s="1496">
        <f>IFERROR(SUMIFS('[1]INF GENERAL'!$L:$L,'[1]INF GENERAL'!$J:$J,Tabla16[[#This Row],[Código]]),0)</f>
        <v>0</v>
      </c>
      <c r="P92" s="1500">
        <f>IFERROR(VLOOKUP($E$8:$E$196,'[1]INF GENERAL'!$V$2:$X$119,3,0),0)</f>
        <v>0</v>
      </c>
      <c r="Q92" s="1496">
        <f>IFERROR(SUMIFS('[1]INF GENERAL'!$P:$P,'[1]INF GENERAL'!$N:$N,Tabla16[[#This Row],[Código]]),0)</f>
        <v>0</v>
      </c>
      <c r="R92" s="1496">
        <f>IFERROR(VLOOKUP($E$8:$E$196,'[1]INF GENERAL'!$R$2:$T$119,3,0),0)</f>
        <v>0</v>
      </c>
      <c r="S92" s="1496">
        <f t="shared" si="14"/>
        <v>0</v>
      </c>
      <c r="T92" s="1496">
        <f t="shared" si="18"/>
        <v>0</v>
      </c>
      <c r="U92" s="1497">
        <f t="shared" si="20"/>
        <v>0</v>
      </c>
      <c r="V92" s="1498" t="str">
        <f t="shared" si="11"/>
        <v>NO CRITICO</v>
      </c>
    </row>
    <row r="93" spans="1:22" hidden="1">
      <c r="A93" s="1488" t="s">
        <v>829</v>
      </c>
      <c r="B93" s="1488" t="s">
        <v>992</v>
      </c>
      <c r="C93" s="1489" t="s">
        <v>907</v>
      </c>
      <c r="D93" s="1489" t="s">
        <v>1008</v>
      </c>
      <c r="E93" s="1488" t="s">
        <v>1019</v>
      </c>
      <c r="F93" s="1488" t="s">
        <v>1020</v>
      </c>
      <c r="G93" s="1512">
        <v>0</v>
      </c>
      <c r="H93" s="1492">
        <v>0</v>
      </c>
      <c r="I93" s="1492">
        <f t="shared" si="15"/>
        <v>0</v>
      </c>
      <c r="J93" s="1493">
        <f t="shared" si="19"/>
        <v>0</v>
      </c>
      <c r="K93" s="1492">
        <f t="shared" si="16"/>
        <v>0</v>
      </c>
      <c r="L93" s="1494">
        <f t="shared" si="17"/>
        <v>0</v>
      </c>
      <c r="M93" s="1495">
        <f>IFERROR(VLOOKUP($E$8:$E$196,'[1]INF GENERAL'!$B$2:$D$135,3,0),0)</f>
        <v>0</v>
      </c>
      <c r="N93" s="1496">
        <f>IFERROR(VLOOKUP($E$8:$E$196,'[1]INF GENERAL'!$F$2:$H$80,3,0),0)</f>
        <v>0</v>
      </c>
      <c r="O93" s="1496">
        <f>IFERROR(SUMIFS('[1]INF GENERAL'!$L:$L,'[1]INF GENERAL'!$J:$J,Tabla16[[#This Row],[Código]]),0)</f>
        <v>0</v>
      </c>
      <c r="P93" s="1500">
        <f>IFERROR(VLOOKUP($E$8:$E$196,'[1]INF GENERAL'!$V$2:$X$119,3,0),0)</f>
        <v>0</v>
      </c>
      <c r="Q93" s="1496">
        <f>IFERROR(SUMIFS('[1]INF GENERAL'!$P:$P,'[1]INF GENERAL'!$N:$N,Tabla16[[#This Row],[Código]]),0)</f>
        <v>0</v>
      </c>
      <c r="R93" s="1496">
        <f>IFERROR(VLOOKUP($E$8:$E$196,'[1]INF GENERAL'!$R$2:$T$119,3,0),0)</f>
        <v>0</v>
      </c>
      <c r="S93" s="1496">
        <f t="shared" si="14"/>
        <v>0</v>
      </c>
      <c r="T93" s="1496">
        <f t="shared" si="18"/>
        <v>0</v>
      </c>
      <c r="U93" s="1497">
        <f t="shared" si="20"/>
        <v>0</v>
      </c>
      <c r="V93" s="1498" t="str">
        <f t="shared" si="11"/>
        <v>NO CRITICO</v>
      </c>
    </row>
    <row r="94" spans="1:22" hidden="1">
      <c r="A94" s="1488" t="s">
        <v>829</v>
      </c>
      <c r="B94" s="1488" t="s">
        <v>992</v>
      </c>
      <c r="C94" s="1489" t="s">
        <v>831</v>
      </c>
      <c r="D94" s="1489" t="s">
        <v>1008</v>
      </c>
      <c r="E94" s="1488" t="s">
        <v>1021</v>
      </c>
      <c r="F94" s="1488" t="s">
        <v>1022</v>
      </c>
      <c r="G94" s="1512">
        <v>0</v>
      </c>
      <c r="H94" s="1492">
        <v>0</v>
      </c>
      <c r="I94" s="1492">
        <f t="shared" si="15"/>
        <v>0</v>
      </c>
      <c r="J94" s="1493">
        <f t="shared" si="19"/>
        <v>0</v>
      </c>
      <c r="K94" s="1492">
        <f t="shared" si="16"/>
        <v>0</v>
      </c>
      <c r="L94" s="1494">
        <f t="shared" si="17"/>
        <v>0</v>
      </c>
      <c r="M94" s="1495">
        <f>IFERROR(VLOOKUP($E$8:$E$196,'[1]INF GENERAL'!$B$2:$D$135,3,0),0)</f>
        <v>0</v>
      </c>
      <c r="N94" s="1496">
        <f>IFERROR(VLOOKUP($E$8:$E$196,'[1]INF GENERAL'!$F$2:$H$80,3,0),0)</f>
        <v>0</v>
      </c>
      <c r="O94" s="1496">
        <f>IFERROR(SUMIFS('[1]INF GENERAL'!$L:$L,'[1]INF GENERAL'!$J:$J,Tabla16[[#This Row],[Código]]),0)</f>
        <v>0</v>
      </c>
      <c r="P94" s="1500">
        <f>IFERROR(VLOOKUP($E$8:$E$196,'[1]INF GENERAL'!$V$2:$X$119,3,0),0)</f>
        <v>0</v>
      </c>
      <c r="Q94" s="1496">
        <f>IFERROR(SUMIFS('[1]INF GENERAL'!$P:$P,'[1]INF GENERAL'!$N:$N,Tabla16[[#This Row],[Código]]),0)</f>
        <v>0</v>
      </c>
      <c r="R94" s="1496">
        <f>IFERROR(VLOOKUP($E$8:$E$196,'[1]INF GENERAL'!$R$2:$T$119,3,0),0)</f>
        <v>0</v>
      </c>
      <c r="S94" s="1496">
        <f t="shared" si="14"/>
        <v>0</v>
      </c>
      <c r="T94" s="1496">
        <f t="shared" si="18"/>
        <v>0</v>
      </c>
      <c r="U94" s="1497">
        <f t="shared" si="20"/>
        <v>0</v>
      </c>
      <c r="V94" s="1498" t="str">
        <f t="shared" si="11"/>
        <v>NO CRITICO</v>
      </c>
    </row>
    <row r="95" spans="1:22" hidden="1">
      <c r="A95" s="1488" t="s">
        <v>829</v>
      </c>
      <c r="B95" s="1488" t="s">
        <v>830</v>
      </c>
      <c r="C95" s="1489" t="s">
        <v>831</v>
      </c>
      <c r="D95" s="1489" t="s">
        <v>1023</v>
      </c>
      <c r="E95" s="1488" t="s">
        <v>1024</v>
      </c>
      <c r="F95" s="1488" t="s">
        <v>1025</v>
      </c>
      <c r="G95" s="1508">
        <v>0</v>
      </c>
      <c r="H95" s="1509"/>
      <c r="I95" s="1492">
        <f t="shared" si="15"/>
        <v>0</v>
      </c>
      <c r="J95" s="1493">
        <f t="shared" si="19"/>
        <v>0</v>
      </c>
      <c r="K95" s="1492">
        <f t="shared" si="16"/>
        <v>0</v>
      </c>
      <c r="L95" s="1494">
        <f t="shared" si="17"/>
        <v>0</v>
      </c>
      <c r="M95" s="1505">
        <f>IFERROR(VLOOKUP($E$8:$E$196,'[1]INF GENERAL'!$B$2:$D$135,3,0),0)</f>
        <v>0</v>
      </c>
      <c r="N95" s="1496">
        <f>IFERROR(VLOOKUP($E$8:$E$196,'[1]INF GENERAL'!$F$2:$H$80,3,0),0)</f>
        <v>0</v>
      </c>
      <c r="O95" s="1496">
        <f>IFERROR(SUMIFS('[1]INF GENERAL'!$L:$L,'[1]INF GENERAL'!$J:$J,Tabla16[[#This Row],[Código]]),0)</f>
        <v>0</v>
      </c>
      <c r="P95" s="1496">
        <f>IFERROR(VLOOKUP($E$8:$E$196,'[1]INF GENERAL'!$V$2:$X$119,3,0),0)</f>
        <v>0</v>
      </c>
      <c r="Q95" s="1496">
        <f>IFERROR(SUMIFS('[1]INF GENERAL'!$P:$P,'[1]INF GENERAL'!$N:$N,Tabla16[[#This Row],[Código]]),0)</f>
        <v>0</v>
      </c>
      <c r="R95" s="1496">
        <f>IFERROR(VLOOKUP($E$8:$E$196,'[1]INF GENERAL'!$R$2:$T$119,3,0),0)</f>
        <v>0</v>
      </c>
      <c r="S95" s="1496">
        <f t="shared" ref="S95:S125" si="21">IF(G95=0,0,(G95-(O95+P95)))</f>
        <v>0</v>
      </c>
      <c r="T95" s="1496">
        <f t="shared" si="18"/>
        <v>0</v>
      </c>
      <c r="U95" s="1497">
        <f t="shared" si="20"/>
        <v>0</v>
      </c>
      <c r="V95" s="1498" t="str">
        <f>IF((Q95)&lt;J95,"INV&lt;7",IF((Q95)&lt;L95,"7≤INV≤20","INV&gt;20"))</f>
        <v>INV&gt;20</v>
      </c>
    </row>
    <row r="96" spans="1:22" hidden="1">
      <c r="A96" s="1488" t="s">
        <v>829</v>
      </c>
      <c r="B96" s="1488" t="s">
        <v>830</v>
      </c>
      <c r="C96" s="1489" t="s">
        <v>831</v>
      </c>
      <c r="D96" s="1489" t="s">
        <v>1023</v>
      </c>
      <c r="E96" s="1488" t="s">
        <v>1026</v>
      </c>
      <c r="F96" s="1488" t="s">
        <v>1027</v>
      </c>
      <c r="G96" s="1508">
        <v>0</v>
      </c>
      <c r="H96" s="1509"/>
      <c r="I96" s="1492">
        <f t="shared" si="15"/>
        <v>0</v>
      </c>
      <c r="J96" s="1493">
        <f t="shared" si="19"/>
        <v>0</v>
      </c>
      <c r="K96" s="1492">
        <f t="shared" si="16"/>
        <v>0</v>
      </c>
      <c r="L96" s="1494">
        <f t="shared" si="17"/>
        <v>0</v>
      </c>
      <c r="M96" s="1505">
        <f>IFERROR(VLOOKUP($E$8:$E$196,'[1]INF GENERAL'!$B$2:$D$135,3,0),0)</f>
        <v>0</v>
      </c>
      <c r="N96" s="1496">
        <f>IFERROR(VLOOKUP($E$8:$E$196,'[1]INF GENERAL'!$F$2:$H$80,3,0),0)</f>
        <v>0</v>
      </c>
      <c r="O96" s="1496">
        <f>IFERROR(SUMIFS('[1]INF GENERAL'!$L:$L,'[1]INF GENERAL'!$J:$J,Tabla16[[#This Row],[Código]]),0)</f>
        <v>0</v>
      </c>
      <c r="P96" s="1496">
        <f>IFERROR(VLOOKUP($E$8:$E$196,'[1]INF GENERAL'!$V$2:$X$119,3,0),0)</f>
        <v>0</v>
      </c>
      <c r="Q96" s="1496">
        <f>IFERROR(SUMIFS('[1]INF GENERAL'!$P:$P,'[1]INF GENERAL'!$N:$N,Tabla16[[#This Row],[Código]]),0)</f>
        <v>0</v>
      </c>
      <c r="R96" s="1496">
        <f>IFERROR(VLOOKUP($E$8:$E$196,'[1]INF GENERAL'!$R$2:$T$119,3,0),0)</f>
        <v>0</v>
      </c>
      <c r="S96" s="1496">
        <f t="shared" si="21"/>
        <v>0</v>
      </c>
      <c r="T96" s="1496">
        <f t="shared" si="18"/>
        <v>0</v>
      </c>
      <c r="U96" s="1497">
        <f t="shared" si="20"/>
        <v>0</v>
      </c>
      <c r="V96" s="1498" t="str">
        <f>IF((Q96)&lt;J96,"INV&lt;7",IF((Q96)&lt;L96,"7≤INV≤20","INV&gt;20"))</f>
        <v>INV&gt;20</v>
      </c>
    </row>
    <row r="97" spans="1:22" hidden="1">
      <c r="A97" s="1488" t="s">
        <v>829</v>
      </c>
      <c r="B97" s="1488" t="s">
        <v>830</v>
      </c>
      <c r="C97" s="1489" t="s">
        <v>831</v>
      </c>
      <c r="D97" s="1489" t="s">
        <v>1023</v>
      </c>
      <c r="E97" s="1488" t="s">
        <v>1028</v>
      </c>
      <c r="F97" s="1488" t="s">
        <v>1029</v>
      </c>
      <c r="G97" s="1508">
        <v>0</v>
      </c>
      <c r="H97" s="1509"/>
      <c r="I97" s="1492">
        <f t="shared" si="15"/>
        <v>0</v>
      </c>
      <c r="J97" s="1493">
        <f t="shared" si="19"/>
        <v>0</v>
      </c>
      <c r="K97" s="1492">
        <f t="shared" si="16"/>
        <v>0</v>
      </c>
      <c r="L97" s="1494">
        <f t="shared" si="17"/>
        <v>0</v>
      </c>
      <c r="M97" s="1505">
        <f>IFERROR(VLOOKUP($E$8:$E$196,'[1]INF GENERAL'!$B$2:$D$135,3,0),0)</f>
        <v>171</v>
      </c>
      <c r="N97" s="1496">
        <f>IFERROR(VLOOKUP($E$8:$E$196,'[1]INF GENERAL'!$F$2:$H$80,3,0),0)</f>
        <v>0</v>
      </c>
      <c r="O97" s="1496">
        <f>IFERROR(SUMIFS('[1]INF GENERAL'!$L:$L,'[1]INF GENERAL'!$J:$J,Tabla16[[#This Row],[Código]]),0)</f>
        <v>0</v>
      </c>
      <c r="P97" s="1496">
        <f>IFERROR(VLOOKUP($E$8:$E$196,'[1]INF GENERAL'!$V$2:$X$119,3,0),0)</f>
        <v>0</v>
      </c>
      <c r="Q97" s="1496">
        <f>IFERROR(SUMIFS('[1]INF GENERAL'!$P:$P,'[1]INF GENERAL'!$N:$N,Tabla16[[#This Row],[Código]]),0)</f>
        <v>0</v>
      </c>
      <c r="R97" s="1496">
        <f>IFERROR(VLOOKUP($E$8:$E$196,'[1]INF GENERAL'!$R$2:$T$119,3,0),0)</f>
        <v>0</v>
      </c>
      <c r="S97" s="1496">
        <f t="shared" si="21"/>
        <v>0</v>
      </c>
      <c r="T97" s="1496">
        <f t="shared" si="18"/>
        <v>0</v>
      </c>
      <c r="U97" s="1497">
        <f t="shared" si="20"/>
        <v>0</v>
      </c>
      <c r="V97" s="1498" t="str">
        <f>IF((Q97)&lt;J97,"INV&lt;7",IF((Q97)&lt;L97,"7≤INV≤20","INV&gt;20"))</f>
        <v>INV&gt;20</v>
      </c>
    </row>
    <row r="98" spans="1:22" hidden="1">
      <c r="A98" s="1488" t="s">
        <v>829</v>
      </c>
      <c r="B98" s="1488" t="s">
        <v>830</v>
      </c>
      <c r="C98" s="1489" t="s">
        <v>831</v>
      </c>
      <c r="D98" s="1489" t="s">
        <v>1023</v>
      </c>
      <c r="E98" s="1488" t="s">
        <v>1030</v>
      </c>
      <c r="F98" s="1488" t="s">
        <v>1031</v>
      </c>
      <c r="G98" s="1508">
        <v>0</v>
      </c>
      <c r="H98" s="1509"/>
      <c r="I98" s="1492">
        <f t="shared" si="15"/>
        <v>0</v>
      </c>
      <c r="J98" s="1493">
        <f t="shared" si="19"/>
        <v>0</v>
      </c>
      <c r="K98" s="1492">
        <f t="shared" si="16"/>
        <v>0</v>
      </c>
      <c r="L98" s="1494">
        <f t="shared" si="17"/>
        <v>0</v>
      </c>
      <c r="M98" s="1505">
        <f>IFERROR(VLOOKUP($E$8:$E$196,'[1]INF GENERAL'!$B$2:$D$135,3,0),0)</f>
        <v>1</v>
      </c>
      <c r="N98" s="1496">
        <f>IFERROR(VLOOKUP($E$8:$E$196,'[1]INF GENERAL'!$F$2:$H$80,3,0),0)</f>
        <v>0</v>
      </c>
      <c r="O98" s="1496">
        <f>IFERROR(SUMIFS('[1]INF GENERAL'!$L:$L,'[1]INF GENERAL'!$J:$J,Tabla16[[#This Row],[Código]]),0)</f>
        <v>0</v>
      </c>
      <c r="P98" s="1496">
        <f>IFERROR(VLOOKUP($E$8:$E$196,'[1]INF GENERAL'!$V$2:$X$119,3,0),0)</f>
        <v>0</v>
      </c>
      <c r="Q98" s="1496">
        <f>IFERROR(SUMIFS('[1]INF GENERAL'!$P:$P,'[1]INF GENERAL'!$N:$N,Tabla16[[#This Row],[Código]]),0)</f>
        <v>0</v>
      </c>
      <c r="R98" s="1496">
        <f>IFERROR(VLOOKUP($E$8:$E$196,'[1]INF GENERAL'!$R$2:$T$119,3,0),0)</f>
        <v>0</v>
      </c>
      <c r="S98" s="1496">
        <f t="shared" si="21"/>
        <v>0</v>
      </c>
      <c r="T98" s="1496">
        <f t="shared" si="18"/>
        <v>0</v>
      </c>
      <c r="U98" s="1497">
        <f t="shared" si="20"/>
        <v>0</v>
      </c>
      <c r="V98" s="1498" t="str">
        <f>IF((Q98)&lt;J98,"INV&lt;7",IF((Q98)&lt;L98,"7≤INV≤20","INV&gt;20"))</f>
        <v>INV&gt;20</v>
      </c>
    </row>
    <row r="99" spans="1:22" hidden="1">
      <c r="A99" s="1488" t="s">
        <v>829</v>
      </c>
      <c r="B99" s="1488" t="s">
        <v>830</v>
      </c>
      <c r="C99" s="1489" t="s">
        <v>831</v>
      </c>
      <c r="D99" s="1489" t="s">
        <v>1023</v>
      </c>
      <c r="E99" s="1488" t="s">
        <v>1032</v>
      </c>
      <c r="F99" s="1488" t="s">
        <v>1033</v>
      </c>
      <c r="G99" s="1512">
        <v>0</v>
      </c>
      <c r="H99" s="1492"/>
      <c r="I99" s="1492">
        <f t="shared" si="15"/>
        <v>0</v>
      </c>
      <c r="J99" s="1493">
        <f t="shared" si="19"/>
        <v>0</v>
      </c>
      <c r="K99" s="1492">
        <f t="shared" si="16"/>
        <v>0</v>
      </c>
      <c r="L99" s="1494">
        <f t="shared" si="17"/>
        <v>0</v>
      </c>
      <c r="M99" s="1505">
        <f>IFERROR(VLOOKUP($E$8:$E$196,'[1]INF GENERAL'!$B$2:$D$135,3,0),0)</f>
        <v>53</v>
      </c>
      <c r="N99" s="1496">
        <f>IFERROR(VLOOKUP($E$8:$E$196,'[1]INF GENERAL'!$F$2:$H$80,3,0),0)</f>
        <v>0</v>
      </c>
      <c r="O99" s="1496">
        <f>IFERROR(SUMIFS('[1]INF GENERAL'!$L:$L,'[1]INF GENERAL'!$J:$J,Tabla16[[#This Row],[Código]]),0)</f>
        <v>0</v>
      </c>
      <c r="P99" s="1496">
        <f>IFERROR(VLOOKUP($E$8:$E$196,'[1]INF GENERAL'!$V$2:$X$119,3,0),0)</f>
        <v>0</v>
      </c>
      <c r="Q99" s="1496">
        <f>IFERROR(SUMIFS('[1]INF GENERAL'!$P:$P,'[1]INF GENERAL'!$N:$N,Tabla16[[#This Row],[Código]]),0)</f>
        <v>0</v>
      </c>
      <c r="R99" s="1496">
        <f>IFERROR(VLOOKUP($E$8:$E$196,'[1]INF GENERAL'!$R$2:$T$119,3,0),0)</f>
        <v>0</v>
      </c>
      <c r="S99" s="1496">
        <f t="shared" si="21"/>
        <v>0</v>
      </c>
      <c r="T99" s="1496">
        <f t="shared" si="18"/>
        <v>0</v>
      </c>
      <c r="U99" s="1497">
        <f t="shared" si="20"/>
        <v>0</v>
      </c>
      <c r="V99" s="1498" t="str">
        <f>IF((Q99)&lt;J99,"INV&lt;7",IF((Q99)&lt;L99,"7≤INV≤20","INV&gt;20"))</f>
        <v>INV&gt;20</v>
      </c>
    </row>
    <row r="100" spans="1:22" hidden="1">
      <c r="A100" s="1488" t="s">
        <v>829</v>
      </c>
      <c r="B100" s="1488" t="s">
        <v>830</v>
      </c>
      <c r="C100" s="1489" t="s">
        <v>907</v>
      </c>
      <c r="D100" s="1489" t="s">
        <v>1023</v>
      </c>
      <c r="E100" s="1488" t="s">
        <v>1034</v>
      </c>
      <c r="F100" s="1488" t="s">
        <v>1035</v>
      </c>
      <c r="G100" s="1512"/>
      <c r="H100" s="1492"/>
      <c r="I100" s="1492">
        <f t="shared" si="15"/>
        <v>0</v>
      </c>
      <c r="J100" s="1493">
        <f t="shared" si="19"/>
        <v>0</v>
      </c>
      <c r="K100" s="1492">
        <f t="shared" si="16"/>
        <v>0</v>
      </c>
      <c r="L100" s="1494">
        <f t="shared" si="17"/>
        <v>0</v>
      </c>
      <c r="M100" s="1505">
        <f>IFERROR(VLOOKUP($E$8:$E$196,'[1]INF GENERAL'!$B$2:$D$135,3,0),0)</f>
        <v>0</v>
      </c>
      <c r="N100" s="1496">
        <f>IFERROR(VLOOKUP($E$8:$E$196,'[1]INF GENERAL'!$F$2:$H$80,3,0),0)</f>
        <v>0</v>
      </c>
      <c r="O100" s="1496">
        <f>IFERROR(SUMIFS('[1]INF GENERAL'!$L:$L,'[1]INF GENERAL'!$J:$J,Tabla16[[#This Row],[Código]]),0)</f>
        <v>0</v>
      </c>
      <c r="P100" s="1496">
        <f>IFERROR(VLOOKUP($E$8:$E$196,'[1]INF GENERAL'!$V$2:$X$119,3,0),0)</f>
        <v>0</v>
      </c>
      <c r="Q100" s="1496">
        <f>IFERROR(SUMIFS('[1]INF GENERAL'!$P:$P,'[1]INF GENERAL'!$N:$N,Tabla16[[#This Row],[Código]]),0)</f>
        <v>0</v>
      </c>
      <c r="R100" s="1496">
        <f>IFERROR(VLOOKUP($E$8:$E$196,'[1]INF GENERAL'!$R$2:$T$119,3,0),0)</f>
        <v>0</v>
      </c>
      <c r="S100" s="1496">
        <f t="shared" si="21"/>
        <v>0</v>
      </c>
      <c r="T100" s="1496">
        <f t="shared" si="18"/>
        <v>0</v>
      </c>
      <c r="U100" s="1497">
        <f t="shared" si="20"/>
        <v>0</v>
      </c>
      <c r="V100" s="1498" t="str">
        <f t="shared" si="11"/>
        <v>NO CRITICO</v>
      </c>
    </row>
    <row r="101" spans="1:22" hidden="1">
      <c r="A101" s="1488" t="s">
        <v>829</v>
      </c>
      <c r="B101" s="1488" t="s">
        <v>830</v>
      </c>
      <c r="C101" s="1489" t="s">
        <v>907</v>
      </c>
      <c r="D101" s="1489" t="s">
        <v>1023</v>
      </c>
      <c r="E101" s="1488" t="s">
        <v>1036</v>
      </c>
      <c r="F101" s="1488" t="s">
        <v>1037</v>
      </c>
      <c r="G101" s="1512"/>
      <c r="H101" s="1492"/>
      <c r="I101" s="1492">
        <f t="shared" si="15"/>
        <v>0</v>
      </c>
      <c r="J101" s="1493">
        <f t="shared" si="19"/>
        <v>0</v>
      </c>
      <c r="K101" s="1492">
        <f t="shared" si="16"/>
        <v>0</v>
      </c>
      <c r="L101" s="1494">
        <f t="shared" si="17"/>
        <v>0</v>
      </c>
      <c r="M101" s="1505">
        <f>IFERROR(VLOOKUP($E$8:$E$196,'[1]INF GENERAL'!$B$2:$D$135,3,0),0)</f>
        <v>0</v>
      </c>
      <c r="N101" s="1496">
        <f>IFERROR(VLOOKUP($E$8:$E$196,'[1]INF GENERAL'!$F$2:$H$80,3,0),0)</f>
        <v>0</v>
      </c>
      <c r="O101" s="1496">
        <f>IFERROR(SUMIFS('[1]INF GENERAL'!$L:$L,'[1]INF GENERAL'!$J:$J,Tabla16[[#This Row],[Código]]),0)</f>
        <v>0</v>
      </c>
      <c r="P101" s="1496">
        <f>IFERROR(VLOOKUP($E$8:$E$196,'[1]INF GENERAL'!$V$2:$X$119,3,0),0)</f>
        <v>0</v>
      </c>
      <c r="Q101" s="1496">
        <f>IFERROR(SUMIFS('[1]INF GENERAL'!$P:$P,'[1]INF GENERAL'!$N:$N,Tabla16[[#This Row],[Código]]),0)</f>
        <v>0</v>
      </c>
      <c r="R101" s="1496">
        <f>IFERROR(VLOOKUP($E$8:$E$196,'[1]INF GENERAL'!$R$2:$T$119,3,0),0)</f>
        <v>0</v>
      </c>
      <c r="S101" s="1496">
        <f t="shared" si="21"/>
        <v>0</v>
      </c>
      <c r="T101" s="1496">
        <f t="shared" si="18"/>
        <v>0</v>
      </c>
      <c r="U101" s="1497">
        <f t="shared" si="20"/>
        <v>0</v>
      </c>
      <c r="V101" s="1498" t="str">
        <f t="shared" si="11"/>
        <v>NO CRITICO</v>
      </c>
    </row>
    <row r="102" spans="1:22" hidden="1">
      <c r="A102" s="1488" t="s">
        <v>829</v>
      </c>
      <c r="B102" s="1488" t="s">
        <v>830</v>
      </c>
      <c r="C102" s="1489" t="s">
        <v>867</v>
      </c>
      <c r="D102" s="1489" t="s">
        <v>1023</v>
      </c>
      <c r="E102" s="1488" t="s">
        <v>1038</v>
      </c>
      <c r="F102" s="1519" t="s">
        <v>1039</v>
      </c>
      <c r="G102" s="1508">
        <v>0</v>
      </c>
      <c r="H102" s="1509">
        <v>0</v>
      </c>
      <c r="I102" s="1492">
        <f t="shared" si="15"/>
        <v>0</v>
      </c>
      <c r="J102" s="1493">
        <f t="shared" si="19"/>
        <v>0</v>
      </c>
      <c r="K102" s="1492">
        <f t="shared" si="16"/>
        <v>0</v>
      </c>
      <c r="L102" s="1494">
        <f t="shared" si="17"/>
        <v>0</v>
      </c>
      <c r="M102" s="1505">
        <f>IFERROR(VLOOKUP($E$8:$E$196,'[1]INF GENERAL'!$B$2:$D$135,3,0),0)</f>
        <v>0</v>
      </c>
      <c r="N102" s="1496">
        <f>IFERROR(VLOOKUP($E$8:$E$196,'[1]INF GENERAL'!$F$2:$H$80,3,0),0)</f>
        <v>0</v>
      </c>
      <c r="O102" s="1496">
        <f>IFERROR(SUMIFS('[1]INF GENERAL'!$L:$L,'[1]INF GENERAL'!$J:$J,Tabla16[[#This Row],[Código]]),0)</f>
        <v>0</v>
      </c>
      <c r="P102" s="1496">
        <f>IFERROR(VLOOKUP($E$8:$E$196,'[1]INF GENERAL'!$V$2:$X$119,3,0),0)</f>
        <v>0</v>
      </c>
      <c r="Q102" s="1496">
        <f>IFERROR(SUMIFS('[1]INF GENERAL'!$P:$P,'[1]INF GENERAL'!$N:$N,Tabla16[[#This Row],[Código]]),0)</f>
        <v>0</v>
      </c>
      <c r="R102" s="1496">
        <f>IFERROR(VLOOKUP($E$8:$E$196,'[1]INF GENERAL'!$R$2:$T$119,3,0),0)</f>
        <v>0</v>
      </c>
      <c r="S102" s="1496">
        <f t="shared" si="21"/>
        <v>0</v>
      </c>
      <c r="T102" s="1496">
        <f t="shared" si="18"/>
        <v>0</v>
      </c>
      <c r="U102" s="1497">
        <f t="shared" si="20"/>
        <v>0</v>
      </c>
      <c r="V102" s="1498" t="str">
        <f t="shared" si="11"/>
        <v>NO CRITICO</v>
      </c>
    </row>
    <row r="103" spans="1:22" hidden="1">
      <c r="A103" s="1488" t="s">
        <v>829</v>
      </c>
      <c r="B103" s="1488" t="s">
        <v>830</v>
      </c>
      <c r="C103" s="1489" t="s">
        <v>246</v>
      </c>
      <c r="D103" s="1489" t="s">
        <v>1023</v>
      </c>
      <c r="E103" s="1488" t="s">
        <v>1040</v>
      </c>
      <c r="F103" s="1488" t="s">
        <v>1041</v>
      </c>
      <c r="G103" s="1512">
        <v>0</v>
      </c>
      <c r="H103" s="1492">
        <v>0</v>
      </c>
      <c r="I103" s="1492">
        <f t="shared" si="15"/>
        <v>0</v>
      </c>
      <c r="J103" s="1493">
        <f t="shared" si="19"/>
        <v>0</v>
      </c>
      <c r="K103" s="1492">
        <f t="shared" si="16"/>
        <v>0</v>
      </c>
      <c r="L103" s="1494">
        <f t="shared" si="17"/>
        <v>0</v>
      </c>
      <c r="M103" s="1505">
        <f>IFERROR(VLOOKUP($E$8:$E$196,'[1]INF GENERAL'!$B$2:$D$135,3,0),0)</f>
        <v>0</v>
      </c>
      <c r="N103" s="1496">
        <f>IFERROR(VLOOKUP($E$8:$E$196,'[1]INF GENERAL'!$F$2:$H$80,3,0),0)</f>
        <v>0</v>
      </c>
      <c r="O103" s="1496">
        <f>IFERROR(SUMIFS('[1]INF GENERAL'!$L:$L,'[1]INF GENERAL'!$J:$J,Tabla16[[#This Row],[Código]]),0)</f>
        <v>0</v>
      </c>
      <c r="P103" s="1496">
        <f>IFERROR(VLOOKUP($E$8:$E$196,'[1]INF GENERAL'!$V$2:$X$119,3,0),0)</f>
        <v>0</v>
      </c>
      <c r="Q103" s="1496">
        <f>IFERROR(SUMIFS('[1]INF GENERAL'!$P:$P,'[1]INF GENERAL'!$N:$N,Tabla16[[#This Row],[Código]]),0)</f>
        <v>0</v>
      </c>
      <c r="R103" s="1496">
        <f>IFERROR(VLOOKUP($E$8:$E$196,'[1]INF GENERAL'!$R$2:$T$119,3,0),0)</f>
        <v>0</v>
      </c>
      <c r="S103" s="1496">
        <f t="shared" si="21"/>
        <v>0</v>
      </c>
      <c r="T103" s="1496">
        <f t="shared" si="18"/>
        <v>0</v>
      </c>
      <c r="U103" s="1497">
        <f t="shared" si="20"/>
        <v>0</v>
      </c>
      <c r="V103" s="1498" t="str">
        <f t="shared" si="11"/>
        <v>NO CRITICO</v>
      </c>
    </row>
    <row r="104" spans="1:22" hidden="1">
      <c r="A104" s="1488" t="s">
        <v>829</v>
      </c>
      <c r="B104" s="1488" t="s">
        <v>830</v>
      </c>
      <c r="C104" s="1489" t="s">
        <v>867</v>
      </c>
      <c r="D104" s="1489" t="s">
        <v>1023</v>
      </c>
      <c r="E104" s="1488" t="s">
        <v>1042</v>
      </c>
      <c r="F104" s="1519" t="s">
        <v>1043</v>
      </c>
      <c r="G104" s="1512">
        <v>0</v>
      </c>
      <c r="H104" s="1492">
        <v>0</v>
      </c>
      <c r="I104" s="1492">
        <f t="shared" si="15"/>
        <v>0</v>
      </c>
      <c r="J104" s="1493">
        <f t="shared" si="19"/>
        <v>0</v>
      </c>
      <c r="K104" s="1492">
        <f t="shared" si="16"/>
        <v>0</v>
      </c>
      <c r="L104" s="1494">
        <f t="shared" si="17"/>
        <v>0</v>
      </c>
      <c r="M104" s="1505">
        <f>IFERROR(VLOOKUP($E$8:$E$196,'[1]INF GENERAL'!$B$2:$D$135,3,0),0)</f>
        <v>0</v>
      </c>
      <c r="N104" s="1496">
        <f>IFERROR(VLOOKUP($E$8:$E$196,'[1]INF GENERAL'!$F$2:$H$80,3,0),0)</f>
        <v>0</v>
      </c>
      <c r="O104" s="1496">
        <f>IFERROR(SUMIFS('[1]INF GENERAL'!$L:$L,'[1]INF GENERAL'!$J:$J,Tabla16[[#This Row],[Código]]),0)</f>
        <v>0</v>
      </c>
      <c r="P104" s="1496">
        <f>IFERROR(VLOOKUP($E$8:$E$196,'[1]INF GENERAL'!$V$2:$X$119,3,0),0)</f>
        <v>0</v>
      </c>
      <c r="Q104" s="1496">
        <f>IFERROR(SUMIFS('[1]INF GENERAL'!$P:$P,'[1]INF GENERAL'!$N:$N,Tabla16[[#This Row],[Código]]),0)</f>
        <v>0</v>
      </c>
      <c r="R104" s="1496">
        <f>IFERROR(VLOOKUP($E$8:$E$196,'[1]INF GENERAL'!$R$2:$T$119,3,0),0)</f>
        <v>0</v>
      </c>
      <c r="S104" s="1496">
        <f t="shared" si="21"/>
        <v>0</v>
      </c>
      <c r="T104" s="1496">
        <f t="shared" si="18"/>
        <v>0</v>
      </c>
      <c r="U104" s="1497">
        <f t="shared" si="20"/>
        <v>0</v>
      </c>
      <c r="V104" s="1498" t="str">
        <f t="shared" si="11"/>
        <v>NO CRITICO</v>
      </c>
    </row>
    <row r="105" spans="1:22">
      <c r="A105" s="1488" t="s">
        <v>893</v>
      </c>
      <c r="B105" s="1488" t="s">
        <v>830</v>
      </c>
      <c r="C105" s="1489" t="s">
        <v>831</v>
      </c>
      <c r="D105" s="1489" t="s">
        <v>1023</v>
      </c>
      <c r="E105" s="1488" t="s">
        <v>1044</v>
      </c>
      <c r="F105" s="1488" t="s">
        <v>1045</v>
      </c>
      <c r="G105" s="1512">
        <v>3547</v>
      </c>
      <c r="H105" s="1491"/>
      <c r="I105" s="1492">
        <f t="shared" si="15"/>
        <v>177.35</v>
      </c>
      <c r="J105" s="1493">
        <f t="shared" si="19"/>
        <v>1241.45</v>
      </c>
      <c r="K105" s="1492">
        <f t="shared" si="16"/>
        <v>2660.25</v>
      </c>
      <c r="L105" s="1494">
        <f t="shared" si="17"/>
        <v>3547</v>
      </c>
      <c r="M105" s="1505">
        <f>IFERROR(VLOOKUP($E$8:$E$196,'[1]INF GENERAL'!$B$2:$D$135,3,0),0)</f>
        <v>7279</v>
      </c>
      <c r="N105" s="1496">
        <f>IFERROR(VLOOKUP($E$8:$E$196,'[1]INF GENERAL'!$F$2:$H$80,3,0),0)</f>
        <v>0</v>
      </c>
      <c r="O105" s="1496">
        <f>IFERROR(SUMIFS('[1]INF GENERAL'!$L:$L,'[1]INF GENERAL'!$J:$J,Tabla16[[#This Row],[Código]]),0)</f>
        <v>0</v>
      </c>
      <c r="P105" s="1496">
        <f>IFERROR(VLOOKUP($E$8:$E$196,'[1]INF GENERAL'!$V$2:$X$119,3,0),0)</f>
        <v>0</v>
      </c>
      <c r="Q105" s="1522">
        <f>IFERROR(SUMIFS('[1]INF GENERAL'!$P:$P,'[1]INF GENERAL'!$N:$N,Tabla16[[#This Row],[Código]]),0)</f>
        <v>0</v>
      </c>
      <c r="R105" s="1496">
        <f>IFERROR(VLOOKUP($E$8:$E$196,'[1]INF GENERAL'!$R$2:$T$119,3,0),0)</f>
        <v>0</v>
      </c>
      <c r="S105" s="1496">
        <f t="shared" si="21"/>
        <v>3547</v>
      </c>
      <c r="T105" s="1496">
        <f t="shared" si="18"/>
        <v>3547</v>
      </c>
      <c r="U105" s="1497">
        <f t="shared" si="20"/>
        <v>0</v>
      </c>
      <c r="V105" s="1523" t="str">
        <f>IF((Q105)&lt;J105,"INV&lt;7",IF((Q105)&lt;L105,"7≤INV≤20","INV&gt;20"))</f>
        <v>INV&lt;7</v>
      </c>
    </row>
    <row r="106" spans="1:22">
      <c r="A106" s="1488" t="s">
        <v>893</v>
      </c>
      <c r="B106" s="1488" t="s">
        <v>830</v>
      </c>
      <c r="C106" s="1489" t="s">
        <v>831</v>
      </c>
      <c r="D106" s="1489" t="s">
        <v>1023</v>
      </c>
      <c r="E106" s="1488" t="s">
        <v>1046</v>
      </c>
      <c r="F106" s="1488" t="s">
        <v>1047</v>
      </c>
      <c r="G106" s="1512">
        <v>6060</v>
      </c>
      <c r="H106" s="1491"/>
      <c r="I106" s="1492">
        <f t="shared" si="15"/>
        <v>303</v>
      </c>
      <c r="J106" s="1493">
        <f t="shared" si="19"/>
        <v>2121</v>
      </c>
      <c r="K106" s="1492">
        <f t="shared" si="16"/>
        <v>4545</v>
      </c>
      <c r="L106" s="1494">
        <f t="shared" si="17"/>
        <v>6060</v>
      </c>
      <c r="M106" s="1505">
        <f>IFERROR(VLOOKUP($E$8:$E$196,'[1]INF GENERAL'!$B$2:$D$135,3,0),0)</f>
        <v>9463</v>
      </c>
      <c r="N106" s="1496">
        <f>IFERROR(VLOOKUP($E$8:$E$196,'[1]INF GENERAL'!$F$2:$H$80,3,0),0)</f>
        <v>6896</v>
      </c>
      <c r="O106" s="1496">
        <f>IFERROR(SUMIFS('[1]INF GENERAL'!$L:$L,'[1]INF GENERAL'!$J:$J,Tabla16[[#This Row],[Código]]),0)</f>
        <v>0</v>
      </c>
      <c r="P106" s="1496">
        <f>IFERROR(VLOOKUP($E$8:$E$196,'[1]INF GENERAL'!$V$2:$X$119,3,0),0)</f>
        <v>0</v>
      </c>
      <c r="Q106" s="1496">
        <f>IFERROR(SUMIFS('[1]INF GENERAL'!$P:$P,'[1]INF GENERAL'!$N:$N,Tabla16[[#This Row],[Código]]),0)</f>
        <v>0</v>
      </c>
      <c r="R106" s="1496">
        <f>IFERROR(VLOOKUP($E$8:$E$196,'[1]INF GENERAL'!$R$2:$T$119,3,0),0)</f>
        <v>0</v>
      </c>
      <c r="S106" s="1496">
        <f t="shared" si="21"/>
        <v>6060</v>
      </c>
      <c r="T106" s="1496">
        <f t="shared" si="18"/>
        <v>6060</v>
      </c>
      <c r="U106" s="1497">
        <f t="shared" si="20"/>
        <v>0</v>
      </c>
      <c r="V106" s="1523" t="str">
        <f>IF((Q106)&lt;J106,"INV&lt;7",IF((Q106)&lt;L106,"7≤INV≤20","INV&gt;20"))</f>
        <v>INV&lt;7</v>
      </c>
    </row>
    <row r="107" spans="1:22">
      <c r="A107" s="1488" t="s">
        <v>893</v>
      </c>
      <c r="B107" s="1488" t="s">
        <v>830</v>
      </c>
      <c r="C107" s="1489" t="s">
        <v>831</v>
      </c>
      <c r="D107" s="1489" t="s">
        <v>1023</v>
      </c>
      <c r="E107" s="1488" t="s">
        <v>1048</v>
      </c>
      <c r="F107" s="1488" t="s">
        <v>1049</v>
      </c>
      <c r="G107" s="1512">
        <v>7058</v>
      </c>
      <c r="H107" s="1491"/>
      <c r="I107" s="1492">
        <f t="shared" si="15"/>
        <v>352.9</v>
      </c>
      <c r="J107" s="1493">
        <f t="shared" si="19"/>
        <v>2470.2999999999997</v>
      </c>
      <c r="K107" s="1492">
        <f t="shared" si="16"/>
        <v>5293.5</v>
      </c>
      <c r="L107" s="1494">
        <f t="shared" si="17"/>
        <v>7058</v>
      </c>
      <c r="M107" s="1505">
        <f>IFERROR(VLOOKUP($E$8:$E$196,'[1]INF GENERAL'!$B$2:$D$135,3,0),0)</f>
        <v>8981</v>
      </c>
      <c r="N107" s="1496">
        <f>IFERROR(VLOOKUP($E$8:$E$196,'[1]INF GENERAL'!$F$2:$H$80,3,0),0)</f>
        <v>2876</v>
      </c>
      <c r="O107" s="1496">
        <f>IFERROR(SUMIFS('[1]INF GENERAL'!$L:$L,'[1]INF GENERAL'!$J:$J,Tabla16[[#This Row],[Código]]),0)</f>
        <v>0</v>
      </c>
      <c r="P107" s="1496">
        <f>IFERROR(VLOOKUP($E$8:$E$196,'[1]INF GENERAL'!$V$2:$X$119,3,0),0)</f>
        <v>0</v>
      </c>
      <c r="Q107" s="1522">
        <f>IFERROR(SUMIFS('[1]INF GENERAL'!$P:$P,'[1]INF GENERAL'!$N:$N,Tabla16[[#This Row],[Código]]),0)</f>
        <v>0</v>
      </c>
      <c r="R107" s="1496">
        <f>IFERROR(VLOOKUP($E$8:$E$196,'[1]INF GENERAL'!$R$2:$T$119,3,0),0)</f>
        <v>0</v>
      </c>
      <c r="S107" s="1496">
        <f t="shared" si="21"/>
        <v>7058</v>
      </c>
      <c r="T107" s="1496">
        <f t="shared" si="18"/>
        <v>7058</v>
      </c>
      <c r="U107" s="1497">
        <f t="shared" si="20"/>
        <v>0</v>
      </c>
      <c r="V107" s="1523" t="str">
        <f t="shared" ref="V107:V109" si="22">IF((Q107)&lt;J107,"INV&lt;7",IF((Q107)&lt;L107,"7≤INV≤20","INV&gt;20"))</f>
        <v>INV&lt;7</v>
      </c>
    </row>
    <row r="108" spans="1:22">
      <c r="A108" s="1488" t="s">
        <v>893</v>
      </c>
      <c r="B108" s="1488" t="s">
        <v>830</v>
      </c>
      <c r="C108" s="1489" t="s">
        <v>831</v>
      </c>
      <c r="D108" s="1489" t="s">
        <v>1023</v>
      </c>
      <c r="E108" s="1488" t="s">
        <v>1050</v>
      </c>
      <c r="F108" s="1488" t="s">
        <v>1051</v>
      </c>
      <c r="G108" s="1512">
        <v>1487</v>
      </c>
      <c r="H108" s="1491"/>
      <c r="I108" s="1492">
        <f t="shared" si="15"/>
        <v>74.349999999999994</v>
      </c>
      <c r="J108" s="1493">
        <f t="shared" si="19"/>
        <v>520.44999999999993</v>
      </c>
      <c r="K108" s="1492">
        <f t="shared" si="16"/>
        <v>1115.25</v>
      </c>
      <c r="L108" s="1494">
        <f t="shared" si="17"/>
        <v>1487</v>
      </c>
      <c r="M108" s="1505">
        <f>IFERROR(VLOOKUP($E$8:$E$196,'[1]INF GENERAL'!$B$2:$D$135,3,0),0)</f>
        <v>3332</v>
      </c>
      <c r="N108" s="1496">
        <f>IFERROR(VLOOKUP($E$8:$E$196,'[1]INF GENERAL'!$F$2:$H$80,3,0),0)</f>
        <v>0</v>
      </c>
      <c r="O108" s="1496">
        <f>IFERROR(SUMIFS('[1]INF GENERAL'!$L:$L,'[1]INF GENERAL'!$J:$J,Tabla16[[#This Row],[Código]]),0)</f>
        <v>0</v>
      </c>
      <c r="P108" s="1496">
        <f>IFERROR(VLOOKUP($E$8:$E$196,'[1]INF GENERAL'!$V$2:$X$119,3,0),0)</f>
        <v>0</v>
      </c>
      <c r="Q108" s="1522">
        <f>IFERROR(SUMIFS('[1]INF GENERAL'!$P:$P,'[1]INF GENERAL'!$N:$N,Tabla16[[#This Row],[Código]]),0)</f>
        <v>0</v>
      </c>
      <c r="R108" s="1496">
        <f>IFERROR(VLOOKUP($E$8:$E$196,'[1]INF GENERAL'!$R$2:$T$119,3,0),0)</f>
        <v>0</v>
      </c>
      <c r="S108" s="1496">
        <f t="shared" si="21"/>
        <v>1487</v>
      </c>
      <c r="T108" s="1496">
        <f t="shared" si="18"/>
        <v>1487</v>
      </c>
      <c r="U108" s="1497">
        <f t="shared" si="20"/>
        <v>0</v>
      </c>
      <c r="V108" s="1498" t="str">
        <f t="shared" si="22"/>
        <v>INV&lt;7</v>
      </c>
    </row>
    <row r="109" spans="1:22">
      <c r="A109" s="1488" t="s">
        <v>893</v>
      </c>
      <c r="B109" s="1488" t="s">
        <v>830</v>
      </c>
      <c r="C109" s="1489" t="s">
        <v>831</v>
      </c>
      <c r="D109" s="1489" t="s">
        <v>1023</v>
      </c>
      <c r="E109" s="1488" t="s">
        <v>1052</v>
      </c>
      <c r="F109" s="1488" t="s">
        <v>1053</v>
      </c>
      <c r="G109" s="1503">
        <v>0</v>
      </c>
      <c r="H109" s="1491"/>
      <c r="I109" s="1492">
        <f t="shared" si="15"/>
        <v>0</v>
      </c>
      <c r="J109" s="1493">
        <f t="shared" si="19"/>
        <v>0</v>
      </c>
      <c r="K109" s="1492">
        <f t="shared" si="16"/>
        <v>0</v>
      </c>
      <c r="L109" s="1494">
        <f t="shared" si="17"/>
        <v>0</v>
      </c>
      <c r="M109" s="1505">
        <f>IFERROR(VLOOKUP($E$8:$E$196,'[1]INF GENERAL'!$B$2:$D$135,3,0),0)</f>
        <v>200</v>
      </c>
      <c r="N109" s="1496">
        <f>IFERROR(VLOOKUP($E$8:$E$196,'[1]INF GENERAL'!$F$2:$H$80,3,0),0)</f>
        <v>0</v>
      </c>
      <c r="O109" s="1496">
        <f>IFERROR(SUMIFS('[1]INF GENERAL'!$L:$L,'[1]INF GENERAL'!$J:$J,Tabla16[[#This Row],[Código]]),0)</f>
        <v>0</v>
      </c>
      <c r="P109" s="1496">
        <f>IFERROR(VLOOKUP($E$8:$E$196,'[1]INF GENERAL'!$V$2:$X$119,3,0),0)</f>
        <v>0</v>
      </c>
      <c r="Q109" s="1494">
        <f>IFERROR(SUMIFS('[1]INF GENERAL'!$P:$P,'[1]INF GENERAL'!$N:$N,Tabla16[[#This Row],[Código]]),0)</f>
        <v>0</v>
      </c>
      <c r="R109" s="1496">
        <f>IFERROR(VLOOKUP($E$8:$E$196,'[1]INF GENERAL'!$R$2:$T$119,3,0),0)</f>
        <v>0</v>
      </c>
      <c r="S109" s="1496">
        <f t="shared" si="21"/>
        <v>0</v>
      </c>
      <c r="T109" s="1496">
        <f t="shared" si="18"/>
        <v>0</v>
      </c>
      <c r="U109" s="1497">
        <f t="shared" si="20"/>
        <v>0</v>
      </c>
      <c r="V109" s="1498" t="str">
        <f t="shared" si="22"/>
        <v>INV&gt;20</v>
      </c>
    </row>
    <row r="110" spans="1:22" hidden="1">
      <c r="A110" s="1488" t="s">
        <v>829</v>
      </c>
      <c r="B110" s="1488" t="s">
        <v>830</v>
      </c>
      <c r="C110" s="1489" t="s">
        <v>907</v>
      </c>
      <c r="D110" s="1489" t="s">
        <v>1023</v>
      </c>
      <c r="E110" s="1488" t="s">
        <v>1054</v>
      </c>
      <c r="F110" s="1488" t="s">
        <v>1055</v>
      </c>
      <c r="G110" s="1503"/>
      <c r="H110" s="1491"/>
      <c r="I110" s="1492">
        <f t="shared" si="15"/>
        <v>0</v>
      </c>
      <c r="J110" s="1493">
        <f t="shared" si="19"/>
        <v>0</v>
      </c>
      <c r="K110" s="1492">
        <f t="shared" si="16"/>
        <v>0</v>
      </c>
      <c r="L110" s="1494">
        <f t="shared" si="17"/>
        <v>0</v>
      </c>
      <c r="M110" s="1505">
        <f>IFERROR(VLOOKUP($E$8:$E$196,'[1]INF GENERAL'!$B$2:$D$135,3,0),0)</f>
        <v>0</v>
      </c>
      <c r="N110" s="1496">
        <f>IFERROR(VLOOKUP($E$8:$E$196,'[1]INF GENERAL'!$F$2:$H$80,3,0),0)</f>
        <v>0</v>
      </c>
      <c r="O110" s="1496">
        <f>IFERROR(SUMIFS('[1]INF GENERAL'!$L:$L,'[1]INF GENERAL'!$J:$J,Tabla16[[#This Row],[Código]]),0)</f>
        <v>0</v>
      </c>
      <c r="P110" s="1496">
        <f>IFERROR(VLOOKUP($E$8:$E$196,'[1]INF GENERAL'!$V$2:$X$119,3,0),0)</f>
        <v>0</v>
      </c>
      <c r="Q110" s="1496">
        <f>IFERROR(SUMIFS('[1]INF GENERAL'!$P:$P,'[1]INF GENERAL'!$N:$N,Tabla16[[#This Row],[Código]]),0)</f>
        <v>0</v>
      </c>
      <c r="R110" s="1496">
        <f>IFERROR(VLOOKUP($E$8:$E$196,'[1]INF GENERAL'!$R$2:$T$119,3,0),0)</f>
        <v>0</v>
      </c>
      <c r="S110" s="1496">
        <f t="shared" si="21"/>
        <v>0</v>
      </c>
      <c r="T110" s="1496">
        <f t="shared" si="18"/>
        <v>0</v>
      </c>
      <c r="U110" s="1497">
        <f t="shared" si="20"/>
        <v>0</v>
      </c>
      <c r="V110" s="1524" t="str">
        <f t="shared" ref="V110:V113" si="23">IF((Q110)&lt;J110,"QUIEBRE",IF((Q110)&lt;L110,"VIGILAR","NO CRITICO"))</f>
        <v>NO CRITICO</v>
      </c>
    </row>
    <row r="111" spans="1:22" hidden="1">
      <c r="A111" s="1488" t="s">
        <v>829</v>
      </c>
      <c r="B111" s="1488" t="s">
        <v>830</v>
      </c>
      <c r="C111" s="1489" t="s">
        <v>907</v>
      </c>
      <c r="D111" s="1489" t="s">
        <v>1023</v>
      </c>
      <c r="E111" s="1488" t="s">
        <v>1056</v>
      </c>
      <c r="F111" s="1488" t="s">
        <v>1057</v>
      </c>
      <c r="G111" s="1503"/>
      <c r="H111" s="1491"/>
      <c r="I111" s="1492">
        <f t="shared" si="15"/>
        <v>0</v>
      </c>
      <c r="J111" s="1493">
        <f t="shared" si="19"/>
        <v>0</v>
      </c>
      <c r="K111" s="1492">
        <f t="shared" si="16"/>
        <v>0</v>
      </c>
      <c r="L111" s="1494">
        <f t="shared" si="17"/>
        <v>0</v>
      </c>
      <c r="M111" s="1505">
        <f>IFERROR(VLOOKUP($E$8:$E$196,'[1]INF GENERAL'!$B$2:$D$135,3,0),0)</f>
        <v>0</v>
      </c>
      <c r="N111" s="1496">
        <f>IFERROR(VLOOKUP($E$8:$E$196,'[1]INF GENERAL'!$F$2:$H$80,3,0),0)</f>
        <v>0</v>
      </c>
      <c r="O111" s="1496">
        <f>IFERROR(SUMIFS('[1]INF GENERAL'!$L:$L,'[1]INF GENERAL'!$J:$J,Tabla16[[#This Row],[Código]]),0)</f>
        <v>0</v>
      </c>
      <c r="P111" s="1496">
        <f>IFERROR(VLOOKUP($E$8:$E$196,'[1]INF GENERAL'!$V$2:$X$119,3,0),0)</f>
        <v>0</v>
      </c>
      <c r="Q111" s="1496">
        <f>IFERROR(SUMIFS('[1]INF GENERAL'!$P:$P,'[1]INF GENERAL'!$N:$N,Tabla16[[#This Row],[Código]]),0)</f>
        <v>0</v>
      </c>
      <c r="R111" s="1496">
        <f>IFERROR(VLOOKUP($E$8:$E$196,'[1]INF GENERAL'!$R$2:$T$119,3,0),0)</f>
        <v>0</v>
      </c>
      <c r="S111" s="1496">
        <f t="shared" si="21"/>
        <v>0</v>
      </c>
      <c r="T111" s="1496">
        <f t="shared" si="18"/>
        <v>0</v>
      </c>
      <c r="U111" s="1497">
        <f t="shared" si="20"/>
        <v>0</v>
      </c>
      <c r="V111" s="1524" t="str">
        <f t="shared" si="23"/>
        <v>NO CRITICO</v>
      </c>
    </row>
    <row r="112" spans="1:22" hidden="1">
      <c r="A112" s="1488" t="s">
        <v>829</v>
      </c>
      <c r="B112" s="1488" t="s">
        <v>830</v>
      </c>
      <c r="C112" s="1489" t="s">
        <v>867</v>
      </c>
      <c r="D112" s="1489" t="s">
        <v>1023</v>
      </c>
      <c r="E112" s="1488" t="s">
        <v>1058</v>
      </c>
      <c r="F112" s="1519" t="s">
        <v>1059</v>
      </c>
      <c r="G112" s="1503"/>
      <c r="H112" s="1491"/>
      <c r="I112" s="1492">
        <f t="shared" si="15"/>
        <v>0</v>
      </c>
      <c r="J112" s="1493">
        <f t="shared" si="19"/>
        <v>0</v>
      </c>
      <c r="K112" s="1492">
        <f t="shared" si="16"/>
        <v>0</v>
      </c>
      <c r="L112" s="1494">
        <f t="shared" si="17"/>
        <v>0</v>
      </c>
      <c r="M112" s="1505">
        <f>IFERROR(VLOOKUP($E$8:$E$196,'[1]INF GENERAL'!$B$2:$D$135,3,0),0)</f>
        <v>0</v>
      </c>
      <c r="N112" s="1496">
        <f>IFERROR(VLOOKUP($E$8:$E$196,'[1]INF GENERAL'!$F$2:$H$80,3,0),0)</f>
        <v>0</v>
      </c>
      <c r="O112" s="1496">
        <f>IFERROR(SUMIFS('[1]INF GENERAL'!$L:$L,'[1]INF GENERAL'!$J:$J,Tabla16[[#This Row],[Código]]),0)</f>
        <v>0</v>
      </c>
      <c r="P112" s="1496">
        <f>IFERROR(VLOOKUP($E$8:$E$196,'[1]INF GENERAL'!$V$2:$X$119,3,0),0)</f>
        <v>0</v>
      </c>
      <c r="Q112" s="1496">
        <f>IFERROR(SUMIFS('[1]INF GENERAL'!$P:$P,'[1]INF GENERAL'!$N:$N,Tabla16[[#This Row],[Código]]),0)</f>
        <v>0</v>
      </c>
      <c r="R112" s="1496">
        <f>IFERROR(VLOOKUP($E$8:$E$196,'[1]INF GENERAL'!$R$2:$T$119,3,0),0)</f>
        <v>0</v>
      </c>
      <c r="S112" s="1496">
        <f t="shared" si="21"/>
        <v>0</v>
      </c>
      <c r="T112" s="1496">
        <f t="shared" si="18"/>
        <v>0</v>
      </c>
      <c r="U112" s="1497">
        <f t="shared" si="20"/>
        <v>0</v>
      </c>
      <c r="V112" s="1524" t="str">
        <f t="shared" si="23"/>
        <v>NO CRITICO</v>
      </c>
    </row>
    <row r="113" spans="1:22" hidden="1">
      <c r="A113" s="1488" t="s">
        <v>829</v>
      </c>
      <c r="B113" s="1488" t="s">
        <v>830</v>
      </c>
      <c r="C113" s="1489" t="s">
        <v>867</v>
      </c>
      <c r="D113" s="1489" t="s">
        <v>1023</v>
      </c>
      <c r="E113" s="1488" t="s">
        <v>1060</v>
      </c>
      <c r="F113" s="1488" t="s">
        <v>1061</v>
      </c>
      <c r="G113" s="1503"/>
      <c r="H113" s="1491"/>
      <c r="I113" s="1492">
        <f t="shared" si="15"/>
        <v>0</v>
      </c>
      <c r="J113" s="1493">
        <f t="shared" si="19"/>
        <v>0</v>
      </c>
      <c r="K113" s="1492">
        <f t="shared" si="16"/>
        <v>0</v>
      </c>
      <c r="L113" s="1494">
        <f t="shared" si="17"/>
        <v>0</v>
      </c>
      <c r="M113" s="1505">
        <f>IFERROR(VLOOKUP($E$8:$E$196,'[1]INF GENERAL'!$B$2:$D$135,3,0),0)</f>
        <v>0</v>
      </c>
      <c r="N113" s="1496">
        <f>IFERROR(VLOOKUP($E$8:$E$196,'[1]INF GENERAL'!$F$2:$H$80,3,0),0)</f>
        <v>0</v>
      </c>
      <c r="O113" s="1496">
        <f>IFERROR(SUMIFS('[1]INF GENERAL'!$L:$L,'[1]INF GENERAL'!$J:$J,Tabla16[[#This Row],[Código]]),0)</f>
        <v>0</v>
      </c>
      <c r="P113" s="1496">
        <f>IFERROR(VLOOKUP($E$8:$E$196,'[1]INF GENERAL'!$V$2:$X$119,3,0),0)</f>
        <v>0</v>
      </c>
      <c r="Q113" s="1496">
        <f>IFERROR(SUMIFS('[1]INF GENERAL'!$P:$P,'[1]INF GENERAL'!$N:$N,Tabla16[[#This Row],[Código]]),0)</f>
        <v>0</v>
      </c>
      <c r="R113" s="1496">
        <f>IFERROR(VLOOKUP($E$8:$E$196,'[1]INF GENERAL'!$R$2:$T$119,3,0),0)</f>
        <v>0</v>
      </c>
      <c r="S113" s="1496">
        <f t="shared" si="21"/>
        <v>0</v>
      </c>
      <c r="T113" s="1496">
        <f t="shared" si="18"/>
        <v>0</v>
      </c>
      <c r="U113" s="1497">
        <f t="shared" si="20"/>
        <v>0</v>
      </c>
      <c r="V113" s="1524" t="str">
        <f t="shared" si="23"/>
        <v>NO CRITICO</v>
      </c>
    </row>
    <row r="114" spans="1:22" hidden="1">
      <c r="A114" s="1488" t="s">
        <v>829</v>
      </c>
      <c r="B114" s="1488" t="s">
        <v>830</v>
      </c>
      <c r="C114" s="1489" t="s">
        <v>867</v>
      </c>
      <c r="D114" s="1489" t="s">
        <v>1023</v>
      </c>
      <c r="E114" s="1488" t="s">
        <v>1062</v>
      </c>
      <c r="F114" s="1519" t="s">
        <v>1063</v>
      </c>
      <c r="G114" s="1503"/>
      <c r="H114" s="1491"/>
      <c r="I114" s="1492">
        <f t="shared" si="15"/>
        <v>0</v>
      </c>
      <c r="J114" s="1493">
        <f t="shared" si="19"/>
        <v>0</v>
      </c>
      <c r="K114" s="1492">
        <f t="shared" si="16"/>
        <v>0</v>
      </c>
      <c r="L114" s="1494">
        <f t="shared" si="17"/>
        <v>0</v>
      </c>
      <c r="M114" s="1505">
        <f>IFERROR(VLOOKUP($E$8:$E$196,'[1]INF GENERAL'!$B$2:$D$135,3,0),0)</f>
        <v>0</v>
      </c>
      <c r="N114" s="1496">
        <f>IFERROR(VLOOKUP($E$8:$E$196,'[1]INF GENERAL'!$F$2:$H$80,3,0),0)</f>
        <v>0</v>
      </c>
      <c r="O114" s="1496">
        <f>IFERROR(SUMIFS('[1]INF GENERAL'!$L:$L,'[1]INF GENERAL'!$J:$J,Tabla16[[#This Row],[Código]]),0)</f>
        <v>0</v>
      </c>
      <c r="P114" s="1496">
        <f>IFERROR(VLOOKUP($E$8:$E$196,'[1]INF GENERAL'!$V$2:$X$119,3,0),0)</f>
        <v>0</v>
      </c>
      <c r="Q114" s="1496">
        <f>IFERROR(SUMIFS('[1]INF GENERAL'!$P:$P,'[1]INF GENERAL'!$N:$N,Tabla16[[#This Row],[Código]]),0)</f>
        <v>0</v>
      </c>
      <c r="R114" s="1496">
        <f>IFERROR(VLOOKUP($E$8:$E$196,'[1]INF GENERAL'!$R$2:$T$119,3,0),0)</f>
        <v>0</v>
      </c>
      <c r="S114" s="1496">
        <f t="shared" si="21"/>
        <v>0</v>
      </c>
      <c r="T114" s="1496">
        <f t="shared" si="18"/>
        <v>0</v>
      </c>
      <c r="U114" s="1497">
        <f t="shared" si="20"/>
        <v>0</v>
      </c>
      <c r="V114" s="1524" t="str">
        <f>IF((Q114)&lt;J114,"QUIEBRE",IF((Q114)&lt;L114,"VIGILAR","NO CRITICO"))</f>
        <v>NO CRITICO</v>
      </c>
    </row>
    <row r="115" spans="1:22">
      <c r="A115" s="1488" t="s">
        <v>893</v>
      </c>
      <c r="B115" s="1488" t="s">
        <v>830</v>
      </c>
      <c r="C115" s="1489" t="s">
        <v>1064</v>
      </c>
      <c r="D115" s="1489" t="s">
        <v>1065</v>
      </c>
      <c r="E115" s="1488" t="s">
        <v>1066</v>
      </c>
      <c r="F115" s="1488" t="s">
        <v>1067</v>
      </c>
      <c r="G115" s="1508">
        <v>0</v>
      </c>
      <c r="H115" s="1509"/>
      <c r="I115" s="1492">
        <f t="shared" si="15"/>
        <v>0</v>
      </c>
      <c r="J115" s="1493">
        <f t="shared" si="19"/>
        <v>0</v>
      </c>
      <c r="K115" s="1492">
        <f t="shared" si="16"/>
        <v>0</v>
      </c>
      <c r="L115" s="1494">
        <f t="shared" si="17"/>
        <v>0</v>
      </c>
      <c r="M115" s="1505">
        <f>IFERROR(VLOOKUP($E$8:$E$196,'[1]INF GENERAL'!$B$2:$D$135,3,0),0)</f>
        <v>0</v>
      </c>
      <c r="N115" s="1496">
        <f>IFERROR(VLOOKUP($E$8:$E$196,'[1]INF GENERAL'!$F$2:$H$80,3,0),0)</f>
        <v>2766</v>
      </c>
      <c r="O115" s="1496">
        <f>IFERROR(SUMIFS('[1]INF GENERAL'!$L:$L,'[1]INF GENERAL'!$J:$J,Tabla16[[#This Row],[Código]]),0)</f>
        <v>0</v>
      </c>
      <c r="P115" s="1496">
        <f>IFERROR(VLOOKUP($E$8:$E$196,'[1]INF GENERAL'!$V$2:$X$119,3,0),0)</f>
        <v>0</v>
      </c>
      <c r="Q115" s="1496">
        <f>IFERROR(SUMIFS('[1]INF GENERAL'!$P:$P,'[1]INF GENERAL'!$N:$N,Tabla16[[#This Row],[Código]]),0)</f>
        <v>0</v>
      </c>
      <c r="R115" s="1496">
        <f>IFERROR(VLOOKUP($E$8:$E$196,'[1]INF GENERAL'!$R$2:$T$119,3,0),0)</f>
        <v>9.9582999999999995</v>
      </c>
      <c r="S115" s="1496">
        <f t="shared" si="21"/>
        <v>0</v>
      </c>
      <c r="T115" s="1496">
        <f t="shared" si="18"/>
        <v>0</v>
      </c>
      <c r="U115" s="1497">
        <f t="shared" si="20"/>
        <v>0</v>
      </c>
      <c r="V115" s="1498" t="str">
        <f>IF((Q115)&lt;J115,"INV&lt;7",IF((Q115)&lt;L115,"7≤INV≤20","INV&gt;20"))</f>
        <v>INV&gt;20</v>
      </c>
    </row>
    <row r="116" spans="1:22">
      <c r="A116" s="1488" t="s">
        <v>893</v>
      </c>
      <c r="B116" s="1488" t="s">
        <v>830</v>
      </c>
      <c r="C116" s="1489" t="s">
        <v>1064</v>
      </c>
      <c r="D116" s="1489" t="s">
        <v>1065</v>
      </c>
      <c r="E116" s="1488" t="s">
        <v>1068</v>
      </c>
      <c r="F116" s="1488" t="s">
        <v>1069</v>
      </c>
      <c r="G116" s="1508">
        <v>0</v>
      </c>
      <c r="H116" s="1509"/>
      <c r="I116" s="1492">
        <f t="shared" si="15"/>
        <v>0</v>
      </c>
      <c r="J116" s="1493">
        <f t="shared" si="19"/>
        <v>0</v>
      </c>
      <c r="K116" s="1492">
        <f t="shared" si="16"/>
        <v>0</v>
      </c>
      <c r="L116" s="1494">
        <f t="shared" si="17"/>
        <v>0</v>
      </c>
      <c r="M116" s="1505">
        <f>IFERROR(VLOOKUP($E$8:$E$196,'[1]INF GENERAL'!$B$2:$D$135,3,0),0)</f>
        <v>0</v>
      </c>
      <c r="N116" s="1496">
        <f>IFERROR(VLOOKUP($E$8:$E$196,'[1]INF GENERAL'!$F$2:$H$80,3,0),0)</f>
        <v>7871</v>
      </c>
      <c r="O116" s="1496">
        <f>IFERROR(SUMIFS('[1]INF GENERAL'!$L:$L,'[1]INF GENERAL'!$J:$J,Tabla16[[#This Row],[Código]]),0)</f>
        <v>0</v>
      </c>
      <c r="P116" s="1496">
        <f>IFERROR(VLOOKUP($E$8:$E$196,'[1]INF GENERAL'!$V$2:$X$119,3,0),0)</f>
        <v>27.916799999999999</v>
      </c>
      <c r="Q116" s="1496">
        <f>IFERROR(SUMIFS('[1]INF GENERAL'!$P:$P,'[1]INF GENERAL'!$N:$N,Tabla16[[#This Row],[Código]]),0)</f>
        <v>0</v>
      </c>
      <c r="R116" s="1496">
        <f>IFERROR(VLOOKUP($E$8:$E$196,'[1]INF GENERAL'!$R$2:$T$119,3,0),0)</f>
        <v>367.95139999999998</v>
      </c>
      <c r="S116" s="1496">
        <f t="shared" si="21"/>
        <v>0</v>
      </c>
      <c r="T116" s="1496">
        <f t="shared" si="18"/>
        <v>0</v>
      </c>
      <c r="U116" s="1497">
        <f t="shared" si="20"/>
        <v>0</v>
      </c>
      <c r="V116" s="1498" t="str">
        <f>IF((Q116)&lt;J116,"INV&lt;7",IF((Q116)&lt;L116,"7≤INV≤20","INV&gt;20"))</f>
        <v>INV&gt;20</v>
      </c>
    </row>
    <row r="117" spans="1:22">
      <c r="A117" s="1488" t="s">
        <v>893</v>
      </c>
      <c r="B117" s="1488" t="s">
        <v>830</v>
      </c>
      <c r="C117" s="1489" t="s">
        <v>1064</v>
      </c>
      <c r="D117" s="1489" t="s">
        <v>1065</v>
      </c>
      <c r="E117" s="1488" t="s">
        <v>1070</v>
      </c>
      <c r="F117" s="1488" t="s">
        <v>1071</v>
      </c>
      <c r="G117" s="1508">
        <v>0</v>
      </c>
      <c r="H117" s="1509"/>
      <c r="I117" s="1492">
        <f t="shared" si="15"/>
        <v>0</v>
      </c>
      <c r="J117" s="1493">
        <f t="shared" si="19"/>
        <v>0</v>
      </c>
      <c r="K117" s="1492">
        <f t="shared" si="16"/>
        <v>0</v>
      </c>
      <c r="L117" s="1494">
        <f t="shared" si="17"/>
        <v>0</v>
      </c>
      <c r="M117" s="1505">
        <f>IFERROR(VLOOKUP($E$8:$E$196,'[1]INF GENERAL'!$B$2:$D$135,3,0),0)</f>
        <v>0</v>
      </c>
      <c r="N117" s="1496">
        <f>IFERROR(VLOOKUP($E$8:$E$196,'[1]INF GENERAL'!$F$2:$H$80,3,0),0)</f>
        <v>3811</v>
      </c>
      <c r="O117" s="1496">
        <f>IFERROR(SUMIFS('[1]INF GENERAL'!$L:$L,'[1]INF GENERAL'!$J:$J,Tabla16[[#This Row],[Código]]),0)</f>
        <v>0</v>
      </c>
      <c r="P117" s="1496">
        <f>IFERROR(VLOOKUP($E$8:$E$196,'[1]INF GENERAL'!$V$2:$X$119,3,0),0)</f>
        <v>77.249899999999997</v>
      </c>
      <c r="Q117" s="1496">
        <f>IFERROR(SUMIFS('[1]INF GENERAL'!$P:$P,'[1]INF GENERAL'!$N:$N,Tabla16[[#This Row],[Código]]),0)</f>
        <v>0</v>
      </c>
      <c r="R117" s="1496">
        <f>IFERROR(VLOOKUP($E$8:$E$196,'[1]INF GENERAL'!$R$2:$T$119,3,0),0)</f>
        <v>647.00030000000004</v>
      </c>
      <c r="S117" s="1496">
        <f t="shared" si="21"/>
        <v>0</v>
      </c>
      <c r="T117" s="1496">
        <f t="shared" si="18"/>
        <v>0</v>
      </c>
      <c r="U117" s="1497">
        <f t="shared" si="20"/>
        <v>0</v>
      </c>
      <c r="V117" s="1498" t="str">
        <f>IF((Q117)&lt;J117,"INV&lt;7",IF((Q117)&lt;L117,"7≤INV≤20","INV&gt;20"))</f>
        <v>INV&gt;20</v>
      </c>
    </row>
    <row r="118" spans="1:22" hidden="1">
      <c r="A118" s="1488" t="s">
        <v>829</v>
      </c>
      <c r="B118" s="1488" t="s">
        <v>830</v>
      </c>
      <c r="C118" s="1489" t="s">
        <v>1064</v>
      </c>
      <c r="D118" s="1489" t="s">
        <v>1065</v>
      </c>
      <c r="E118" s="1488" t="s">
        <v>1072</v>
      </c>
      <c r="F118" s="1488" t="s">
        <v>1073</v>
      </c>
      <c r="G118" s="1508">
        <v>0</v>
      </c>
      <c r="H118" s="1509"/>
      <c r="I118" s="1492">
        <f t="shared" si="15"/>
        <v>0</v>
      </c>
      <c r="J118" s="1493">
        <f t="shared" si="19"/>
        <v>0</v>
      </c>
      <c r="K118" s="1492">
        <f t="shared" si="16"/>
        <v>0</v>
      </c>
      <c r="L118" s="1494">
        <f t="shared" si="17"/>
        <v>0</v>
      </c>
      <c r="M118" s="1505">
        <f>IFERROR(VLOOKUP($E$8:$E$196,'[1]INF GENERAL'!$B$2:$D$135,3,0),0)</f>
        <v>1</v>
      </c>
      <c r="N118" s="1496">
        <f>IFERROR(VLOOKUP($E$8:$E$196,'[1]INF GENERAL'!$F$2:$H$80,3,0),0)</f>
        <v>0</v>
      </c>
      <c r="O118" s="1496">
        <f>IFERROR(SUMIFS('[1]INF GENERAL'!$L:$L,'[1]INF GENERAL'!$J:$J,Tabla16[[#This Row],[Código]]),0)</f>
        <v>0</v>
      </c>
      <c r="P118" s="1496">
        <f>IFERROR(VLOOKUP($E$8:$E$196,'[1]INF GENERAL'!$V$2:$X$119,3,0),0)</f>
        <v>0</v>
      </c>
      <c r="Q118" s="1496">
        <f>IFERROR(SUMIFS('[1]INF GENERAL'!$P:$P,'[1]INF GENERAL'!$N:$N,Tabla16[[#This Row],[Código]]),0)</f>
        <v>0</v>
      </c>
      <c r="R118" s="1496">
        <f>IFERROR(VLOOKUP($E$8:$E$196,'[1]INF GENERAL'!$R$2:$T$119,3,0),0)</f>
        <v>0</v>
      </c>
      <c r="S118" s="1496">
        <f t="shared" si="21"/>
        <v>0</v>
      </c>
      <c r="T118" s="1496">
        <f t="shared" si="18"/>
        <v>0</v>
      </c>
      <c r="U118" s="1497">
        <f t="shared" si="20"/>
        <v>0</v>
      </c>
      <c r="V118" s="1498" t="str">
        <f>IF((Q118)&lt;J118,"INV&lt;7",IF((Q118)&lt;L118,"7≤INV≤20","INV&gt;20"))</f>
        <v>INV&gt;20</v>
      </c>
    </row>
    <row r="119" spans="1:22" hidden="1">
      <c r="A119" s="1488" t="s">
        <v>829</v>
      </c>
      <c r="B119" s="1488" t="s">
        <v>830</v>
      </c>
      <c r="C119" s="1489" t="s">
        <v>1064</v>
      </c>
      <c r="D119" s="1489" t="s">
        <v>1065</v>
      </c>
      <c r="E119" s="1488" t="s">
        <v>1074</v>
      </c>
      <c r="F119" s="1488" t="s">
        <v>1075</v>
      </c>
      <c r="G119" s="1512"/>
      <c r="H119" s="1492"/>
      <c r="I119" s="1492">
        <f t="shared" si="15"/>
        <v>0</v>
      </c>
      <c r="J119" s="1493">
        <f t="shared" si="19"/>
        <v>0</v>
      </c>
      <c r="K119" s="1492">
        <f t="shared" si="16"/>
        <v>0</v>
      </c>
      <c r="L119" s="1494">
        <f t="shared" si="17"/>
        <v>0</v>
      </c>
      <c r="M119" s="1505">
        <f>IFERROR(VLOOKUP($E$8:$E$196,'[1]INF GENERAL'!$B$2:$D$135,3,0),0)</f>
        <v>0</v>
      </c>
      <c r="N119" s="1496">
        <f>IFERROR(VLOOKUP($E$8:$E$196,'[1]INF GENERAL'!$F$2:$H$80,3,0),0)</f>
        <v>0</v>
      </c>
      <c r="O119" s="1496">
        <f>IFERROR(SUMIFS('[1]INF GENERAL'!$L:$L,'[1]INF GENERAL'!$J:$J,Tabla16[[#This Row],[Código]]),0)</f>
        <v>0</v>
      </c>
      <c r="P119" s="1496">
        <f>IFERROR(VLOOKUP($E$8:$E$196,'[1]INF GENERAL'!$V$2:$X$119,3,0),0)</f>
        <v>0</v>
      </c>
      <c r="Q119" s="1496">
        <f>IFERROR(SUMIFS('[1]INF GENERAL'!$P:$P,'[1]INF GENERAL'!$N:$N,Tabla16[[#This Row],[Código]]),0)</f>
        <v>0</v>
      </c>
      <c r="R119" s="1496">
        <f>IFERROR(VLOOKUP($E$8:$E$196,'[1]INF GENERAL'!$R$2:$T$119,3,0),0)</f>
        <v>0</v>
      </c>
      <c r="S119" s="1496">
        <f t="shared" si="21"/>
        <v>0</v>
      </c>
      <c r="T119" s="1496">
        <f t="shared" si="18"/>
        <v>0</v>
      </c>
      <c r="U119" s="1497">
        <f t="shared" si="20"/>
        <v>0</v>
      </c>
      <c r="V119" s="1498" t="str">
        <f t="shared" ref="V119:V146" si="24">IF((Q119)&lt;J119,"QUIEBRE",IF((Q119)&lt;L119,"VIGILAR","NO CRITICO"))</f>
        <v>NO CRITICO</v>
      </c>
    </row>
    <row r="120" spans="1:22">
      <c r="A120" s="1488" t="s">
        <v>893</v>
      </c>
      <c r="B120" s="1488" t="s">
        <v>830</v>
      </c>
      <c r="C120" s="1489" t="s">
        <v>1064</v>
      </c>
      <c r="D120" s="1489" t="s">
        <v>1065</v>
      </c>
      <c r="E120" s="1488" t="s">
        <v>1076</v>
      </c>
      <c r="F120" s="1488" t="s">
        <v>1077</v>
      </c>
      <c r="G120" s="1508">
        <v>0</v>
      </c>
      <c r="H120" s="1509"/>
      <c r="I120" s="1492">
        <f t="shared" si="15"/>
        <v>0</v>
      </c>
      <c r="J120" s="1493">
        <f t="shared" si="19"/>
        <v>0</v>
      </c>
      <c r="K120" s="1492">
        <f t="shared" si="16"/>
        <v>0</v>
      </c>
      <c r="L120" s="1494">
        <f t="shared" si="17"/>
        <v>0</v>
      </c>
      <c r="M120" s="1505">
        <f>IFERROR(VLOOKUP($E$8:$E$196,'[1]INF GENERAL'!$B$2:$D$135,3,0),0)</f>
        <v>42</v>
      </c>
      <c r="N120" s="1496">
        <f>IFERROR(VLOOKUP($E$8:$E$196,'[1]INF GENERAL'!$F$2:$H$80,3,0),0)</f>
        <v>0</v>
      </c>
      <c r="O120" s="1496">
        <f>IFERROR(SUMIFS('[1]INF GENERAL'!$L:$L,'[1]INF GENERAL'!$J:$J,Tabla16[[#This Row],[Código]]),0)</f>
        <v>0</v>
      </c>
      <c r="P120" s="1496">
        <f>IFERROR(VLOOKUP($E$8:$E$196,'[1]INF GENERAL'!$V$2:$X$119,3,0),0)</f>
        <v>0</v>
      </c>
      <c r="Q120" s="1496">
        <f>IFERROR(SUMIFS('[1]INF GENERAL'!$P:$P,'[1]INF GENERAL'!$N:$N,Tabla16[[#This Row],[Código]]),0)</f>
        <v>0</v>
      </c>
      <c r="R120" s="1496">
        <f>IFERROR(VLOOKUP($E$8:$E$196,'[1]INF GENERAL'!$R$2:$T$119,3,0),0)</f>
        <v>0</v>
      </c>
      <c r="S120" s="1496">
        <f t="shared" si="21"/>
        <v>0</v>
      </c>
      <c r="T120" s="1496">
        <f t="shared" si="18"/>
        <v>0</v>
      </c>
      <c r="U120" s="1497">
        <f t="shared" si="20"/>
        <v>0</v>
      </c>
      <c r="V120" s="1498" t="str">
        <f>IF((Q120)&lt;J120,"INV&lt;7",IF((Q120)&lt;L120,"7≤INV≤20","INV&gt;20"))</f>
        <v>INV&gt;20</v>
      </c>
    </row>
    <row r="121" spans="1:22">
      <c r="A121" s="1488" t="s">
        <v>893</v>
      </c>
      <c r="B121" s="1488" t="s">
        <v>830</v>
      </c>
      <c r="C121" s="1489" t="s">
        <v>1064</v>
      </c>
      <c r="D121" s="1489" t="s">
        <v>1065</v>
      </c>
      <c r="E121" s="1488" t="s">
        <v>1078</v>
      </c>
      <c r="F121" s="1488" t="s">
        <v>1079</v>
      </c>
      <c r="G121" s="1508">
        <v>200</v>
      </c>
      <c r="H121" s="1509"/>
      <c r="I121" s="1492">
        <f t="shared" si="15"/>
        <v>10</v>
      </c>
      <c r="J121" s="1493">
        <f t="shared" si="19"/>
        <v>70</v>
      </c>
      <c r="K121" s="1492">
        <f t="shared" si="16"/>
        <v>150</v>
      </c>
      <c r="L121" s="1494">
        <f t="shared" si="17"/>
        <v>200</v>
      </c>
      <c r="M121" s="1505">
        <f>IFERROR(VLOOKUP($E$8:$E$196,'[1]INF GENERAL'!$B$2:$D$135,3,0),0)</f>
        <v>546</v>
      </c>
      <c r="N121" s="1496">
        <f>IFERROR(VLOOKUP($E$8:$E$196,'[1]INF GENERAL'!$F$2:$H$80,3,0),0)</f>
        <v>0</v>
      </c>
      <c r="O121" s="1496">
        <f>IFERROR(SUMIFS('[1]INF GENERAL'!$L:$L,'[1]INF GENERAL'!$J:$J,Tabla16[[#This Row],[Código]]),0)</f>
        <v>0</v>
      </c>
      <c r="P121" s="1496">
        <f>IFERROR(VLOOKUP($E$8:$E$196,'[1]INF GENERAL'!$V$2:$X$119,3,0),0)</f>
        <v>0</v>
      </c>
      <c r="Q121" s="1496">
        <f>IFERROR(SUMIFS('[1]INF GENERAL'!$P:$P,'[1]INF GENERAL'!$N:$N,Tabla16[[#This Row],[Código]]),0)</f>
        <v>0</v>
      </c>
      <c r="R121" s="1496">
        <f>IFERROR(VLOOKUP($E$8:$E$196,'[1]INF GENERAL'!$R$2:$T$119,3,0),0)</f>
        <v>0</v>
      </c>
      <c r="S121" s="1496">
        <f t="shared" si="21"/>
        <v>200</v>
      </c>
      <c r="T121" s="1496">
        <f t="shared" si="18"/>
        <v>200</v>
      </c>
      <c r="U121" s="1497">
        <f t="shared" si="20"/>
        <v>0</v>
      </c>
      <c r="V121" s="1498" t="str">
        <f t="shared" ref="V121:V125" si="25">IF((Q121)&lt;J121,"INV&lt;7",IF((Q121)&lt;L121,"7≤INV≤20","INV&gt;20"))</f>
        <v>INV&lt;7</v>
      </c>
    </row>
    <row r="122" spans="1:22">
      <c r="A122" s="1488" t="s">
        <v>893</v>
      </c>
      <c r="B122" s="1488" t="s">
        <v>830</v>
      </c>
      <c r="C122" s="1489" t="s">
        <v>1064</v>
      </c>
      <c r="D122" s="1489" t="s">
        <v>1080</v>
      </c>
      <c r="E122" s="1488" t="s">
        <v>1081</v>
      </c>
      <c r="F122" s="1488" t="s">
        <v>1082</v>
      </c>
      <c r="G122" s="1508">
        <v>984</v>
      </c>
      <c r="H122" s="1509"/>
      <c r="I122" s="1492">
        <f t="shared" si="15"/>
        <v>49.2</v>
      </c>
      <c r="J122" s="1493">
        <f t="shared" si="19"/>
        <v>344.40000000000003</v>
      </c>
      <c r="K122" s="1492">
        <f t="shared" si="16"/>
        <v>738</v>
      </c>
      <c r="L122" s="1494">
        <f t="shared" si="17"/>
        <v>984</v>
      </c>
      <c r="M122" s="1505">
        <f>IFERROR(VLOOKUP($E$8:$E$196,'[1]INF GENERAL'!$B$2:$D$135,3,0),0)</f>
        <v>485</v>
      </c>
      <c r="N122" s="1496">
        <f>IFERROR(VLOOKUP($E$8:$E$196,'[1]INF GENERAL'!$F$2:$H$80,3,0),0)</f>
        <v>1685</v>
      </c>
      <c r="O122" s="1496">
        <f>IFERROR(SUMIFS('[1]INF GENERAL'!$L:$L,'[1]INF GENERAL'!$J:$J,Tabla16[[#This Row],[Código]]),0)</f>
        <v>0</v>
      </c>
      <c r="P122" s="1496">
        <f>IFERROR(VLOOKUP($E$8:$E$196,'[1]INF GENERAL'!$V$2:$X$119,3,0),0)</f>
        <v>0</v>
      </c>
      <c r="Q122" s="1496">
        <f>IFERROR(SUMIFS('[1]INF GENERAL'!$P:$P,'[1]INF GENERAL'!$N:$N,Tabla16[[#This Row],[Código]]),0)</f>
        <v>0</v>
      </c>
      <c r="R122" s="1496">
        <f>IFERROR(VLOOKUP($E$8:$E$196,'[1]INF GENERAL'!$R$2:$T$119,3,0),0)</f>
        <v>70.791700000000006</v>
      </c>
      <c r="S122" s="1496">
        <f t="shared" si="21"/>
        <v>984</v>
      </c>
      <c r="T122" s="1496">
        <f t="shared" si="18"/>
        <v>984</v>
      </c>
      <c r="U122" s="1497">
        <f t="shared" si="20"/>
        <v>0</v>
      </c>
      <c r="V122" s="1498" t="str">
        <f t="shared" si="25"/>
        <v>INV&lt;7</v>
      </c>
    </row>
    <row r="123" spans="1:22">
      <c r="A123" s="1488" t="s">
        <v>893</v>
      </c>
      <c r="B123" s="1488" t="s">
        <v>830</v>
      </c>
      <c r="C123" s="1489" t="s">
        <v>1064</v>
      </c>
      <c r="D123" s="1489" t="s">
        <v>1080</v>
      </c>
      <c r="E123" s="1488" t="s">
        <v>1083</v>
      </c>
      <c r="F123" s="1488" t="s">
        <v>1084</v>
      </c>
      <c r="G123" s="1508">
        <v>4845</v>
      </c>
      <c r="H123" s="1509"/>
      <c r="I123" s="1492">
        <f t="shared" si="15"/>
        <v>242.25</v>
      </c>
      <c r="J123" s="1493">
        <f t="shared" si="19"/>
        <v>1695.75</v>
      </c>
      <c r="K123" s="1492">
        <f t="shared" si="16"/>
        <v>3633.75</v>
      </c>
      <c r="L123" s="1494">
        <f t="shared" si="17"/>
        <v>4845</v>
      </c>
      <c r="M123" s="1505">
        <f>IFERROR(VLOOKUP($E$8:$E$196,'[1]INF GENERAL'!$B$2:$D$135,3,0),0)</f>
        <v>211</v>
      </c>
      <c r="N123" s="1496">
        <f>IFERROR(VLOOKUP($E$8:$E$196,'[1]INF GENERAL'!$F$2:$H$80,3,0),0)</f>
        <v>6176</v>
      </c>
      <c r="O123" s="1496">
        <f>IFERROR(SUMIFS('[1]INF GENERAL'!$L:$L,'[1]INF GENERAL'!$J:$J,Tabla16[[#This Row],[Código]]),0)</f>
        <v>0</v>
      </c>
      <c r="P123" s="1496">
        <f>IFERROR(VLOOKUP($E$8:$E$196,'[1]INF GENERAL'!$V$2:$X$119,3,0),0)</f>
        <v>218.70820000000003</v>
      </c>
      <c r="Q123" s="1496">
        <f>IFERROR(SUMIFS('[1]INF GENERAL'!$P:$P,'[1]INF GENERAL'!$N:$N,Tabla16[[#This Row],[Código]]),0)</f>
        <v>0</v>
      </c>
      <c r="R123" s="1496">
        <f>IFERROR(VLOOKUP($E$8:$E$196,'[1]INF GENERAL'!$R$2:$T$119,3,0),0)</f>
        <v>573.83320000000003</v>
      </c>
      <c r="S123" s="1496">
        <f t="shared" si="21"/>
        <v>4626.2918</v>
      </c>
      <c r="T123" s="1496">
        <f t="shared" si="18"/>
        <v>4845</v>
      </c>
      <c r="U123" s="1497">
        <f t="shared" si="20"/>
        <v>0</v>
      </c>
      <c r="V123" s="1498" t="str">
        <f t="shared" si="25"/>
        <v>INV&lt;7</v>
      </c>
    </row>
    <row r="124" spans="1:22">
      <c r="A124" s="1488" t="s">
        <v>893</v>
      </c>
      <c r="B124" s="1488" t="s">
        <v>830</v>
      </c>
      <c r="C124" s="1489" t="s">
        <v>1064</v>
      </c>
      <c r="D124" s="1489" t="s">
        <v>1080</v>
      </c>
      <c r="E124" s="1488" t="s">
        <v>1085</v>
      </c>
      <c r="F124" s="1488" t="s">
        <v>1086</v>
      </c>
      <c r="G124" s="1508">
        <v>3264</v>
      </c>
      <c r="H124" s="1509"/>
      <c r="I124" s="1492">
        <f t="shared" si="15"/>
        <v>163.19999999999999</v>
      </c>
      <c r="J124" s="1493">
        <f t="shared" si="19"/>
        <v>1142.3999999999999</v>
      </c>
      <c r="K124" s="1492">
        <f t="shared" si="16"/>
        <v>2448</v>
      </c>
      <c r="L124" s="1494">
        <f t="shared" si="17"/>
        <v>3264</v>
      </c>
      <c r="M124" s="1505">
        <f>IFERROR(VLOOKUP($E$8:$E$196,'[1]INF GENERAL'!$B$2:$D$135,3,0),0)</f>
        <v>211</v>
      </c>
      <c r="N124" s="1496">
        <f>IFERROR(VLOOKUP($E$8:$E$196,'[1]INF GENERAL'!$F$2:$H$80,3,0),0)</f>
        <v>5015</v>
      </c>
      <c r="O124" s="1496">
        <f>IFERROR(SUMIFS('[1]INF GENERAL'!$L:$L,'[1]INF GENERAL'!$J:$J,Tabla16[[#This Row],[Código]]),0)</f>
        <v>0</v>
      </c>
      <c r="P124" s="1496">
        <f>IFERROR(VLOOKUP($E$8:$E$196,'[1]INF GENERAL'!$V$2:$X$119,3,0),0)</f>
        <v>156.16660000000002</v>
      </c>
      <c r="Q124" s="1496">
        <f>IFERROR(SUMIFS('[1]INF GENERAL'!$P:$P,'[1]INF GENERAL'!$N:$N,Tabla16[[#This Row],[Código]]),0)</f>
        <v>0</v>
      </c>
      <c r="R124" s="1496">
        <f>IFERROR(VLOOKUP($E$8:$E$196,'[1]INF GENERAL'!$R$2:$T$119,3,0),0)</f>
        <v>278.50029999999998</v>
      </c>
      <c r="S124" s="1496">
        <f t="shared" si="21"/>
        <v>3107.8334</v>
      </c>
      <c r="T124" s="1496">
        <f t="shared" si="18"/>
        <v>3264</v>
      </c>
      <c r="U124" s="1497">
        <f t="shared" si="20"/>
        <v>0</v>
      </c>
      <c r="V124" s="1498" t="str">
        <f t="shared" si="25"/>
        <v>INV&lt;7</v>
      </c>
    </row>
    <row r="125" spans="1:22">
      <c r="A125" s="1488" t="s">
        <v>893</v>
      </c>
      <c r="B125" s="1488" t="s">
        <v>830</v>
      </c>
      <c r="C125" s="1489" t="s">
        <v>1064</v>
      </c>
      <c r="D125" s="1489" t="s">
        <v>1080</v>
      </c>
      <c r="E125" s="1488" t="s">
        <v>1087</v>
      </c>
      <c r="F125" s="1488" t="s">
        <v>1088</v>
      </c>
      <c r="G125" s="1508">
        <v>767</v>
      </c>
      <c r="H125" s="1509"/>
      <c r="I125" s="1492">
        <f t="shared" si="15"/>
        <v>38.35</v>
      </c>
      <c r="J125" s="1493">
        <f t="shared" si="19"/>
        <v>268.45</v>
      </c>
      <c r="K125" s="1492">
        <f t="shared" si="16"/>
        <v>575.25</v>
      </c>
      <c r="L125" s="1494">
        <f t="shared" si="17"/>
        <v>767</v>
      </c>
      <c r="M125" s="1505">
        <f>IFERROR(VLOOKUP($E$8:$E$196,'[1]INF GENERAL'!$B$2:$D$135,3,0),0)</f>
        <v>161</v>
      </c>
      <c r="N125" s="1496">
        <f>IFERROR(VLOOKUP($E$8:$E$196,'[1]INF GENERAL'!$F$2:$H$80,3,0),0)</f>
        <v>0</v>
      </c>
      <c r="O125" s="1496">
        <f>IFERROR(SUMIFS('[1]INF GENERAL'!$L:$L,'[1]INF GENERAL'!$J:$J,Tabla16[[#This Row],[Código]]),0)</f>
        <v>0</v>
      </c>
      <c r="P125" s="1496">
        <f>IFERROR(VLOOKUP($E$8:$E$196,'[1]INF GENERAL'!$V$2:$X$119,3,0),0)</f>
        <v>0</v>
      </c>
      <c r="Q125" s="1496">
        <f>IFERROR(SUMIFS('[1]INF GENERAL'!$P:$P,'[1]INF GENERAL'!$N:$N,Tabla16[[#This Row],[Código]]),0)</f>
        <v>0</v>
      </c>
      <c r="R125" s="1496">
        <f>IFERROR(VLOOKUP($E$8:$E$196,'[1]INF GENERAL'!$R$2:$T$119,3,0),0)</f>
        <v>0</v>
      </c>
      <c r="S125" s="1496">
        <f t="shared" si="21"/>
        <v>767</v>
      </c>
      <c r="T125" s="1496">
        <f t="shared" si="18"/>
        <v>767</v>
      </c>
      <c r="U125" s="1497">
        <f t="shared" si="20"/>
        <v>0</v>
      </c>
      <c r="V125" s="1498" t="str">
        <f t="shared" si="25"/>
        <v>INV&lt;7</v>
      </c>
    </row>
    <row r="126" spans="1:22" hidden="1">
      <c r="A126" s="1488" t="s">
        <v>829</v>
      </c>
      <c r="B126" s="1488" t="s">
        <v>973</v>
      </c>
      <c r="C126" s="1489" t="s">
        <v>1064</v>
      </c>
      <c r="D126" s="1489" t="s">
        <v>1089</v>
      </c>
      <c r="E126" s="1488" t="s">
        <v>1090</v>
      </c>
      <c r="F126" s="1488" t="s">
        <v>1091</v>
      </c>
      <c r="G126" s="1503"/>
      <c r="H126" s="1491"/>
      <c r="I126" s="1492">
        <f t="shared" si="15"/>
        <v>0</v>
      </c>
      <c r="J126" s="1493">
        <f t="shared" si="19"/>
        <v>0</v>
      </c>
      <c r="K126" s="1492">
        <f t="shared" si="16"/>
        <v>0</v>
      </c>
      <c r="L126" s="1494">
        <f t="shared" si="17"/>
        <v>0</v>
      </c>
      <c r="M126" s="1495">
        <f>IFERROR(VLOOKUP($E$8:$E$196,'[1]INF GENERAL'!$B$2:$D$135,3,0),0)</f>
        <v>0</v>
      </c>
      <c r="N126" s="1496">
        <f>IFERROR(VLOOKUP($E$8:$E$196,'[1]INF GENERAL'!$F$2:$H$80,3,0),0)</f>
        <v>0</v>
      </c>
      <c r="O126" s="1496">
        <f>IFERROR(SUMIFS('[1]INF GENERAL'!$L:$L,'[1]INF GENERAL'!$J:$J,Tabla16[[#This Row],[Código]]),0)</f>
        <v>0</v>
      </c>
      <c r="P126" s="1500">
        <f>IFERROR(VLOOKUP($E$8:$E$196,'[1]INF GENERAL'!$V$2:$X$119,3,0),0)</f>
        <v>0</v>
      </c>
      <c r="Q126" s="1496">
        <f>IFERROR(SUMIFS('[1]INF GENERAL'!$P:$P,'[1]INF GENERAL'!$N:$N,Tabla16[[#This Row],[Código]]),0)</f>
        <v>0</v>
      </c>
      <c r="R126" s="1496">
        <f>IFERROR(VLOOKUP($E$8:$E$196,'[1]INF GENERAL'!$R$2:$T$119,3,0),0)</f>
        <v>0</v>
      </c>
      <c r="S126" s="1496">
        <f t="shared" ref="S126:S131" si="26">IF(G126=0,0,(G126-O126))</f>
        <v>0</v>
      </c>
      <c r="T126" s="1496">
        <f t="shared" si="18"/>
        <v>0</v>
      </c>
      <c r="U126" s="1497">
        <f t="shared" si="20"/>
        <v>0</v>
      </c>
      <c r="V126" s="1498" t="str">
        <f t="shared" si="24"/>
        <v>NO CRITICO</v>
      </c>
    </row>
    <row r="127" spans="1:22" hidden="1">
      <c r="A127" s="1488" t="s">
        <v>829</v>
      </c>
      <c r="B127" s="1488" t="s">
        <v>973</v>
      </c>
      <c r="C127" s="1489" t="s">
        <v>1064</v>
      </c>
      <c r="D127" s="1489" t="s">
        <v>1089</v>
      </c>
      <c r="E127" s="1488" t="s">
        <v>1092</v>
      </c>
      <c r="F127" s="1488" t="s">
        <v>1093</v>
      </c>
      <c r="G127" s="1503"/>
      <c r="H127" s="1491"/>
      <c r="I127" s="1492">
        <f t="shared" si="15"/>
        <v>0</v>
      </c>
      <c r="J127" s="1493">
        <f t="shared" si="19"/>
        <v>0</v>
      </c>
      <c r="K127" s="1492">
        <f t="shared" si="16"/>
        <v>0</v>
      </c>
      <c r="L127" s="1494">
        <f t="shared" si="17"/>
        <v>0</v>
      </c>
      <c r="M127" s="1495">
        <f>IFERROR(VLOOKUP($E$8:$E$196,'[1]INF GENERAL'!$B$2:$D$135,3,0),0)</f>
        <v>0</v>
      </c>
      <c r="N127" s="1496">
        <f>IFERROR(VLOOKUP($E$8:$E$196,'[1]INF GENERAL'!$F$2:$H$80,3,0),0)</f>
        <v>0</v>
      </c>
      <c r="O127" s="1496">
        <f>IFERROR(SUMIFS('[1]INF GENERAL'!$L:$L,'[1]INF GENERAL'!$J:$J,Tabla16[[#This Row],[Código]]),0)</f>
        <v>0</v>
      </c>
      <c r="P127" s="1500">
        <f>IFERROR(VLOOKUP($E$8:$E$196,'[1]INF GENERAL'!$V$2:$X$119,3,0),0)</f>
        <v>0</v>
      </c>
      <c r="Q127" s="1496">
        <f>IFERROR(SUMIFS('[1]INF GENERAL'!$P:$P,'[1]INF GENERAL'!$N:$N,Tabla16[[#This Row],[Código]]),0)</f>
        <v>0</v>
      </c>
      <c r="R127" s="1496">
        <f>IFERROR(VLOOKUP($E$8:$E$196,'[1]INF GENERAL'!$R$2:$T$119,3,0),0)</f>
        <v>0</v>
      </c>
      <c r="S127" s="1496">
        <f t="shared" si="26"/>
        <v>0</v>
      </c>
      <c r="T127" s="1496">
        <f t="shared" si="18"/>
        <v>0</v>
      </c>
      <c r="U127" s="1497">
        <f t="shared" si="20"/>
        <v>0</v>
      </c>
      <c r="V127" s="1498" t="str">
        <f t="shared" si="24"/>
        <v>NO CRITICO</v>
      </c>
    </row>
    <row r="128" spans="1:22" hidden="1">
      <c r="A128" s="1488" t="s">
        <v>829</v>
      </c>
      <c r="B128" s="1488" t="s">
        <v>973</v>
      </c>
      <c r="C128" s="1489" t="s">
        <v>1064</v>
      </c>
      <c r="D128" s="1489" t="s">
        <v>1089</v>
      </c>
      <c r="E128" s="1488" t="s">
        <v>1094</v>
      </c>
      <c r="F128" s="1488" t="s">
        <v>1095</v>
      </c>
      <c r="G128" s="1503"/>
      <c r="H128" s="1491"/>
      <c r="I128" s="1492">
        <f t="shared" si="15"/>
        <v>0</v>
      </c>
      <c r="J128" s="1493">
        <f t="shared" si="19"/>
        <v>0</v>
      </c>
      <c r="K128" s="1492">
        <f t="shared" si="16"/>
        <v>0</v>
      </c>
      <c r="L128" s="1494">
        <f t="shared" si="17"/>
        <v>0</v>
      </c>
      <c r="M128" s="1495">
        <f>IFERROR(VLOOKUP($E$8:$E$196,'[1]INF GENERAL'!$B$2:$D$135,3,0),0)</f>
        <v>0</v>
      </c>
      <c r="N128" s="1496">
        <f>IFERROR(VLOOKUP($E$8:$E$196,'[1]INF GENERAL'!$F$2:$H$80,3,0),0)</f>
        <v>0</v>
      </c>
      <c r="O128" s="1496">
        <f>IFERROR(SUMIFS('[1]INF GENERAL'!$L:$L,'[1]INF GENERAL'!$J:$J,Tabla16[[#This Row],[Código]]),0)</f>
        <v>0</v>
      </c>
      <c r="P128" s="1500">
        <f>IFERROR(VLOOKUP($E$8:$E$196,'[1]INF GENERAL'!$V$2:$X$119,3,0),0)</f>
        <v>0</v>
      </c>
      <c r="Q128" s="1496">
        <f>IFERROR(SUMIFS('[1]INF GENERAL'!$P:$P,'[1]INF GENERAL'!$N:$N,Tabla16[[#This Row],[Código]]),0)</f>
        <v>0</v>
      </c>
      <c r="R128" s="1496">
        <f>IFERROR(VLOOKUP($E$8:$E$196,'[1]INF GENERAL'!$R$2:$T$119,3,0),0)</f>
        <v>0</v>
      </c>
      <c r="S128" s="1496">
        <f t="shared" si="26"/>
        <v>0</v>
      </c>
      <c r="T128" s="1496">
        <f t="shared" si="18"/>
        <v>0</v>
      </c>
      <c r="U128" s="1497">
        <f t="shared" si="20"/>
        <v>0</v>
      </c>
      <c r="V128" s="1498" t="str">
        <f t="shared" si="24"/>
        <v>NO CRITICO</v>
      </c>
    </row>
    <row r="129" spans="1:26" hidden="1">
      <c r="A129" s="1488" t="s">
        <v>829</v>
      </c>
      <c r="B129" s="1488" t="s">
        <v>973</v>
      </c>
      <c r="C129" s="1489" t="s">
        <v>1064</v>
      </c>
      <c r="D129" s="1489" t="s">
        <v>1096</v>
      </c>
      <c r="E129" s="1488" t="s">
        <v>1097</v>
      </c>
      <c r="F129" s="1488" t="s">
        <v>1098</v>
      </c>
      <c r="G129" s="1503"/>
      <c r="H129" s="1491"/>
      <c r="I129" s="1492">
        <f t="shared" si="15"/>
        <v>0</v>
      </c>
      <c r="J129" s="1493">
        <f t="shared" si="19"/>
        <v>0</v>
      </c>
      <c r="K129" s="1492">
        <f t="shared" si="16"/>
        <v>0</v>
      </c>
      <c r="L129" s="1494">
        <f t="shared" si="17"/>
        <v>0</v>
      </c>
      <c r="M129" s="1495">
        <f>IFERROR(VLOOKUP($E$8:$E$196,'[1]INF GENERAL'!$B$2:$D$135,3,0),0)</f>
        <v>0</v>
      </c>
      <c r="N129" s="1496">
        <f>IFERROR(VLOOKUP($E$8:$E$196,'[1]INF GENERAL'!$F$2:$H$80,3,0),0)</f>
        <v>0</v>
      </c>
      <c r="O129" s="1496">
        <f>IFERROR(SUMIFS('[1]INF GENERAL'!$L:$L,'[1]INF GENERAL'!$J:$J,Tabla16[[#This Row],[Código]]),0)</f>
        <v>0</v>
      </c>
      <c r="P129" s="1500">
        <f>IFERROR(VLOOKUP($E$8:$E$196,'[1]INF GENERAL'!$V$2:$X$119,3,0),0)</f>
        <v>0</v>
      </c>
      <c r="Q129" s="1496">
        <f>IFERROR(SUMIFS('[1]INF GENERAL'!$P:$P,'[1]INF GENERAL'!$N:$N,Tabla16[[#This Row],[Código]]),0)</f>
        <v>0</v>
      </c>
      <c r="R129" s="1496">
        <f>IFERROR(VLOOKUP($E$8:$E$196,'[1]INF GENERAL'!$R$2:$T$119,3,0),0)</f>
        <v>7.63</v>
      </c>
      <c r="S129" s="1496">
        <f t="shared" si="26"/>
        <v>0</v>
      </c>
      <c r="T129" s="1496">
        <f t="shared" si="18"/>
        <v>0</v>
      </c>
      <c r="U129" s="1497">
        <v>0</v>
      </c>
      <c r="V129" s="1498" t="str">
        <f t="shared" si="24"/>
        <v>NO CRITICO</v>
      </c>
    </row>
    <row r="130" spans="1:26" hidden="1">
      <c r="A130" s="1488" t="s">
        <v>829</v>
      </c>
      <c r="B130" s="1488" t="s">
        <v>973</v>
      </c>
      <c r="C130" s="1489" t="s">
        <v>1064</v>
      </c>
      <c r="D130" s="1489" t="s">
        <v>1096</v>
      </c>
      <c r="E130" s="1488" t="s">
        <v>1099</v>
      </c>
      <c r="F130" s="1488" t="s">
        <v>1100</v>
      </c>
      <c r="G130" s="1512"/>
      <c r="H130" s="1492"/>
      <c r="I130" s="1492">
        <f t="shared" si="15"/>
        <v>0</v>
      </c>
      <c r="J130" s="1493">
        <f t="shared" si="19"/>
        <v>0</v>
      </c>
      <c r="K130" s="1492">
        <f t="shared" si="16"/>
        <v>0</v>
      </c>
      <c r="L130" s="1494">
        <f t="shared" si="17"/>
        <v>0</v>
      </c>
      <c r="M130" s="1495">
        <f>IFERROR(VLOOKUP($E$8:$E$196,'[1]INF GENERAL'!$B$2:$D$135,3,0),0)</f>
        <v>0</v>
      </c>
      <c r="N130" s="1496">
        <f>IFERROR(VLOOKUP($E$8:$E$196,'[1]INF GENERAL'!$F$2:$H$80,3,0),0)</f>
        <v>0</v>
      </c>
      <c r="O130" s="1496">
        <f>IFERROR(SUMIFS('[1]INF GENERAL'!$L:$L,'[1]INF GENERAL'!$J:$J,Tabla16[[#This Row],[Código]]),0)</f>
        <v>0</v>
      </c>
      <c r="P130" s="1500">
        <f>IFERROR(VLOOKUP($E$8:$E$196,'[1]INF GENERAL'!$V$2:$X$119,3,0),0)</f>
        <v>0</v>
      </c>
      <c r="Q130" s="1496">
        <f>IFERROR(SUMIFS('[1]INF GENERAL'!$P:$P,'[1]INF GENERAL'!$N:$N,Tabla16[[#This Row],[Código]]),0)</f>
        <v>0</v>
      </c>
      <c r="R130" s="1496">
        <f>IFERROR(VLOOKUP($E$8:$E$196,'[1]INF GENERAL'!$R$2:$T$119,3,0),0)</f>
        <v>3.1284000000000001</v>
      </c>
      <c r="S130" s="1496">
        <f t="shared" si="26"/>
        <v>0</v>
      </c>
      <c r="T130" s="1496">
        <f t="shared" si="18"/>
        <v>0</v>
      </c>
      <c r="U130" s="1497">
        <f t="shared" ref="U130:U193" si="27">IF(G130=0,0,(Q130/I130))</f>
        <v>0</v>
      </c>
      <c r="V130" s="1498" t="str">
        <f t="shared" si="24"/>
        <v>NO CRITICO</v>
      </c>
    </row>
    <row r="131" spans="1:26" hidden="1">
      <c r="A131" s="1488" t="s">
        <v>829</v>
      </c>
      <c r="B131" s="1488" t="s">
        <v>973</v>
      </c>
      <c r="C131" s="1489" t="s">
        <v>1064</v>
      </c>
      <c r="D131" s="1489" t="s">
        <v>1096</v>
      </c>
      <c r="E131" s="1488" t="s">
        <v>1101</v>
      </c>
      <c r="F131" s="1488" t="s">
        <v>1102</v>
      </c>
      <c r="G131" s="1512"/>
      <c r="H131" s="1492"/>
      <c r="I131" s="1492">
        <f t="shared" si="15"/>
        <v>0</v>
      </c>
      <c r="J131" s="1493">
        <f t="shared" si="19"/>
        <v>0</v>
      </c>
      <c r="K131" s="1492">
        <f t="shared" si="16"/>
        <v>0</v>
      </c>
      <c r="L131" s="1494">
        <f t="shared" si="17"/>
        <v>0</v>
      </c>
      <c r="M131" s="1495">
        <f>IFERROR(VLOOKUP($E$8:$E$196,'[1]INF GENERAL'!$B$2:$D$135,3,0),0)</f>
        <v>0</v>
      </c>
      <c r="N131" s="1496">
        <f>IFERROR(VLOOKUP($E$8:$E$196,'[1]INF GENERAL'!$F$2:$H$80,3,0),0)</f>
        <v>0</v>
      </c>
      <c r="O131" s="1496">
        <f>IFERROR(SUMIFS('[1]INF GENERAL'!$L:$L,'[1]INF GENERAL'!$J:$J,Tabla16[[#This Row],[Código]]),0)</f>
        <v>0</v>
      </c>
      <c r="P131" s="1500">
        <f>IFERROR(VLOOKUP($E$8:$E$196,'[1]INF GENERAL'!$V$2:$X$119,3,0),0)</f>
        <v>0</v>
      </c>
      <c r="Q131" s="1496">
        <f>IFERROR(SUMIFS('[1]INF GENERAL'!$P:$P,'[1]INF GENERAL'!$N:$N,Tabla16[[#This Row],[Código]]),0)</f>
        <v>0</v>
      </c>
      <c r="R131" s="1496">
        <f>IFERROR(VLOOKUP($E$8:$E$196,'[1]INF GENERAL'!$R$2:$T$119,3,0),0)</f>
        <v>31.12</v>
      </c>
      <c r="S131" s="1496">
        <f t="shared" si="26"/>
        <v>0</v>
      </c>
      <c r="T131" s="1496">
        <f t="shared" si="18"/>
        <v>0</v>
      </c>
      <c r="U131" s="1497">
        <f t="shared" si="27"/>
        <v>0</v>
      </c>
      <c r="V131" s="1498" t="str">
        <f t="shared" si="24"/>
        <v>NO CRITICO</v>
      </c>
    </row>
    <row r="132" spans="1:26" hidden="1">
      <c r="A132" s="1488" t="s">
        <v>893</v>
      </c>
      <c r="B132" s="1488" t="s">
        <v>973</v>
      </c>
      <c r="C132" s="1489" t="s">
        <v>1103</v>
      </c>
      <c r="D132" s="1489" t="s">
        <v>1104</v>
      </c>
      <c r="E132" s="1488" t="s">
        <v>1105</v>
      </c>
      <c r="F132" s="1488" t="s">
        <v>1106</v>
      </c>
      <c r="G132" s="1512">
        <v>8323</v>
      </c>
      <c r="H132" s="1492"/>
      <c r="I132" s="1492">
        <f t="shared" si="15"/>
        <v>416.15</v>
      </c>
      <c r="J132" s="1493">
        <f t="shared" si="19"/>
        <v>2913.0499999999997</v>
      </c>
      <c r="K132" s="1492">
        <f t="shared" si="16"/>
        <v>6242.25</v>
      </c>
      <c r="L132" s="1494">
        <f t="shared" si="17"/>
        <v>8323</v>
      </c>
      <c r="M132" s="1505">
        <f>IFERROR(VLOOKUP($E$8:$E$196,'[1]INF GENERAL'!$B$2:$D$135,3,0),0)</f>
        <v>2214</v>
      </c>
      <c r="N132" s="1496">
        <f>IFERROR(VLOOKUP($E$8:$E$196,'[1]INF GENERAL'!$F$2:$H$80,3,0),0)</f>
        <v>7682</v>
      </c>
      <c r="O132" s="1496">
        <f>IFERROR(SUMIFS('[1]INF GENERAL'!$L:$L,'[1]INF GENERAL'!$J:$J,Tabla16[[#This Row],[Código]]),0)</f>
        <v>0</v>
      </c>
      <c r="P132" s="1496">
        <f>IFERROR(VLOOKUP($E$8:$E$196,'[1]INF GENERAL'!$V$2:$X$119,3,0),0)</f>
        <v>87.833399999999997</v>
      </c>
      <c r="Q132" s="1496">
        <f>IFERROR(SUMIFS('[1]INF GENERAL'!$P:$P,'[1]INF GENERAL'!$N:$N,Tabla16[[#This Row],[Código]]),0)</f>
        <v>0</v>
      </c>
      <c r="R132" s="1496">
        <f>IFERROR(VLOOKUP($E$8:$E$196,'[1]INF GENERAL'!$R$2:$T$119,3,0),0)</f>
        <v>143.08369999999999</v>
      </c>
      <c r="S132" s="1496">
        <f>IF(G132=0,0,(G132-(O132+P132)))</f>
        <v>8235.1666000000005</v>
      </c>
      <c r="T132" s="1525">
        <f t="shared" si="18"/>
        <v>8323</v>
      </c>
      <c r="U132" s="1497">
        <f t="shared" si="27"/>
        <v>0</v>
      </c>
      <c r="V132" s="1498" t="str">
        <f>IF((Q132)&lt;J132,"INV&lt;7",IF((Q132)&lt;L132,"7≤INV≤20","INV&gt;20"))</f>
        <v>INV&lt;7</v>
      </c>
      <c r="X132" s="1510"/>
      <c r="Y132" s="1510"/>
    </row>
    <row r="133" spans="1:26" hidden="1">
      <c r="A133" s="1488" t="s">
        <v>893</v>
      </c>
      <c r="B133" s="1488" t="s">
        <v>973</v>
      </c>
      <c r="C133" s="1489" t="s">
        <v>1103</v>
      </c>
      <c r="D133" s="1489" t="s">
        <v>1107</v>
      </c>
      <c r="E133" s="1488" t="s">
        <v>1108</v>
      </c>
      <c r="F133" s="1488" t="s">
        <v>1109</v>
      </c>
      <c r="G133" s="1512">
        <v>872</v>
      </c>
      <c r="H133" s="1492"/>
      <c r="I133" s="1492">
        <f t="shared" si="15"/>
        <v>43.6</v>
      </c>
      <c r="J133" s="1493">
        <f t="shared" si="19"/>
        <v>305.2</v>
      </c>
      <c r="K133" s="1492">
        <f t="shared" si="16"/>
        <v>654</v>
      </c>
      <c r="L133" s="1494">
        <f t="shared" si="17"/>
        <v>872</v>
      </c>
      <c r="M133" s="1505">
        <f>IFERROR(VLOOKUP($E$8:$E$196,'[1]INF GENERAL'!$B$2:$D$135,3,0),0)</f>
        <v>213</v>
      </c>
      <c r="N133" s="1496">
        <f>IFERROR(VLOOKUP($E$8:$E$196,'[1]INF GENERAL'!$F$2:$H$80,3,0),0)</f>
        <v>396</v>
      </c>
      <c r="O133" s="1496">
        <f>IFERROR(SUMIFS('[1]INF GENERAL'!$L:$L,'[1]INF GENERAL'!$J:$J,Tabla16[[#This Row],[Código]]),0)</f>
        <v>0</v>
      </c>
      <c r="P133" s="1496">
        <f>IFERROR(VLOOKUP($E$8:$E$196,'[1]INF GENERAL'!$V$2:$X$119,3,0),0)</f>
        <v>0.61799999999999999</v>
      </c>
      <c r="Q133" s="1496">
        <f>IFERROR(SUMIFS('[1]INF GENERAL'!$P:$P,'[1]INF GENERAL'!$N:$N,Tabla16[[#This Row],[Código]]),0)</f>
        <v>0</v>
      </c>
      <c r="R133" s="1496">
        <f>IFERROR(VLOOKUP($E$8:$E$196,'[1]INF GENERAL'!$R$2:$T$119,3,0),0)</f>
        <v>30.761500000000002</v>
      </c>
      <c r="S133" s="1496">
        <f>IF(G133=0,0,(G133-(O133+P133)))</f>
        <v>871.38199999999995</v>
      </c>
      <c r="T133" s="1494">
        <f t="shared" si="18"/>
        <v>872</v>
      </c>
      <c r="U133" s="1497">
        <f t="shared" si="27"/>
        <v>0</v>
      </c>
      <c r="V133" s="1498" t="str">
        <f>IF((Q133)&lt;J133,"INV&lt;7",IF((Q133)&lt;L133,"7≤INV≤20","INV&gt;20"))</f>
        <v>INV&lt;7</v>
      </c>
    </row>
    <row r="134" spans="1:26" hidden="1">
      <c r="A134" s="1488" t="s">
        <v>893</v>
      </c>
      <c r="B134" s="1488" t="s">
        <v>973</v>
      </c>
      <c r="C134" s="1489" t="s">
        <v>1103</v>
      </c>
      <c r="D134" s="1489" t="s">
        <v>1110</v>
      </c>
      <c r="E134" s="1488" t="s">
        <v>1111</v>
      </c>
      <c r="F134" s="1488" t="s">
        <v>1112</v>
      </c>
      <c r="G134" s="1512">
        <v>8144</v>
      </c>
      <c r="H134" s="1492"/>
      <c r="I134" s="1492">
        <f t="shared" si="15"/>
        <v>407.2</v>
      </c>
      <c r="J134" s="1493">
        <f t="shared" si="19"/>
        <v>2850.4</v>
      </c>
      <c r="K134" s="1492">
        <f t="shared" si="16"/>
        <v>6108</v>
      </c>
      <c r="L134" s="1494">
        <f t="shared" si="17"/>
        <v>8144</v>
      </c>
      <c r="M134" s="1505">
        <f>IFERROR(VLOOKUP($E$8:$E$196,'[1]INF GENERAL'!$B$2:$D$135,3,0),0)</f>
        <v>2705</v>
      </c>
      <c r="N134" s="1496">
        <f>IFERROR(VLOOKUP($E$8:$E$196,'[1]INF GENERAL'!$F$2:$H$80,3,0),0)</f>
        <v>8465</v>
      </c>
      <c r="O134" s="1496">
        <f>IFERROR(SUMIFS('[1]INF GENERAL'!$L:$L,'[1]INF GENERAL'!$J:$J,Tabla16[[#This Row],[Código]]),0)</f>
        <v>0</v>
      </c>
      <c r="P134" s="1496">
        <f>IFERROR(VLOOKUP($E$8:$E$196,'[1]INF GENERAL'!$V$2:$X$119,3,0),0)</f>
        <v>187.29170000000002</v>
      </c>
      <c r="Q134" s="1496">
        <f>IFERROR(SUMIFS('[1]INF GENERAL'!$P:$P,'[1]INF GENERAL'!$N:$N,Tabla16[[#This Row],[Código]]),0)</f>
        <v>0</v>
      </c>
      <c r="R134" s="1496">
        <f>IFERROR(VLOOKUP($E$8:$E$196,'[1]INF GENERAL'!$R$2:$T$119,3,0),0)</f>
        <v>296.6626</v>
      </c>
      <c r="S134" s="1496">
        <f>IF(G134=0,0,(G134-(O134+P134)))</f>
        <v>7956.7083000000002</v>
      </c>
      <c r="T134" s="1525">
        <f t="shared" si="18"/>
        <v>8144</v>
      </c>
      <c r="U134" s="1497">
        <f t="shared" si="27"/>
        <v>0</v>
      </c>
      <c r="V134" s="1498" t="str">
        <f>IF((Q134)&lt;J134,"INV&lt;7",IF((Q134)&lt;L134,"7≤INV≤20","INV&gt;20"))</f>
        <v>INV&lt;7</v>
      </c>
      <c r="X134" s="1526"/>
      <c r="Y134" s="1526"/>
      <c r="Z134" s="1526"/>
    </row>
    <row r="135" spans="1:26" hidden="1">
      <c r="A135" s="1488" t="s">
        <v>893</v>
      </c>
      <c r="B135" s="1488" t="s">
        <v>973</v>
      </c>
      <c r="C135" s="1489" t="s">
        <v>1103</v>
      </c>
      <c r="D135" s="1489" t="s">
        <v>1113</v>
      </c>
      <c r="E135" s="1488" t="s">
        <v>1114</v>
      </c>
      <c r="F135" s="1488" t="s">
        <v>1115</v>
      </c>
      <c r="G135" s="1512"/>
      <c r="H135" s="1492"/>
      <c r="I135" s="1492">
        <f t="shared" si="15"/>
        <v>0</v>
      </c>
      <c r="J135" s="1493">
        <f t="shared" si="19"/>
        <v>0</v>
      </c>
      <c r="K135" s="1492">
        <f t="shared" si="16"/>
        <v>0</v>
      </c>
      <c r="L135" s="1494">
        <f t="shared" si="17"/>
        <v>0</v>
      </c>
      <c r="M135" s="1495">
        <f>IFERROR(VLOOKUP($E$8:$E$196,'[1]INF GENERAL'!$B$2:$D$135,3,0),0)</f>
        <v>0</v>
      </c>
      <c r="N135" s="1496">
        <f>IFERROR(VLOOKUP($E$8:$E$196,'[1]INF GENERAL'!$F$2:$H$80,3,0),0)</f>
        <v>0</v>
      </c>
      <c r="O135" s="1496">
        <f>IFERROR(SUMIFS('[1]INF GENERAL'!$L:$L,'[1]INF GENERAL'!$J:$J,Tabla16[[#This Row],[Código]]),0)</f>
        <v>0</v>
      </c>
      <c r="P135" s="1500">
        <f>IFERROR(VLOOKUP($E$8:$E$196,'[1]INF GENERAL'!$V$2:$X$119,3,0),0)</f>
        <v>0</v>
      </c>
      <c r="Q135" s="1496">
        <f>IFERROR(SUMIFS('[1]INF GENERAL'!$P:$P,'[1]INF GENERAL'!$N:$N,Tabla16[[#This Row],[Código]]),0)</f>
        <v>0</v>
      </c>
      <c r="R135" s="1496">
        <f>IFERROR(VLOOKUP($E$8:$E$196,'[1]INF GENERAL'!$R$2:$T$119,3,0),0)</f>
        <v>0</v>
      </c>
      <c r="S135" s="1496">
        <f t="shared" ref="S135:S148" si="28">IF(G135=0,0,(G135-O135))</f>
        <v>0</v>
      </c>
      <c r="T135" s="1496">
        <f t="shared" si="18"/>
        <v>0</v>
      </c>
      <c r="U135" s="1497">
        <f t="shared" si="27"/>
        <v>0</v>
      </c>
      <c r="V135" s="1498" t="str">
        <f>IF((Q135)&lt;J135,"INV&lt;7",IF((Q135)&lt;L135,"7≤INV≤20","INV&gt;20"))</f>
        <v>INV&gt;20</v>
      </c>
    </row>
    <row r="136" spans="1:26" hidden="1">
      <c r="A136" s="1488" t="s">
        <v>829</v>
      </c>
      <c r="B136" s="1488" t="s">
        <v>973</v>
      </c>
      <c r="C136" s="1489" t="s">
        <v>1103</v>
      </c>
      <c r="D136" s="1489" t="s">
        <v>1116</v>
      </c>
      <c r="E136" s="1488" t="s">
        <v>1117</v>
      </c>
      <c r="F136" s="1488" t="s">
        <v>1118</v>
      </c>
      <c r="G136" s="1512"/>
      <c r="H136" s="1492"/>
      <c r="I136" s="1492">
        <f t="shared" ref="I136:I143" si="29">+G136/$L$6</f>
        <v>0</v>
      </c>
      <c r="J136" s="1493">
        <f t="shared" si="19"/>
        <v>0</v>
      </c>
      <c r="K136" s="1492">
        <f t="shared" ref="K136:K196" si="30">+I136*$K$6</f>
        <v>0</v>
      </c>
      <c r="L136" s="1494">
        <f t="shared" ref="L136:L196" si="31">+I136*$L$6</f>
        <v>0</v>
      </c>
      <c r="M136" s="1495">
        <f>IFERROR(VLOOKUP($E$8:$E$196,'[1]INF GENERAL'!$B$2:$D$135,3,0),0)</f>
        <v>0</v>
      </c>
      <c r="N136" s="1496">
        <f>IFERROR(VLOOKUP($E$8:$E$196,'[1]INF GENERAL'!$F$2:$H$80,3,0),0)</f>
        <v>0</v>
      </c>
      <c r="O136" s="1496">
        <f>IFERROR(SUMIFS('[1]INF GENERAL'!$L:$L,'[1]INF GENERAL'!$J:$J,Tabla16[[#This Row],[Código]]),0)</f>
        <v>0</v>
      </c>
      <c r="P136" s="1500">
        <f>IFERROR(VLOOKUP($E$8:$E$196,'[1]INF GENERAL'!$V$2:$X$119,3,0),0)</f>
        <v>0</v>
      </c>
      <c r="Q136" s="1496">
        <f>IFERROR(SUMIFS('[1]INF GENERAL'!$P:$P,'[1]INF GENERAL'!$N:$N,Tabla16[[#This Row],[Código]]),0)</f>
        <v>0</v>
      </c>
      <c r="R136" s="1496">
        <f>IFERROR(VLOOKUP($E$8:$E$196,'[1]INF GENERAL'!$R$2:$T$119,3,0),0)</f>
        <v>0</v>
      </c>
      <c r="S136" s="1496">
        <f t="shared" si="28"/>
        <v>0</v>
      </c>
      <c r="T136" s="1496">
        <f t="shared" ref="T136:T196" si="32">IF(G136=0,0,(G136-(Q136+O136)))</f>
        <v>0</v>
      </c>
      <c r="U136" s="1497">
        <f t="shared" si="27"/>
        <v>0</v>
      </c>
      <c r="V136" s="1498" t="str">
        <f t="shared" si="24"/>
        <v>NO CRITICO</v>
      </c>
    </row>
    <row r="137" spans="1:26" hidden="1">
      <c r="A137" s="1488" t="s">
        <v>829</v>
      </c>
      <c r="B137" s="1488" t="s">
        <v>973</v>
      </c>
      <c r="C137" s="1489" t="s">
        <v>1103</v>
      </c>
      <c r="D137" s="1489" t="s">
        <v>1116</v>
      </c>
      <c r="E137" s="1488" t="s">
        <v>1119</v>
      </c>
      <c r="F137" s="1488" t="s">
        <v>1120</v>
      </c>
      <c r="G137" s="1512">
        <v>0</v>
      </c>
      <c r="H137" s="1492"/>
      <c r="I137" s="1492">
        <f t="shared" si="29"/>
        <v>0</v>
      </c>
      <c r="J137" s="1493">
        <f t="shared" si="19"/>
        <v>0</v>
      </c>
      <c r="K137" s="1492">
        <f t="shared" si="30"/>
        <v>0</v>
      </c>
      <c r="L137" s="1494">
        <f t="shared" si="31"/>
        <v>0</v>
      </c>
      <c r="M137" s="1495">
        <f>IFERROR(VLOOKUP($E$8:$E$196,'[1]INF GENERAL'!$B$2:$D$135,3,0),0)</f>
        <v>0</v>
      </c>
      <c r="N137" s="1496">
        <f>IFERROR(VLOOKUP($E$8:$E$196,'[1]INF GENERAL'!$F$2:$H$80,3,0),0)</f>
        <v>0</v>
      </c>
      <c r="O137" s="1496">
        <f>IFERROR(SUMIFS('[1]INF GENERAL'!$L:$L,'[1]INF GENERAL'!$J:$J,Tabla16[[#This Row],[Código]]),0)</f>
        <v>0</v>
      </c>
      <c r="P137" s="1500">
        <f>IFERROR(VLOOKUP($E$8:$E$196,'[1]INF GENERAL'!$V$2:$X$119,3,0),0)</f>
        <v>0</v>
      </c>
      <c r="Q137" s="1496">
        <f>IFERROR(SUMIFS('[1]INF GENERAL'!$P:$P,'[1]INF GENERAL'!$N:$N,Tabla16[[#This Row],[Código]]),0)</f>
        <v>0</v>
      </c>
      <c r="R137" s="1496">
        <f>IFERROR(VLOOKUP($E$8:$E$196,'[1]INF GENERAL'!$R$2:$T$119,3,0),0)</f>
        <v>0</v>
      </c>
      <c r="S137" s="1496">
        <f t="shared" si="28"/>
        <v>0</v>
      </c>
      <c r="T137" s="1496">
        <f t="shared" si="32"/>
        <v>0</v>
      </c>
      <c r="U137" s="1497">
        <f t="shared" si="27"/>
        <v>0</v>
      </c>
      <c r="V137" s="1498" t="str">
        <f>IF((Q137)&lt;J137,"INV&lt;7",IF((Q137)&lt;L137,"7≤INV≤20","INV&gt;20"))</f>
        <v>INV&gt;20</v>
      </c>
    </row>
    <row r="138" spans="1:26" hidden="1">
      <c r="A138" s="1488" t="s">
        <v>829</v>
      </c>
      <c r="B138" s="1488" t="s">
        <v>973</v>
      </c>
      <c r="C138" s="1489" t="s">
        <v>1103</v>
      </c>
      <c r="D138" s="1489" t="s">
        <v>1116</v>
      </c>
      <c r="E138" s="1488" t="s">
        <v>1121</v>
      </c>
      <c r="F138" s="1488" t="s">
        <v>1122</v>
      </c>
      <c r="G138" s="1512"/>
      <c r="H138" s="1492"/>
      <c r="I138" s="1492">
        <f t="shared" si="29"/>
        <v>0</v>
      </c>
      <c r="J138" s="1493">
        <f t="shared" si="19"/>
        <v>0</v>
      </c>
      <c r="K138" s="1492">
        <f t="shared" si="30"/>
        <v>0</v>
      </c>
      <c r="L138" s="1494">
        <f t="shared" si="31"/>
        <v>0</v>
      </c>
      <c r="M138" s="1495">
        <f>IFERROR(VLOOKUP($E$8:$E$196,'[1]INF GENERAL'!$B$2:$D$135,3,0),0)</f>
        <v>0</v>
      </c>
      <c r="N138" s="1496">
        <f>IFERROR(VLOOKUP($E$8:$E$196,'[1]INF GENERAL'!$F$2:$H$80,3,0),0)</f>
        <v>0</v>
      </c>
      <c r="O138" s="1496">
        <f>IFERROR(SUMIFS('[1]INF GENERAL'!$L:$L,'[1]INF GENERAL'!$J:$J,Tabla16[[#This Row],[Código]]),0)</f>
        <v>0</v>
      </c>
      <c r="P138" s="1500">
        <f>IFERROR(VLOOKUP($E$8:$E$196,'[1]INF GENERAL'!$V$2:$X$119,3,0),0)</f>
        <v>0</v>
      </c>
      <c r="Q138" s="1496">
        <f>IFERROR(SUMIFS('[1]INF GENERAL'!$P:$P,'[1]INF GENERAL'!$N:$N,Tabla16[[#This Row],[Código]]),0)</f>
        <v>0</v>
      </c>
      <c r="R138" s="1496">
        <f>IFERROR(VLOOKUP($E$8:$E$196,'[1]INF GENERAL'!$R$2:$T$119,3,0),0)</f>
        <v>0</v>
      </c>
      <c r="S138" s="1496">
        <f t="shared" si="28"/>
        <v>0</v>
      </c>
      <c r="T138" s="1496">
        <f t="shared" si="32"/>
        <v>0</v>
      </c>
      <c r="U138" s="1497">
        <f t="shared" si="27"/>
        <v>0</v>
      </c>
      <c r="V138" s="1498" t="str">
        <f t="shared" si="24"/>
        <v>NO CRITICO</v>
      </c>
    </row>
    <row r="139" spans="1:26" hidden="1">
      <c r="A139" s="1488" t="s">
        <v>829</v>
      </c>
      <c r="B139" s="1488" t="s">
        <v>973</v>
      </c>
      <c r="C139" s="1489" t="s">
        <v>1103</v>
      </c>
      <c r="D139" s="1489" t="s">
        <v>1116</v>
      </c>
      <c r="E139" s="1488" t="s">
        <v>1123</v>
      </c>
      <c r="F139" s="1488" t="s">
        <v>1124</v>
      </c>
      <c r="G139" s="1512"/>
      <c r="H139" s="1492"/>
      <c r="I139" s="1492">
        <f t="shared" si="29"/>
        <v>0</v>
      </c>
      <c r="J139" s="1493">
        <f t="shared" si="19"/>
        <v>0</v>
      </c>
      <c r="K139" s="1492">
        <f t="shared" si="30"/>
        <v>0</v>
      </c>
      <c r="L139" s="1494">
        <f t="shared" si="31"/>
        <v>0</v>
      </c>
      <c r="M139" s="1505">
        <f>IFERROR(VLOOKUP($E$8:$E$196,'[1]INF GENERAL'!$B$2:$D$135,3,0),0)</f>
        <v>0</v>
      </c>
      <c r="N139" s="1496">
        <f>IFERROR(VLOOKUP($E$8:$E$196,'[1]INF GENERAL'!$F$2:$H$80,3,0),0)</f>
        <v>0</v>
      </c>
      <c r="O139" s="1496">
        <f>IFERROR(SUMIFS('[1]INF GENERAL'!$L:$L,'[1]INF GENERAL'!$J:$J,Tabla16[[#This Row],[Código]]),0)</f>
        <v>0</v>
      </c>
      <c r="P139" s="1500">
        <f>IFERROR(VLOOKUP($E$8:$E$196,'[1]INF GENERAL'!$V$2:$X$119,3,0),0)</f>
        <v>0</v>
      </c>
      <c r="Q139" s="1496">
        <f>IFERROR(SUMIFS('[1]INF GENERAL'!$P:$P,'[1]INF GENERAL'!$N:$N,Tabla16[[#This Row],[Código]]),0)</f>
        <v>0</v>
      </c>
      <c r="R139" s="1496">
        <f>IFERROR(VLOOKUP($E$8:$E$196,'[1]INF GENERAL'!$R$2:$T$119,3,0),0)</f>
        <v>0</v>
      </c>
      <c r="S139" s="1496">
        <f t="shared" si="28"/>
        <v>0</v>
      </c>
      <c r="T139" s="1496">
        <f t="shared" si="32"/>
        <v>0</v>
      </c>
      <c r="U139" s="1497">
        <f t="shared" si="27"/>
        <v>0</v>
      </c>
      <c r="V139" s="1498" t="str">
        <f t="shared" si="24"/>
        <v>NO CRITICO</v>
      </c>
    </row>
    <row r="140" spans="1:26" hidden="1">
      <c r="A140" s="1488" t="s">
        <v>829</v>
      </c>
      <c r="B140" s="1488" t="s">
        <v>973</v>
      </c>
      <c r="C140" s="1489" t="s">
        <v>1103</v>
      </c>
      <c r="D140" s="1489" t="s">
        <v>1125</v>
      </c>
      <c r="E140" s="1478" t="s">
        <v>1126</v>
      </c>
      <c r="F140" s="1478" t="s">
        <v>1127</v>
      </c>
      <c r="G140" s="1512"/>
      <c r="H140" s="1492"/>
      <c r="I140" s="1492">
        <f t="shared" si="29"/>
        <v>0</v>
      </c>
      <c r="J140" s="1493">
        <f t="shared" ref="J140:J145" si="33">+I140*$J$6+I140*$J$6*0.2</f>
        <v>0</v>
      </c>
      <c r="K140" s="1492">
        <f t="shared" si="30"/>
        <v>0</v>
      </c>
      <c r="L140" s="1494">
        <f t="shared" si="31"/>
        <v>0</v>
      </c>
      <c r="M140" s="1505">
        <f>IFERROR(VLOOKUP($E$8:$E$196,'[1]INF GENERAL'!$B$2:$D$135,3,0),0)</f>
        <v>1</v>
      </c>
      <c r="N140" s="1496">
        <f>IFERROR(VLOOKUP($E$8:$E$196,'[1]INF GENERAL'!$F$2:$H$80,3,0),0)</f>
        <v>0</v>
      </c>
      <c r="O140" s="1496">
        <f>IFERROR(SUMIFS('[1]INF GENERAL'!$L:$L,'[1]INF GENERAL'!$J:$J,Tabla16[[#This Row],[Código]]),0)</f>
        <v>0</v>
      </c>
      <c r="P140" s="1500">
        <f>IFERROR(VLOOKUP($E$8:$E$196,'[1]INF GENERAL'!$V$2:$X$119,3,0),0)</f>
        <v>0</v>
      </c>
      <c r="Q140" s="1496">
        <f>IFERROR(SUMIFS('[1]INF GENERAL'!$P:$P,'[1]INF GENERAL'!$N:$N,Tabla16[[#This Row],[Código]]),0)</f>
        <v>0</v>
      </c>
      <c r="R140" s="1496">
        <f>IFERROR(VLOOKUP($E$8:$E$196,'[1]INF GENERAL'!$R$2:$T$119,3,0),0)</f>
        <v>0</v>
      </c>
      <c r="S140" s="1496">
        <f t="shared" si="28"/>
        <v>0</v>
      </c>
      <c r="T140" s="1496">
        <f t="shared" si="32"/>
        <v>0</v>
      </c>
      <c r="U140" s="1497">
        <f t="shared" si="27"/>
        <v>0</v>
      </c>
      <c r="V140" s="1524" t="str">
        <f t="shared" si="24"/>
        <v>NO CRITICO</v>
      </c>
    </row>
    <row r="141" spans="1:26" hidden="1">
      <c r="A141" s="1488" t="s">
        <v>829</v>
      </c>
      <c r="B141" s="1488" t="s">
        <v>973</v>
      </c>
      <c r="C141" s="1489" t="s">
        <v>1103</v>
      </c>
      <c r="D141" s="1489" t="s">
        <v>1125</v>
      </c>
      <c r="E141" s="1478" t="s">
        <v>1128</v>
      </c>
      <c r="F141" s="1478" t="s">
        <v>1129</v>
      </c>
      <c r="G141" s="1512"/>
      <c r="H141" s="1492"/>
      <c r="I141" s="1492">
        <f t="shared" si="29"/>
        <v>0</v>
      </c>
      <c r="J141" s="1493">
        <f t="shared" si="33"/>
        <v>0</v>
      </c>
      <c r="K141" s="1492">
        <f t="shared" si="30"/>
        <v>0</v>
      </c>
      <c r="L141" s="1494">
        <f t="shared" si="31"/>
        <v>0</v>
      </c>
      <c r="M141" s="1505">
        <f>IFERROR(VLOOKUP($E$8:$E$196,'[1]INF GENERAL'!$B$2:$D$135,3,0),0)</f>
        <v>1</v>
      </c>
      <c r="N141" s="1496">
        <f>IFERROR(VLOOKUP($E$8:$E$196,'[1]INF GENERAL'!$F$2:$H$80,3,0),0)</f>
        <v>0</v>
      </c>
      <c r="O141" s="1496">
        <f>IFERROR(SUMIFS('[1]INF GENERAL'!$L:$L,'[1]INF GENERAL'!$J:$J,Tabla16[[#This Row],[Código]]),0)</f>
        <v>0</v>
      </c>
      <c r="P141" s="1500">
        <f>IFERROR(VLOOKUP($E$8:$E$196,'[1]INF GENERAL'!$V$2:$X$119,3,0),0)</f>
        <v>0</v>
      </c>
      <c r="Q141" s="1496">
        <f>IFERROR(SUMIFS('[1]INF GENERAL'!$P:$P,'[1]INF GENERAL'!$N:$N,Tabla16[[#This Row],[Código]]),0)</f>
        <v>0</v>
      </c>
      <c r="R141" s="1496">
        <f>IFERROR(VLOOKUP($E$8:$E$196,'[1]INF GENERAL'!$R$2:$T$119,3,0),0)</f>
        <v>0</v>
      </c>
      <c r="S141" s="1496">
        <f t="shared" si="28"/>
        <v>0</v>
      </c>
      <c r="T141" s="1496">
        <f t="shared" si="32"/>
        <v>0</v>
      </c>
      <c r="U141" s="1497">
        <f t="shared" si="27"/>
        <v>0</v>
      </c>
      <c r="V141" s="1524" t="str">
        <f t="shared" si="24"/>
        <v>NO CRITICO</v>
      </c>
    </row>
    <row r="142" spans="1:26" hidden="1">
      <c r="A142" s="1488" t="s">
        <v>829</v>
      </c>
      <c r="B142" s="1488" t="s">
        <v>973</v>
      </c>
      <c r="C142" s="1489" t="s">
        <v>1103</v>
      </c>
      <c r="D142" s="1489" t="s">
        <v>1125</v>
      </c>
      <c r="E142" s="1478" t="s">
        <v>1130</v>
      </c>
      <c r="F142" s="1478" t="s">
        <v>1131</v>
      </c>
      <c r="G142" s="1512"/>
      <c r="H142" s="1492"/>
      <c r="I142" s="1492">
        <f t="shared" si="29"/>
        <v>0</v>
      </c>
      <c r="J142" s="1493">
        <f t="shared" si="33"/>
        <v>0</v>
      </c>
      <c r="K142" s="1492">
        <f t="shared" si="30"/>
        <v>0</v>
      </c>
      <c r="L142" s="1494">
        <f t="shared" si="31"/>
        <v>0</v>
      </c>
      <c r="M142" s="1505">
        <f>IFERROR(VLOOKUP($E$8:$E$196,'[1]INF GENERAL'!$B$2:$D$135,3,0),0)</f>
        <v>2</v>
      </c>
      <c r="N142" s="1496">
        <f>IFERROR(VLOOKUP($E$8:$E$196,'[1]INF GENERAL'!$F$2:$H$80,3,0),0)</f>
        <v>0</v>
      </c>
      <c r="O142" s="1496">
        <f>IFERROR(SUMIFS('[1]INF GENERAL'!$L:$L,'[1]INF GENERAL'!$J:$J,Tabla16[[#This Row],[Código]]),0)</f>
        <v>0</v>
      </c>
      <c r="P142" s="1500">
        <f>IFERROR(VLOOKUP($E$8:$E$196,'[1]INF GENERAL'!$V$2:$X$119,3,0),0)</f>
        <v>0</v>
      </c>
      <c r="Q142" s="1496">
        <f>IFERROR(SUMIFS('[1]INF GENERAL'!$P:$P,'[1]INF GENERAL'!$N:$N,Tabla16[[#This Row],[Código]]),0)</f>
        <v>0</v>
      </c>
      <c r="R142" s="1496">
        <f>IFERROR(VLOOKUP($E$8:$E$196,'[1]INF GENERAL'!$R$2:$T$119,3,0),0)</f>
        <v>0</v>
      </c>
      <c r="S142" s="1496">
        <f t="shared" si="28"/>
        <v>0</v>
      </c>
      <c r="T142" s="1496">
        <f t="shared" si="32"/>
        <v>0</v>
      </c>
      <c r="U142" s="1497">
        <f t="shared" si="27"/>
        <v>0</v>
      </c>
      <c r="V142" s="1524" t="str">
        <f t="shared" si="24"/>
        <v>NO CRITICO</v>
      </c>
    </row>
    <row r="143" spans="1:26" hidden="1">
      <c r="A143" s="1488" t="s">
        <v>893</v>
      </c>
      <c r="B143" s="1488" t="s">
        <v>973</v>
      </c>
      <c r="C143" s="1489" t="s">
        <v>1103</v>
      </c>
      <c r="D143" s="1489" t="s">
        <v>1104</v>
      </c>
      <c r="E143" s="1527" t="s">
        <v>1132</v>
      </c>
      <c r="F143" s="1527" t="s">
        <v>1133</v>
      </c>
      <c r="G143" s="1512"/>
      <c r="H143" s="1492"/>
      <c r="I143" s="1492">
        <f t="shared" si="29"/>
        <v>0</v>
      </c>
      <c r="J143" s="1493">
        <f t="shared" si="33"/>
        <v>0</v>
      </c>
      <c r="K143" s="1492">
        <f t="shared" si="30"/>
        <v>0</v>
      </c>
      <c r="L143" s="1494">
        <f t="shared" si="31"/>
        <v>0</v>
      </c>
      <c r="M143" s="1505">
        <f>IFERROR(VLOOKUP($E$8:$E$196,'[1]INF GENERAL'!$B$2:$D$135,3,0),0)</f>
        <v>5</v>
      </c>
      <c r="N143" s="1496">
        <f>IFERROR(VLOOKUP($E$8:$E$196,'[1]INF GENERAL'!$F$2:$H$80,3,0),0)</f>
        <v>1014</v>
      </c>
      <c r="O143" s="1496">
        <f>IFERROR(SUMIFS('[1]INF GENERAL'!$L:$L,'[1]INF GENERAL'!$J:$J,Tabla16[[#This Row],[Código]]),0)</f>
        <v>0</v>
      </c>
      <c r="P143" s="1500">
        <f>IFERROR(VLOOKUP($E$8:$E$196,'[1]INF GENERAL'!$V$2:$X$119,3,0),0)</f>
        <v>0</v>
      </c>
      <c r="Q143" s="1496">
        <f>IFERROR(SUMIFS('[1]INF GENERAL'!$P:$P,'[1]INF GENERAL'!$N:$N,Tabla16[[#This Row],[Código]]),0)</f>
        <v>0</v>
      </c>
      <c r="R143" s="1496">
        <f>IFERROR(VLOOKUP($E$8:$E$196,'[1]INF GENERAL'!$R$2:$T$119,3,0),0)</f>
        <v>0</v>
      </c>
      <c r="S143" s="1496">
        <f t="shared" si="28"/>
        <v>0</v>
      </c>
      <c r="T143" s="1496">
        <f t="shared" si="32"/>
        <v>0</v>
      </c>
      <c r="U143" s="1497">
        <f t="shared" si="27"/>
        <v>0</v>
      </c>
      <c r="V143" s="1498" t="str">
        <f>IF((Q143)&lt;J143,"INV&lt;7",IF((Q143)&lt;L143,"7≤INV≤20","INV&gt;20"))</f>
        <v>INV&gt;20</v>
      </c>
    </row>
    <row r="144" spans="1:26" ht="12.6" hidden="1" customHeight="1">
      <c r="A144" s="1488" t="s">
        <v>893</v>
      </c>
      <c r="B144" s="1488" t="s">
        <v>973</v>
      </c>
      <c r="C144" s="1489" t="s">
        <v>1103</v>
      </c>
      <c r="D144" s="1489" t="s">
        <v>1110</v>
      </c>
      <c r="E144" s="1527" t="s">
        <v>1134</v>
      </c>
      <c r="F144" s="1527" t="s">
        <v>1133</v>
      </c>
      <c r="G144" s="1503"/>
      <c r="H144" s="1491"/>
      <c r="I144" s="1492"/>
      <c r="J144" s="1493">
        <f t="shared" si="33"/>
        <v>0</v>
      </c>
      <c r="K144" s="1492">
        <f t="shared" si="30"/>
        <v>0</v>
      </c>
      <c r="L144" s="1494">
        <f t="shared" si="31"/>
        <v>0</v>
      </c>
      <c r="M144" s="1528">
        <f>IFERROR(VLOOKUP($E$8:$E$196,'[1]INF GENERAL'!$B$2:$D$135,3,0),0)</f>
        <v>0</v>
      </c>
      <c r="N144" s="1496">
        <f>IFERROR(VLOOKUP($E$8:$E$196,'[1]INF GENERAL'!$F$2:$H$80,3,0),0)</f>
        <v>1012</v>
      </c>
      <c r="O144" s="1496">
        <f>IFERROR(SUMIFS('[1]INF GENERAL'!$L:$L,'[1]INF GENERAL'!$J:$J,Tabla16[[#This Row],[Código]]),0)</f>
        <v>0</v>
      </c>
      <c r="P144" s="1500">
        <f>IFERROR(VLOOKUP($E$8:$E$196,'[1]INF GENERAL'!$V$2:$X$119,3,0),0)</f>
        <v>0</v>
      </c>
      <c r="Q144" s="1496">
        <f>IFERROR(SUMIFS('[1]INF GENERAL'!$P:$P,'[1]INF GENERAL'!$N:$N,Tabla16[[#This Row],[Código]]),0)</f>
        <v>0</v>
      </c>
      <c r="R144" s="1496">
        <f>IFERROR(VLOOKUP($E$8:$E$196,'[1]INF GENERAL'!$R$2:$T$119,3,0),0)</f>
        <v>0</v>
      </c>
      <c r="S144" s="1496">
        <f t="shared" si="28"/>
        <v>0</v>
      </c>
      <c r="T144" s="1496">
        <f t="shared" si="32"/>
        <v>0</v>
      </c>
      <c r="U144" s="1497">
        <f t="shared" si="27"/>
        <v>0</v>
      </c>
      <c r="V144" s="1498" t="str">
        <f>IF((Q144)&lt;J144,"INV&lt;7",IF((Q144)&lt;L144,"7≤INV≤20","INV&gt;20"))</f>
        <v>INV&gt;20</v>
      </c>
    </row>
    <row r="145" spans="1:30" hidden="1">
      <c r="A145" s="1488" t="s">
        <v>829</v>
      </c>
      <c r="B145" s="1488" t="s">
        <v>973</v>
      </c>
      <c r="C145" s="1489" t="s">
        <v>1135</v>
      </c>
      <c r="D145" s="1489" t="s">
        <v>1136</v>
      </c>
      <c r="E145" s="1488" t="s">
        <v>1137</v>
      </c>
      <c r="F145" s="1488" t="s">
        <v>1138</v>
      </c>
      <c r="G145" s="1512"/>
      <c r="H145" s="1492"/>
      <c r="I145" s="1492"/>
      <c r="J145" s="1493">
        <f t="shared" si="33"/>
        <v>0</v>
      </c>
      <c r="K145" s="1492">
        <f t="shared" si="30"/>
        <v>0</v>
      </c>
      <c r="L145" s="1494">
        <f t="shared" si="31"/>
        <v>0</v>
      </c>
      <c r="M145" s="1505">
        <f>IFERROR(VLOOKUP($E$8:$E$196,'[1]INF GENERAL'!$B$2:$D$135,3,0),0)</f>
        <v>0</v>
      </c>
      <c r="N145" s="1496">
        <f>IFERROR(VLOOKUP($E$8:$E$196,'[1]INF GENERAL'!$F$2:$H$80,3,0),0)</f>
        <v>0</v>
      </c>
      <c r="O145" s="1496">
        <f>IFERROR(SUMIFS('[1]INF GENERAL'!$L:$L,'[1]INF GENERAL'!$J:$J,Tabla16[[#This Row],[Código]]),0)</f>
        <v>0</v>
      </c>
      <c r="P145" s="1496">
        <f>IFERROR(VLOOKUP($E$8:$E$196,'[1]INF GENERAL'!$V$2:$X$119,3,0),0)</f>
        <v>0</v>
      </c>
      <c r="Q145" s="1496">
        <f>IFERROR(SUMIFS('[1]INF GENERAL'!$P:$P,'[1]INF GENERAL'!$N:$N,Tabla16[[#This Row],[Código]]),0)</f>
        <v>0</v>
      </c>
      <c r="R145" s="1496">
        <f>IFERROR(VLOOKUP($E$8:$E$196,'[1]INF GENERAL'!$R$2:$T$119,3,0),0)</f>
        <v>0</v>
      </c>
      <c r="S145" s="1496">
        <f t="shared" si="28"/>
        <v>0</v>
      </c>
      <c r="T145" s="1496">
        <f t="shared" si="32"/>
        <v>0</v>
      </c>
      <c r="U145" s="1497">
        <f t="shared" si="27"/>
        <v>0</v>
      </c>
      <c r="V145" s="1524" t="str">
        <f t="shared" si="24"/>
        <v>NO CRITICO</v>
      </c>
    </row>
    <row r="146" spans="1:30" hidden="1">
      <c r="A146" s="1488" t="s">
        <v>829</v>
      </c>
      <c r="B146" s="1488" t="s">
        <v>973</v>
      </c>
      <c r="C146" s="1489" t="s">
        <v>1135</v>
      </c>
      <c r="D146" s="1489" t="s">
        <v>1139</v>
      </c>
      <c r="E146" s="1488" t="s">
        <v>1140</v>
      </c>
      <c r="F146" s="1488" t="s">
        <v>1141</v>
      </c>
      <c r="G146" s="1512"/>
      <c r="H146" s="1492"/>
      <c r="I146" s="1492">
        <f t="shared" ref="I146:I158" si="34">+G146/$L$6</f>
        <v>0</v>
      </c>
      <c r="J146" s="1493">
        <f t="shared" si="19"/>
        <v>0</v>
      </c>
      <c r="K146" s="1492">
        <f t="shared" si="30"/>
        <v>0</v>
      </c>
      <c r="L146" s="1494">
        <f t="shared" si="31"/>
        <v>0</v>
      </c>
      <c r="M146" s="1505">
        <f>IFERROR(VLOOKUP($E$8:$E$196,'[1]INF GENERAL'!$B$2:$D$135,3,0),0)</f>
        <v>0</v>
      </c>
      <c r="N146" s="1496">
        <f>IFERROR(VLOOKUP($E$8:$E$196,'[1]INF GENERAL'!$F$2:$H$80,3,0),0)</f>
        <v>0</v>
      </c>
      <c r="O146" s="1496">
        <f>IFERROR(SUMIFS('[1]INF GENERAL'!$L:$L,'[1]INF GENERAL'!$J:$J,Tabla16[[#This Row],[Código]]),0)</f>
        <v>0</v>
      </c>
      <c r="P146" s="1500">
        <f>IFERROR(VLOOKUP($E$8:$E$196,'[1]INF GENERAL'!$V$2:$X$119,3,0),0)</f>
        <v>0</v>
      </c>
      <c r="Q146" s="1496">
        <f>IFERROR(SUMIFS('[1]INF GENERAL'!$P:$P,'[1]INF GENERAL'!$N:$N,Tabla16[[#This Row],[Código]]),0)</f>
        <v>0</v>
      </c>
      <c r="R146" s="1496">
        <f>IFERROR(VLOOKUP($E$8:$E$196,'[1]INF GENERAL'!$R$2:$T$119,3,0),0)</f>
        <v>0</v>
      </c>
      <c r="S146" s="1496">
        <f t="shared" si="28"/>
        <v>0</v>
      </c>
      <c r="T146" s="1496">
        <f t="shared" si="32"/>
        <v>0</v>
      </c>
      <c r="U146" s="1497">
        <f t="shared" si="27"/>
        <v>0</v>
      </c>
      <c r="V146" s="1498" t="str">
        <f t="shared" si="24"/>
        <v>NO CRITICO</v>
      </c>
    </row>
    <row r="147" spans="1:30" hidden="1">
      <c r="A147" s="1488" t="s">
        <v>829</v>
      </c>
      <c r="B147" s="1488" t="s">
        <v>1142</v>
      </c>
      <c r="C147" s="1489" t="s">
        <v>1143</v>
      </c>
      <c r="D147" s="1489" t="s">
        <v>894</v>
      </c>
      <c r="E147" s="1488" t="s">
        <v>1144</v>
      </c>
      <c r="F147" s="1488" t="s">
        <v>1145</v>
      </c>
      <c r="G147" s="1503"/>
      <c r="H147" s="1491"/>
      <c r="I147" s="1492">
        <f t="shared" si="34"/>
        <v>0</v>
      </c>
      <c r="J147" s="1493">
        <f>+I147*$J$6+I147*$J$6*0.2</f>
        <v>0</v>
      </c>
      <c r="K147" s="1492">
        <f t="shared" si="30"/>
        <v>0</v>
      </c>
      <c r="L147" s="1494">
        <f t="shared" si="31"/>
        <v>0</v>
      </c>
      <c r="M147" s="1495">
        <f>IFERROR(VLOOKUP($E$8:$E$196,'[1]INF GENERAL'!$B$2:$D$135,3,0),0)</f>
        <v>0</v>
      </c>
      <c r="N147" s="1496">
        <f>IFERROR(VLOOKUP($E$8:$E$196,'[1]INF GENERAL'!$F$2:$H$80,3,0),0)</f>
        <v>0</v>
      </c>
      <c r="O147" s="1496">
        <f>IFERROR(SUMIFS('[1]INF GENERAL'!$L:$L,'[1]INF GENERAL'!$J:$J,Tabla16[[#This Row],[Código]]),0)</f>
        <v>0</v>
      </c>
      <c r="P147" s="1500">
        <f>IFERROR(VLOOKUP($E$8:$E$196,'[1]INF GENERAL'!$V$2:$X$119,3,0),0)</f>
        <v>0</v>
      </c>
      <c r="Q147" s="1496">
        <f>IFERROR(SUMIFS('[1]INF GENERAL'!$P:$P,'[1]INF GENERAL'!$N:$N,Tabla16[[#This Row],[Código]]),0)</f>
        <v>0</v>
      </c>
      <c r="R147" s="1496">
        <f>IFERROR(VLOOKUP($E$8:$E$196,'[1]INF GENERAL'!$R$2:$T$119,3,0),0)</f>
        <v>0</v>
      </c>
      <c r="S147" s="1496">
        <f t="shared" si="28"/>
        <v>0</v>
      </c>
      <c r="T147" s="1496">
        <f t="shared" si="32"/>
        <v>0</v>
      </c>
      <c r="U147" s="1497">
        <f t="shared" si="27"/>
        <v>0</v>
      </c>
      <c r="V147" s="1498" t="str">
        <f>IF((Q147)&lt;J147,"QUIEBRE",IF((Q147)&lt;L147,"VIGILAR","NO CRITICO"))</f>
        <v>NO CRITICO</v>
      </c>
    </row>
    <row r="148" spans="1:30" hidden="1">
      <c r="A148" s="1488" t="s">
        <v>829</v>
      </c>
      <c r="B148" s="1488" t="s">
        <v>1142</v>
      </c>
      <c r="C148" s="1489" t="s">
        <v>1143</v>
      </c>
      <c r="D148" s="1489" t="s">
        <v>894</v>
      </c>
      <c r="E148" s="1488" t="s">
        <v>1146</v>
      </c>
      <c r="F148" s="1488" t="s">
        <v>1147</v>
      </c>
      <c r="G148" s="1503"/>
      <c r="H148" s="1491"/>
      <c r="I148" s="1492">
        <f t="shared" si="34"/>
        <v>0</v>
      </c>
      <c r="J148" s="1493">
        <f>+I148*$J$6+I148*$J$6*0.2</f>
        <v>0</v>
      </c>
      <c r="K148" s="1492">
        <f t="shared" si="30"/>
        <v>0</v>
      </c>
      <c r="L148" s="1494">
        <f t="shared" si="31"/>
        <v>0</v>
      </c>
      <c r="M148" s="1495">
        <f>IFERROR(VLOOKUP($E$8:$E$196,'[1]INF GENERAL'!$B$2:$D$135,3,0),0)</f>
        <v>0</v>
      </c>
      <c r="N148" s="1496">
        <f>IFERROR(VLOOKUP($E$8:$E$196,'[1]INF GENERAL'!$F$2:$H$80,3,0),0)</f>
        <v>0</v>
      </c>
      <c r="O148" s="1496">
        <f>IFERROR(SUMIFS('[1]INF GENERAL'!$L:$L,'[1]INF GENERAL'!$J:$J,Tabla16[[#This Row],[Código]]),0)</f>
        <v>0</v>
      </c>
      <c r="P148" s="1500">
        <f>IFERROR(VLOOKUP($E$8:$E$196,'[1]INF GENERAL'!$V$2:$X$119,3,0),0)</f>
        <v>0</v>
      </c>
      <c r="Q148" s="1496">
        <f>IFERROR(SUMIFS('[1]INF GENERAL'!$P:$P,'[1]INF GENERAL'!$N:$N,Tabla16[[#This Row],[Código]]),0)</f>
        <v>0</v>
      </c>
      <c r="R148" s="1496">
        <f>IFERROR(VLOOKUP($E$8:$E$196,'[1]INF GENERAL'!$R$2:$T$119,3,0),0)</f>
        <v>0</v>
      </c>
      <c r="S148" s="1496">
        <f t="shared" si="28"/>
        <v>0</v>
      </c>
      <c r="T148" s="1496">
        <f t="shared" si="32"/>
        <v>0</v>
      </c>
      <c r="U148" s="1497">
        <f t="shared" si="27"/>
        <v>0</v>
      </c>
      <c r="V148" s="1498" t="str">
        <f>IF((Q148)&lt;J148,"QUIEBRE",IF((Q148)&lt;L148,"VIGILAR","NO CRITICO"))</f>
        <v>NO CRITICO</v>
      </c>
      <c r="X148" s="1529"/>
      <c r="Y148" s="1530"/>
      <c r="Z148" s="1531" t="s">
        <v>828</v>
      </c>
      <c r="AB148" s="1526"/>
    </row>
    <row r="149" spans="1:30" hidden="1">
      <c r="A149" s="1488" t="s">
        <v>893</v>
      </c>
      <c r="B149" s="1488" t="s">
        <v>1142</v>
      </c>
      <c r="C149" s="1489" t="s">
        <v>1143</v>
      </c>
      <c r="D149" s="1489" t="s">
        <v>1148</v>
      </c>
      <c r="E149" s="1488" t="s">
        <v>1149</v>
      </c>
      <c r="F149" s="1488" t="s">
        <v>1150</v>
      </c>
      <c r="G149" s="1512">
        <v>42300</v>
      </c>
      <c r="H149" s="1492"/>
      <c r="I149" s="1492">
        <f t="shared" si="34"/>
        <v>2115</v>
      </c>
      <c r="J149" s="1493">
        <f>+I149*$J$6</f>
        <v>14805</v>
      </c>
      <c r="K149" s="1492">
        <f t="shared" si="30"/>
        <v>31725</v>
      </c>
      <c r="L149" s="1494">
        <f t="shared" si="31"/>
        <v>42300</v>
      </c>
      <c r="M149" s="1505">
        <f>IFERROR(VLOOKUP($E$8:$E$196,'[1]INF GENERAL'!$B$2:$D$135,3,0),0)</f>
        <v>27794.250199999999</v>
      </c>
      <c r="N149" s="1496">
        <f>IFERROR(VLOOKUP($E$8:$E$196,'[1]INF GENERAL'!$F$2:$H$80,3,0),0)</f>
        <v>33929</v>
      </c>
      <c r="O149" s="1496">
        <f>IFERROR(SUMIFS('[1]INF GENERAL'!$L:$L,'[1]INF GENERAL'!$J:$J,Tabla16[[#This Row],[Código]]),0)</f>
        <v>0</v>
      </c>
      <c r="P149" s="1496">
        <f>IFERROR(VLOOKUP($E$8:$E$196,'[1]INF GENERAL'!$V$2:$X$119,3,0),0)</f>
        <v>0</v>
      </c>
      <c r="Q149" s="1496">
        <f>IFERROR(SUMIFS('[1]INF GENERAL'!$P:$P,'[1]INF GENERAL'!$N:$N,Tabla16[[#This Row],[Código]]),0)</f>
        <v>0</v>
      </c>
      <c r="R149" s="1496">
        <f>IFERROR(VLOOKUP($E$8:$E$196,'[1]INF GENERAL'!$R$2:$T$119,3,0),0)</f>
        <v>0</v>
      </c>
      <c r="S149" s="1496">
        <f t="shared" ref="S149:S154" si="35">IF(G149=0,0,(G149-(O149+P149)))</f>
        <v>42300</v>
      </c>
      <c r="T149" s="1496">
        <f t="shared" si="32"/>
        <v>42300</v>
      </c>
      <c r="U149" s="1497">
        <f t="shared" si="27"/>
        <v>0</v>
      </c>
      <c r="V149" s="1498" t="str">
        <f t="shared" ref="V149:V154" si="36">IF((Q149)&lt;J149,"INV&lt;7",IF((Q149)&lt;L149,"7≤INV≤20","INV&gt;20"))</f>
        <v>INV&lt;7</v>
      </c>
      <c r="X149" s="1532">
        <f t="shared" ref="X149:X158" si="37">+Q149-Z149</f>
        <v>-9635</v>
      </c>
      <c r="Y149" s="1532">
        <f>+X149/Tabla16[[#This Row],[VENTA / DIA]]</f>
        <v>-4.5555555555555554</v>
      </c>
      <c r="Z149" s="1532">
        <f>4817+1593+3225</f>
        <v>9635</v>
      </c>
      <c r="AA149" s="1510"/>
      <c r="AB149" s="1510"/>
    </row>
    <row r="150" spans="1:30" hidden="1">
      <c r="A150" s="1488" t="s">
        <v>893</v>
      </c>
      <c r="B150" s="1488" t="s">
        <v>1142</v>
      </c>
      <c r="C150" s="1489" t="s">
        <v>1143</v>
      </c>
      <c r="D150" s="1489" t="s">
        <v>1148</v>
      </c>
      <c r="E150" s="1488" t="s">
        <v>1151</v>
      </c>
      <c r="F150" s="1488" t="s">
        <v>1152</v>
      </c>
      <c r="G150" s="1512">
        <v>11000</v>
      </c>
      <c r="H150" s="1492"/>
      <c r="I150" s="1492">
        <f t="shared" si="34"/>
        <v>550</v>
      </c>
      <c r="J150" s="1493">
        <f t="shared" ref="J150:J196" si="38">+I150*$J$6</f>
        <v>3850</v>
      </c>
      <c r="K150" s="1492">
        <f t="shared" si="30"/>
        <v>8250</v>
      </c>
      <c r="L150" s="1494">
        <f t="shared" si="31"/>
        <v>11000</v>
      </c>
      <c r="M150" s="1505">
        <f>IFERROR(VLOOKUP($E$8:$E$196,'[1]INF GENERAL'!$B$2:$D$135,3,0),0)</f>
        <v>5258.3333000000002</v>
      </c>
      <c r="N150" s="1496">
        <f>IFERROR(VLOOKUP($E$8:$E$196,'[1]INF GENERAL'!$F$2:$H$80,3,0),0)</f>
        <v>12329</v>
      </c>
      <c r="O150" s="1496">
        <f>IFERROR(SUMIFS('[1]INF GENERAL'!$L:$L,'[1]INF GENERAL'!$J:$J,Tabla16[[#This Row],[Código]]),0)</f>
        <v>0</v>
      </c>
      <c r="P150" s="1496">
        <f>IFERROR(VLOOKUP($E$8:$E$196,'[1]INF GENERAL'!$V$2:$X$119,3,0),0)</f>
        <v>0</v>
      </c>
      <c r="Q150" s="1496">
        <f>IFERROR(SUMIFS('[1]INF GENERAL'!$P:$P,'[1]INF GENERAL'!$N:$N,Tabla16[[#This Row],[Código]]),0)</f>
        <v>0</v>
      </c>
      <c r="R150" s="1496">
        <f>IFERROR(VLOOKUP($E$8:$E$196,'[1]INF GENERAL'!$R$2:$T$119,3,0),0)</f>
        <v>0</v>
      </c>
      <c r="S150" s="1496">
        <f t="shared" si="35"/>
        <v>11000</v>
      </c>
      <c r="T150" s="1496">
        <f t="shared" si="32"/>
        <v>11000</v>
      </c>
      <c r="U150" s="1497">
        <f t="shared" si="27"/>
        <v>0</v>
      </c>
      <c r="V150" s="1498" t="str">
        <f t="shared" si="36"/>
        <v>INV&lt;7</v>
      </c>
      <c r="X150" s="1532">
        <f t="shared" si="37"/>
        <v>-2348</v>
      </c>
      <c r="Y150" s="1532">
        <f>+X150/Tabla16[[#This Row],[VENTA / DIA]]</f>
        <v>-4.2690909090909095</v>
      </c>
      <c r="Z150" s="1532">
        <f>150+2347-149</f>
        <v>2348</v>
      </c>
      <c r="AA150" s="1510"/>
      <c r="AB150" s="1533"/>
    </row>
    <row r="151" spans="1:30" hidden="1">
      <c r="A151" s="1488" t="s">
        <v>893</v>
      </c>
      <c r="B151" s="1488" t="s">
        <v>1142</v>
      </c>
      <c r="C151" s="1489" t="s">
        <v>1143</v>
      </c>
      <c r="D151" s="1489" t="s">
        <v>1148</v>
      </c>
      <c r="E151" s="1488" t="s">
        <v>1153</v>
      </c>
      <c r="F151" s="1488" t="s">
        <v>1154</v>
      </c>
      <c r="G151" s="1512">
        <v>7500</v>
      </c>
      <c r="H151" s="1492"/>
      <c r="I151" s="1492">
        <f t="shared" si="34"/>
        <v>375</v>
      </c>
      <c r="J151" s="1493">
        <f t="shared" si="38"/>
        <v>2625</v>
      </c>
      <c r="K151" s="1492">
        <f t="shared" si="30"/>
        <v>5625</v>
      </c>
      <c r="L151" s="1494">
        <f t="shared" si="31"/>
        <v>7500</v>
      </c>
      <c r="M151" s="1505">
        <f>IFERROR(VLOOKUP($E$8:$E$196,'[1]INF GENERAL'!$B$2:$D$135,3,0),0)</f>
        <v>5517.1666999999998</v>
      </c>
      <c r="N151" s="1496">
        <f>IFERROR(VLOOKUP($E$8:$E$196,'[1]INF GENERAL'!$F$2:$H$80,3,0),0)</f>
        <v>5221</v>
      </c>
      <c r="O151" s="1496">
        <f>IFERROR(SUMIFS('[1]INF GENERAL'!$L:$L,'[1]INF GENERAL'!$J:$J,Tabla16[[#This Row],[Código]]),0)</f>
        <v>0</v>
      </c>
      <c r="P151" s="1496">
        <f>IFERROR(VLOOKUP($E$8:$E$196,'[1]INF GENERAL'!$V$2:$X$119,3,0),0)</f>
        <v>0</v>
      </c>
      <c r="Q151" s="1496">
        <f>IFERROR(SUMIFS('[1]INF GENERAL'!$P:$P,'[1]INF GENERAL'!$N:$N,Tabla16[[#This Row],[Código]]),0)</f>
        <v>0</v>
      </c>
      <c r="R151" s="1496">
        <f>IFERROR(VLOOKUP($E$8:$E$196,'[1]INF GENERAL'!$R$2:$T$119,3,0),0)</f>
        <v>0</v>
      </c>
      <c r="S151" s="1496">
        <f t="shared" si="35"/>
        <v>7500</v>
      </c>
      <c r="T151" s="1496">
        <f t="shared" si="32"/>
        <v>7500</v>
      </c>
      <c r="U151" s="1497">
        <f t="shared" si="27"/>
        <v>0</v>
      </c>
      <c r="V151" s="1498" t="str">
        <f t="shared" si="36"/>
        <v>INV&lt;7</v>
      </c>
      <c r="X151" s="1532">
        <f t="shared" si="37"/>
        <v>0</v>
      </c>
      <c r="Y151" s="1532">
        <f>+X151/Tabla16[[#This Row],[VENTA / DIA]]</f>
        <v>0</v>
      </c>
      <c r="Z151" s="1532">
        <v>0</v>
      </c>
      <c r="AB151" s="1510"/>
    </row>
    <row r="152" spans="1:30" hidden="1">
      <c r="A152" s="1488" t="s">
        <v>893</v>
      </c>
      <c r="B152" s="1488" t="s">
        <v>1142</v>
      </c>
      <c r="C152" s="1489" t="s">
        <v>1155</v>
      </c>
      <c r="D152" s="1489" t="s">
        <v>1148</v>
      </c>
      <c r="E152" s="1488" t="s">
        <v>1156</v>
      </c>
      <c r="F152" s="1488" t="s">
        <v>1157</v>
      </c>
      <c r="G152" s="1512">
        <v>3161</v>
      </c>
      <c r="H152" s="1492"/>
      <c r="I152" s="1492">
        <f t="shared" si="34"/>
        <v>158.05000000000001</v>
      </c>
      <c r="J152" s="1493">
        <f t="shared" si="38"/>
        <v>1106.3500000000001</v>
      </c>
      <c r="K152" s="1492">
        <f t="shared" si="30"/>
        <v>2370.75</v>
      </c>
      <c r="L152" s="1494">
        <f t="shared" si="31"/>
        <v>3161</v>
      </c>
      <c r="M152" s="1505">
        <f>IFERROR(VLOOKUP($E$8:$E$196,'[1]INF GENERAL'!$B$2:$D$135,3,0),0)</f>
        <v>5060</v>
      </c>
      <c r="N152" s="1496">
        <f>IFERROR(VLOOKUP($E$8:$E$196,'[1]INF GENERAL'!$F$2:$H$80,3,0),0)</f>
        <v>0</v>
      </c>
      <c r="O152" s="1496">
        <f>IFERROR(SUMIFS('[1]INF GENERAL'!$L:$L,'[1]INF GENERAL'!$J:$J,Tabla16[[#This Row],[Código]]),0)</f>
        <v>0</v>
      </c>
      <c r="P152" s="1496">
        <f>IFERROR(VLOOKUP($E$8:$E$196,'[1]INF GENERAL'!$V$2:$X$119,3,0),0)</f>
        <v>0</v>
      </c>
      <c r="Q152" s="1496">
        <f>IFERROR(SUMIFS('[1]INF GENERAL'!$P:$P,'[1]INF GENERAL'!$N:$N,Tabla16[[#This Row],[Código]]),0)</f>
        <v>0</v>
      </c>
      <c r="R152" s="1496">
        <f>IFERROR(VLOOKUP($E$8:$E$196,'[1]INF GENERAL'!$R$2:$T$119,3,0),0)</f>
        <v>0</v>
      </c>
      <c r="S152" s="1496">
        <f t="shared" si="35"/>
        <v>3161</v>
      </c>
      <c r="T152" s="1496">
        <f t="shared" si="32"/>
        <v>3161</v>
      </c>
      <c r="U152" s="1497">
        <f t="shared" si="27"/>
        <v>0</v>
      </c>
      <c r="V152" s="1498" t="str">
        <f t="shared" si="36"/>
        <v>INV&lt;7</v>
      </c>
      <c r="X152" s="1532">
        <f t="shared" si="37"/>
        <v>0</v>
      </c>
      <c r="Y152" s="1532">
        <f>+X152/Tabla16[[#This Row],[VENTA / DIA]]</f>
        <v>0</v>
      </c>
      <c r="Z152" s="1532">
        <v>0</v>
      </c>
    </row>
    <row r="153" spans="1:30" hidden="1">
      <c r="A153" s="1488" t="s">
        <v>893</v>
      </c>
      <c r="B153" s="1488" t="s">
        <v>1142</v>
      </c>
      <c r="C153" s="1489" t="s">
        <v>1158</v>
      </c>
      <c r="D153" s="1489" t="s">
        <v>1148</v>
      </c>
      <c r="E153" s="1488" t="s">
        <v>1159</v>
      </c>
      <c r="F153" s="1488" t="s">
        <v>1160</v>
      </c>
      <c r="G153" s="1512">
        <v>1745</v>
      </c>
      <c r="H153" s="1492"/>
      <c r="I153" s="1492">
        <f t="shared" si="34"/>
        <v>87.25</v>
      </c>
      <c r="J153" s="1493">
        <f t="shared" si="38"/>
        <v>610.75</v>
      </c>
      <c r="K153" s="1492">
        <f t="shared" si="30"/>
        <v>1308.75</v>
      </c>
      <c r="L153" s="1494">
        <f t="shared" si="31"/>
        <v>1745</v>
      </c>
      <c r="M153" s="1505">
        <f>IFERROR(VLOOKUP($E$8:$E$196,'[1]INF GENERAL'!$B$2:$D$135,3,0),0)</f>
        <v>3018</v>
      </c>
      <c r="N153" s="1496">
        <f>IFERROR(VLOOKUP($E$8:$E$196,'[1]INF GENERAL'!$F$2:$H$80,3,0),0)</f>
        <v>0</v>
      </c>
      <c r="O153" s="1496">
        <f>IFERROR(SUMIFS('[1]INF GENERAL'!$L:$L,'[1]INF GENERAL'!$J:$J,Tabla16[[#This Row],[Código]]),0)</f>
        <v>0</v>
      </c>
      <c r="P153" s="1496">
        <f>IFERROR(VLOOKUP($E$8:$E$196,'[1]INF GENERAL'!$V$2:$X$119,3,0),0)</f>
        <v>0</v>
      </c>
      <c r="Q153" s="1496">
        <f>IFERROR(SUMIFS('[1]INF GENERAL'!$P:$P,'[1]INF GENERAL'!$N:$N,Tabla16[[#This Row],[Código]]),0)</f>
        <v>0</v>
      </c>
      <c r="R153" s="1496">
        <f>IFERROR(VLOOKUP($E$8:$E$196,'[1]INF GENERAL'!$R$2:$T$119,3,0),0)</f>
        <v>0</v>
      </c>
      <c r="S153" s="1496">
        <f t="shared" si="35"/>
        <v>1745</v>
      </c>
      <c r="T153" s="1496">
        <f t="shared" si="32"/>
        <v>1745</v>
      </c>
      <c r="U153" s="1497">
        <f t="shared" si="27"/>
        <v>0</v>
      </c>
      <c r="V153" s="1498" t="str">
        <f t="shared" si="36"/>
        <v>INV&lt;7</v>
      </c>
      <c r="X153" s="1532">
        <f t="shared" si="37"/>
        <v>0</v>
      </c>
      <c r="Y153" s="1532">
        <f>+X153/Tabla16[[#This Row],[VENTA / DIA]]</f>
        <v>0</v>
      </c>
      <c r="Z153" s="1532">
        <v>0</v>
      </c>
    </row>
    <row r="154" spans="1:30" hidden="1">
      <c r="A154" s="1488" t="s">
        <v>893</v>
      </c>
      <c r="B154" s="1488" t="s">
        <v>1142</v>
      </c>
      <c r="C154" s="1489" t="s">
        <v>1161</v>
      </c>
      <c r="D154" s="1489" t="s">
        <v>1148</v>
      </c>
      <c r="E154" s="1488" t="s">
        <v>1162</v>
      </c>
      <c r="F154" s="1488" t="s">
        <v>1163</v>
      </c>
      <c r="G154" s="1512">
        <v>2422</v>
      </c>
      <c r="H154" s="1492"/>
      <c r="I154" s="1492">
        <f t="shared" si="34"/>
        <v>121.1</v>
      </c>
      <c r="J154" s="1493">
        <f t="shared" si="38"/>
        <v>847.69999999999993</v>
      </c>
      <c r="K154" s="1492">
        <f t="shared" si="30"/>
        <v>1816.5</v>
      </c>
      <c r="L154" s="1494">
        <f t="shared" si="31"/>
        <v>2422</v>
      </c>
      <c r="M154" s="1505">
        <f>IFERROR(VLOOKUP($E$8:$E$196,'[1]INF GENERAL'!$B$2:$D$135,3,0),0)</f>
        <v>1544</v>
      </c>
      <c r="N154" s="1496">
        <f>IFERROR(VLOOKUP($E$8:$E$196,'[1]INF GENERAL'!$F$2:$H$80,3,0),0)</f>
        <v>1956</v>
      </c>
      <c r="O154" s="1496">
        <f>IFERROR(SUMIFS('[1]INF GENERAL'!$L:$L,'[1]INF GENERAL'!$J:$J,Tabla16[[#This Row],[Código]]),0)</f>
        <v>0</v>
      </c>
      <c r="P154" s="1496">
        <f>IFERROR(VLOOKUP($E$8:$E$196,'[1]INF GENERAL'!$V$2:$X$119,3,0),0)</f>
        <v>179.25</v>
      </c>
      <c r="Q154" s="1496">
        <f>IFERROR(SUMIFS('[1]INF GENERAL'!$P:$P,'[1]INF GENERAL'!$N:$N,Tabla16[[#This Row],[Código]]),0)</f>
        <v>0</v>
      </c>
      <c r="R154" s="1496">
        <f>IFERROR(VLOOKUP($E$8:$E$196,'[1]INF GENERAL'!$R$2:$T$119,3,0),0)</f>
        <v>225.33359999999999</v>
      </c>
      <c r="S154" s="1496">
        <f t="shared" si="35"/>
        <v>2242.75</v>
      </c>
      <c r="T154" s="1496">
        <f t="shared" si="32"/>
        <v>2422</v>
      </c>
      <c r="U154" s="1497">
        <f t="shared" si="27"/>
        <v>0</v>
      </c>
      <c r="V154" s="1498" t="str">
        <f t="shared" si="36"/>
        <v>INV&lt;7</v>
      </c>
      <c r="X154" s="1532">
        <f t="shared" si="37"/>
        <v>0</v>
      </c>
      <c r="Y154" s="1532">
        <f>+X154/Tabla16[[#This Row],[VENTA / DIA]]</f>
        <v>0</v>
      </c>
      <c r="Z154" s="1532">
        <v>0</v>
      </c>
    </row>
    <row r="155" spans="1:30" hidden="1">
      <c r="A155" s="1488" t="s">
        <v>829</v>
      </c>
      <c r="B155" s="1488" t="s">
        <v>1142</v>
      </c>
      <c r="C155" s="1489" t="s">
        <v>1161</v>
      </c>
      <c r="D155" s="1489" t="s">
        <v>1148</v>
      </c>
      <c r="E155" s="1488" t="s">
        <v>1164</v>
      </c>
      <c r="F155" s="1488" t="s">
        <v>1165</v>
      </c>
      <c r="G155" s="1503"/>
      <c r="H155" s="1491"/>
      <c r="I155" s="1492">
        <f t="shared" si="34"/>
        <v>0</v>
      </c>
      <c r="J155" s="1493">
        <f t="shared" si="38"/>
        <v>0</v>
      </c>
      <c r="K155" s="1492">
        <f t="shared" si="30"/>
        <v>0</v>
      </c>
      <c r="L155" s="1494">
        <f t="shared" si="31"/>
        <v>0</v>
      </c>
      <c r="M155" s="1495">
        <f>IFERROR(VLOOKUP($E$8:$E$196,'[1]INF GENERAL'!$B$2:$D$135,3,0),0)</f>
        <v>0</v>
      </c>
      <c r="N155" s="1496">
        <f>IFERROR(VLOOKUP($E$8:$E$196,'[1]INF GENERAL'!$F$2:$H$80,3,0),0)</f>
        <v>0</v>
      </c>
      <c r="O155" s="1496">
        <f>IFERROR(SUMIFS('[1]INF GENERAL'!$L:$L,'[1]INF GENERAL'!$J:$J,Tabla16[[#This Row],[Código]]),0)</f>
        <v>0</v>
      </c>
      <c r="P155" s="1500">
        <f>IFERROR(VLOOKUP($E$8:$E$196,'[1]INF GENERAL'!$V$2:$X$119,3,0),0)</f>
        <v>0</v>
      </c>
      <c r="Q155" s="1496">
        <f>IFERROR(SUMIFS('[1]INF GENERAL'!$P:$P,'[1]INF GENERAL'!$N:$N,Tabla16[[#This Row],[Código]]),0)</f>
        <v>0</v>
      </c>
      <c r="R155" s="1496">
        <f>IFERROR(VLOOKUP($E$8:$E$196,'[1]INF GENERAL'!$R$2:$T$119,3,0),0)</f>
        <v>0</v>
      </c>
      <c r="S155" s="1496">
        <f>IF(G155=0,0,(G155-O155))</f>
        <v>0</v>
      </c>
      <c r="T155" s="1496">
        <f t="shared" si="32"/>
        <v>0</v>
      </c>
      <c r="U155" s="1497">
        <f t="shared" si="27"/>
        <v>0</v>
      </c>
      <c r="V155" s="1498" t="str">
        <f>IF((Q155)&lt;J155,"QUIEBRE",IF((Q155)&lt;L155,"VIGILAR","NO CRITICO"))</f>
        <v>NO CRITICO</v>
      </c>
      <c r="X155" s="1534">
        <f t="shared" si="37"/>
        <v>0</v>
      </c>
      <c r="Y155" s="1535" t="e">
        <f>+X155/Tabla16[[#This Row],[VENTA / DIA]]</f>
        <v>#DIV/0!</v>
      </c>
      <c r="Z155" s="1536">
        <v>0</v>
      </c>
    </row>
    <row r="156" spans="1:30" hidden="1">
      <c r="A156" s="1488" t="s">
        <v>893</v>
      </c>
      <c r="B156" s="1488" t="s">
        <v>1142</v>
      </c>
      <c r="C156" s="1489" t="s">
        <v>1158</v>
      </c>
      <c r="D156" s="1489" t="s">
        <v>1148</v>
      </c>
      <c r="E156" s="1488" t="s">
        <v>1166</v>
      </c>
      <c r="F156" s="1488" t="s">
        <v>1167</v>
      </c>
      <c r="G156" s="1512">
        <v>295</v>
      </c>
      <c r="H156" s="1492">
        <v>1500</v>
      </c>
      <c r="I156" s="1492">
        <f t="shared" si="34"/>
        <v>14.75</v>
      </c>
      <c r="J156" s="1493">
        <f t="shared" si="38"/>
        <v>103.25</v>
      </c>
      <c r="K156" s="1492">
        <f t="shared" si="30"/>
        <v>221.25</v>
      </c>
      <c r="L156" s="1494">
        <f t="shared" si="31"/>
        <v>295</v>
      </c>
      <c r="M156" s="1505">
        <f>IFERROR(VLOOKUP($E$8:$E$196,'[1]INF GENERAL'!$B$2:$D$135,3,0),0)</f>
        <v>325</v>
      </c>
      <c r="N156" s="1496">
        <f>IFERROR(VLOOKUP($E$8:$E$196,'[1]INF GENERAL'!$F$2:$H$80,3,0),0)</f>
        <v>0</v>
      </c>
      <c r="O156" s="1496">
        <f>IFERROR(SUMIFS('[1]INF GENERAL'!$L:$L,'[1]INF GENERAL'!$J:$J,Tabla16[[#This Row],[Código]]),0)</f>
        <v>0</v>
      </c>
      <c r="P156" s="1496">
        <f>IFERROR(VLOOKUP($E$8:$E$196,'[1]INF GENERAL'!$V$2:$X$119,3,0),0)</f>
        <v>0</v>
      </c>
      <c r="Q156" s="1496">
        <f>IFERROR(SUMIFS('[1]INF GENERAL'!$P:$P,'[1]INF GENERAL'!$N:$N,Tabla16[[#This Row],[Código]]),0)</f>
        <v>0</v>
      </c>
      <c r="R156" s="1496">
        <f>IFERROR(VLOOKUP($E$8:$E$196,'[1]INF GENERAL'!$R$2:$T$119,3,0),0)</f>
        <v>0</v>
      </c>
      <c r="S156" s="1496">
        <f>IF(G156=0,0,(G156-O156))</f>
        <v>295</v>
      </c>
      <c r="T156" s="1496">
        <f t="shared" si="32"/>
        <v>295</v>
      </c>
      <c r="U156" s="1497">
        <f t="shared" si="27"/>
        <v>0</v>
      </c>
      <c r="V156" s="1498" t="str">
        <f>IF((Q156)&lt;J156,"INV&lt;7",IF((Q156)&lt;L156,"7≤INV≤20","INV&gt;20"))</f>
        <v>INV&lt;7</v>
      </c>
      <c r="X156" s="1532">
        <f t="shared" si="37"/>
        <v>0</v>
      </c>
      <c r="Y156" s="1532">
        <f>+X156/Tabla16[[#This Row],[VENTA / DIA]]</f>
        <v>0</v>
      </c>
      <c r="Z156" s="1532">
        <v>0</v>
      </c>
      <c r="AA156" s="1526"/>
    </row>
    <row r="157" spans="1:30" hidden="1">
      <c r="A157" s="1488" t="s">
        <v>893</v>
      </c>
      <c r="B157" s="1488" t="s">
        <v>1142</v>
      </c>
      <c r="C157" s="1489" t="s">
        <v>1168</v>
      </c>
      <c r="D157" s="1489" t="s">
        <v>1148</v>
      </c>
      <c r="E157" s="1488" t="s">
        <v>1169</v>
      </c>
      <c r="F157" s="1488" t="s">
        <v>1170</v>
      </c>
      <c r="G157" s="1512">
        <v>1350</v>
      </c>
      <c r="H157" s="1492"/>
      <c r="I157" s="1492">
        <f t="shared" si="34"/>
        <v>67.5</v>
      </c>
      <c r="J157" s="1493">
        <f t="shared" si="38"/>
        <v>472.5</v>
      </c>
      <c r="K157" s="1492">
        <f t="shared" si="30"/>
        <v>1012.5</v>
      </c>
      <c r="L157" s="1494">
        <f t="shared" si="31"/>
        <v>1350</v>
      </c>
      <c r="M157" s="1505">
        <f>IFERROR(VLOOKUP($E$8:$E$196,'[1]INF GENERAL'!$B$2:$D$135,3,0),0)</f>
        <v>839</v>
      </c>
      <c r="N157" s="1496">
        <f>IFERROR(VLOOKUP($E$8:$E$196,'[1]INF GENERAL'!$F$2:$H$80,3,0),0)</f>
        <v>1236</v>
      </c>
      <c r="O157" s="1496">
        <f>IFERROR(SUMIFS('[1]INF GENERAL'!$L:$L,'[1]INF GENERAL'!$J:$J,Tabla16[[#This Row],[Código]]),0)</f>
        <v>0</v>
      </c>
      <c r="P157" s="1496">
        <f>IFERROR(VLOOKUP($E$8:$E$196,'[1]INF GENERAL'!$V$2:$X$119,3,0),0)</f>
        <v>0</v>
      </c>
      <c r="Q157" s="1496">
        <f>IFERROR(SUMIFS('[1]INF GENERAL'!$P:$P,'[1]INF GENERAL'!$N:$N,Tabla16[[#This Row],[Código]]),0)</f>
        <v>0</v>
      </c>
      <c r="R157" s="1496">
        <f>IFERROR(VLOOKUP($E$8:$E$196,'[1]INF GENERAL'!$R$2:$T$119,3,0),0)</f>
        <v>0</v>
      </c>
      <c r="S157" s="1496">
        <f>IF(G157=0,0,(G157-(O157+P157)))</f>
        <v>1350</v>
      </c>
      <c r="T157" s="1496">
        <f t="shared" si="32"/>
        <v>1350</v>
      </c>
      <c r="U157" s="1497">
        <f t="shared" si="27"/>
        <v>0</v>
      </c>
      <c r="V157" s="1498" t="str">
        <f>IF((Q157)&lt;J157,"INV&lt;7",IF((Q157)&lt;L157,"7≤INV≤20","INV&gt;20"))</f>
        <v>INV&lt;7</v>
      </c>
      <c r="X157" s="1532">
        <f t="shared" si="37"/>
        <v>0</v>
      </c>
      <c r="Y157" s="1532">
        <f>+X157/Tabla16[[#This Row],[VENTA / DIA]]</f>
        <v>0</v>
      </c>
      <c r="Z157" s="1532">
        <v>0</v>
      </c>
      <c r="AA157" s="1533"/>
      <c r="AB157" s="1533"/>
      <c r="AC157" s="1480" t="s">
        <v>147</v>
      </c>
    </row>
    <row r="158" spans="1:30" hidden="1">
      <c r="A158" s="1488" t="s">
        <v>893</v>
      </c>
      <c r="B158" s="1488" t="s">
        <v>1142</v>
      </c>
      <c r="C158" s="1489" t="s">
        <v>1158</v>
      </c>
      <c r="D158" s="1489" t="s">
        <v>1148</v>
      </c>
      <c r="E158" s="1488" t="s">
        <v>1171</v>
      </c>
      <c r="F158" s="1488" t="s">
        <v>1172</v>
      </c>
      <c r="G158" s="1512">
        <v>1889</v>
      </c>
      <c r="H158" s="1492"/>
      <c r="I158" s="1492">
        <f t="shared" si="34"/>
        <v>94.45</v>
      </c>
      <c r="J158" s="1493">
        <f t="shared" si="38"/>
        <v>661.15</v>
      </c>
      <c r="K158" s="1492">
        <f t="shared" si="30"/>
        <v>1416.75</v>
      </c>
      <c r="L158" s="1494">
        <f t="shared" si="31"/>
        <v>1889</v>
      </c>
      <c r="M158" s="1505">
        <f>IFERROR(VLOOKUP($E$8:$E$196,'[1]INF GENERAL'!$B$2:$D$135,3,0),0)</f>
        <v>904</v>
      </c>
      <c r="N158" s="1496">
        <f>IFERROR(VLOOKUP($E$8:$E$196,'[1]INF GENERAL'!$F$2:$H$80,3,0),0)</f>
        <v>0</v>
      </c>
      <c r="O158" s="1496">
        <f>IFERROR(SUMIFS('[1]INF GENERAL'!$L:$L,'[1]INF GENERAL'!$J:$J,Tabla16[[#This Row],[Código]]),0)</f>
        <v>0</v>
      </c>
      <c r="P158" s="1496">
        <f>IFERROR(VLOOKUP($E$8:$E$196,'[1]INF GENERAL'!$V$2:$X$119,3,0),0)</f>
        <v>0</v>
      </c>
      <c r="Q158" s="1496">
        <f>IFERROR(SUMIFS('[1]INF GENERAL'!$P:$P,'[1]INF GENERAL'!$N:$N,Tabla16[[#This Row],[Código]]),0)</f>
        <v>0</v>
      </c>
      <c r="R158" s="1537">
        <f>IFERROR(VLOOKUP($E$8:$E$196,'[1]INF GENERAL'!$R$2:$T$119,3,0),0)</f>
        <v>0</v>
      </c>
      <c r="S158" s="1496">
        <f>IF(G158=0,0,(G158-(O158+P158)))</f>
        <v>1889</v>
      </c>
      <c r="T158" s="1496">
        <f t="shared" si="32"/>
        <v>1889</v>
      </c>
      <c r="U158" s="1497">
        <f t="shared" si="27"/>
        <v>0</v>
      </c>
      <c r="V158" s="1498" t="str">
        <f>IF((Q158)&lt;J158,"INV&lt;7",IF((Q158)&lt;L158,"7≤INV≤20","INV&gt;20"))</f>
        <v>INV&lt;7</v>
      </c>
      <c r="X158" s="1532">
        <f t="shared" si="37"/>
        <v>0</v>
      </c>
      <c r="Y158" s="1532">
        <f>+X158/Tabla16[[#This Row],[VENTA / DIA]]</f>
        <v>0</v>
      </c>
      <c r="Z158" s="1532">
        <v>0</v>
      </c>
      <c r="AA158" s="1533"/>
      <c r="AB158" s="1526"/>
      <c r="AD158" s="1510"/>
    </row>
    <row r="159" spans="1:30" hidden="1">
      <c r="A159" s="1488" t="s">
        <v>829</v>
      </c>
      <c r="B159" s="1488" t="s">
        <v>1142</v>
      </c>
      <c r="C159" s="1489" t="s">
        <v>1158</v>
      </c>
      <c r="D159" s="1489" t="s">
        <v>1173</v>
      </c>
      <c r="E159" s="1538" t="s">
        <v>1174</v>
      </c>
      <c r="F159" s="1527" t="s">
        <v>1175</v>
      </c>
      <c r="G159" s="1503"/>
      <c r="H159" s="1491"/>
      <c r="I159" s="1492"/>
      <c r="J159" s="1493">
        <f>+I159*$J$6+I159*$J$6*0.2</f>
        <v>0</v>
      </c>
      <c r="K159" s="1492">
        <f>+I159*$K$6</f>
        <v>0</v>
      </c>
      <c r="L159" s="1494">
        <f>+I159*$L$6</f>
        <v>0</v>
      </c>
      <c r="M159" s="1505">
        <f>IFERROR(VLOOKUP($E$8:$E$196,'[1]INF GENERAL'!$B$2:$D$135,3,0),0)</f>
        <v>0</v>
      </c>
      <c r="N159" s="1496">
        <f>IFERROR(VLOOKUP($E$8:$E$196,'[1]INF GENERAL'!$F$2:$H$80,3,0),0)</f>
        <v>0</v>
      </c>
      <c r="O159" s="1496"/>
      <c r="P159" s="1496">
        <f>IFERROR(VLOOKUP($E$8:$E$196,'[1]INF GENERAL'!$V$2:$X$119,3,0),0)</f>
        <v>0</v>
      </c>
      <c r="Q159" s="1539"/>
      <c r="R159" s="1537">
        <f>IFERROR(VLOOKUP($E$8:$E$196,'[1]INF GENERAL'!$R$2:$T$119,3,0),0)</f>
        <v>0</v>
      </c>
      <c r="S159" s="1540">
        <f>+Tabla16[[#This Row],[ENTRADAS (PROD)]]</f>
        <v>0</v>
      </c>
      <c r="T159" s="1496">
        <f t="shared" si="32"/>
        <v>0</v>
      </c>
      <c r="U159" s="1497">
        <f t="shared" si="27"/>
        <v>0</v>
      </c>
      <c r="V159" s="1524" t="str">
        <f>IF((Q159)&lt;J159,"QUIEBRE",IF((Q159)&lt;L159,"VIGILAR","NO CRITICO"))</f>
        <v>NO CRITICO</v>
      </c>
      <c r="X159" s="1534"/>
      <c r="Y159" s="1535"/>
      <c r="Z159" s="1536"/>
      <c r="AA159" s="1533"/>
      <c r="AB159" s="1526"/>
      <c r="AD159" s="1510"/>
    </row>
    <row r="160" spans="1:30" hidden="1">
      <c r="A160" s="1488" t="s">
        <v>893</v>
      </c>
      <c r="B160" s="1488" t="s">
        <v>1142</v>
      </c>
      <c r="C160" s="1489" t="s">
        <v>1143</v>
      </c>
      <c r="D160" s="1489" t="s">
        <v>1176</v>
      </c>
      <c r="E160" s="1488" t="s">
        <v>1177</v>
      </c>
      <c r="F160" s="1488" t="s">
        <v>1178</v>
      </c>
      <c r="G160" s="1512">
        <v>6000</v>
      </c>
      <c r="H160" s="1492"/>
      <c r="I160" s="1492">
        <f t="shared" ref="I160:I196" si="39">+G160/$L$6</f>
        <v>300</v>
      </c>
      <c r="J160" s="1493">
        <f t="shared" si="38"/>
        <v>2100</v>
      </c>
      <c r="K160" s="1492">
        <f t="shared" si="30"/>
        <v>4500</v>
      </c>
      <c r="L160" s="1494">
        <f t="shared" si="31"/>
        <v>6000</v>
      </c>
      <c r="M160" s="1505">
        <f>IFERROR(VLOOKUP($E$8:$E$196,'[1]INF GENERAL'!$B$2:$D$135,3,0),0)</f>
        <v>1494</v>
      </c>
      <c r="N160" s="1496">
        <f>IFERROR(VLOOKUP($E$8:$E$196,'[1]INF GENERAL'!$F$2:$H$80,3,0),0)</f>
        <v>6761</v>
      </c>
      <c r="O160" s="1496">
        <f>IFERROR(SUMIFS('[1]INF GENERAL'!$L:$L,'[1]INF GENERAL'!$J:$J,Tabla16[[#This Row],[Código]]),0)</f>
        <v>0</v>
      </c>
      <c r="P160" s="1496">
        <f>IFERROR(VLOOKUP($E$8:$E$196,'[1]INF GENERAL'!$V$2:$X$119,3,0),0)</f>
        <v>0</v>
      </c>
      <c r="Q160" s="1496">
        <f>IFERROR(SUMIFS('[1]INF GENERAL'!$P:$P,'[1]INF GENERAL'!$N:$N,Tabla16[[#This Row],[Código]]),0)</f>
        <v>0</v>
      </c>
      <c r="R160" s="1496">
        <f>IFERROR(VLOOKUP($E$8:$E$196,'[1]INF GENERAL'!$R$2:$T$119,3,0),0)</f>
        <v>0</v>
      </c>
      <c r="S160" s="1496">
        <f>IF(G160=0,0,(G160-(O160+P160)))</f>
        <v>6000</v>
      </c>
      <c r="T160" s="1496">
        <f t="shared" si="32"/>
        <v>6000</v>
      </c>
      <c r="U160" s="1497">
        <f t="shared" si="27"/>
        <v>0</v>
      </c>
      <c r="V160" s="1498" t="str">
        <f>IF((Q160)&lt;J160,"INV&lt;7",IF((Q160)&lt;L160,"7≤INV≤20","INV&gt;20"))</f>
        <v>INV&lt;7</v>
      </c>
      <c r="X160" s="1532">
        <f t="shared" ref="X160:X168" si="40">+Q160-Z160</f>
        <v>0</v>
      </c>
      <c r="Y160" s="1532">
        <f>+X160/Tabla16[[#This Row],[VENTA / DIA]]</f>
        <v>0</v>
      </c>
      <c r="Z160" s="1532">
        <v>0</v>
      </c>
    </row>
    <row r="161" spans="1:28" hidden="1">
      <c r="A161" s="1488" t="s">
        <v>893</v>
      </c>
      <c r="B161" s="1488" t="s">
        <v>1142</v>
      </c>
      <c r="C161" s="1489" t="s">
        <v>1158</v>
      </c>
      <c r="D161" s="1489" t="s">
        <v>1176</v>
      </c>
      <c r="E161" s="1488" t="s">
        <v>1179</v>
      </c>
      <c r="F161" s="1488" t="s">
        <v>1180</v>
      </c>
      <c r="G161" s="1512">
        <v>3363</v>
      </c>
      <c r="H161" s="1492"/>
      <c r="I161" s="1492">
        <f t="shared" si="39"/>
        <v>168.15</v>
      </c>
      <c r="J161" s="1493">
        <f t="shared" si="38"/>
        <v>1177.05</v>
      </c>
      <c r="K161" s="1492">
        <f t="shared" si="30"/>
        <v>2522.25</v>
      </c>
      <c r="L161" s="1494">
        <f t="shared" si="31"/>
        <v>3363</v>
      </c>
      <c r="M161" s="1505">
        <f>IFERROR(VLOOKUP($E$8:$E$196,'[1]INF GENERAL'!$B$2:$D$135,3,0),0)</f>
        <v>314</v>
      </c>
      <c r="N161" s="1496">
        <f>IFERROR(VLOOKUP($E$8:$E$196,'[1]INF GENERAL'!$F$2:$H$80,3,0),0)</f>
        <v>4408</v>
      </c>
      <c r="O161" s="1496">
        <f>IFERROR(SUMIFS('[1]INF GENERAL'!$L:$L,'[1]INF GENERAL'!$J:$J,Tabla16[[#This Row],[Código]]),0)</f>
        <v>0</v>
      </c>
      <c r="P161" s="1496">
        <f>IFERROR(VLOOKUP($E$8:$E$196,'[1]INF GENERAL'!$V$2:$X$119,3,0),0)</f>
        <v>0</v>
      </c>
      <c r="Q161" s="1496">
        <f>IFERROR(SUMIFS('[1]INF GENERAL'!$P:$P,'[1]INF GENERAL'!$N:$N,Tabla16[[#This Row],[Código]]),0)</f>
        <v>0</v>
      </c>
      <c r="R161" s="1496">
        <f>IFERROR(VLOOKUP($E$8:$E$196,'[1]INF GENERAL'!$R$2:$T$119,3,0),0)</f>
        <v>0</v>
      </c>
      <c r="S161" s="1496">
        <f>IF(G161=0,0,(G161-(O161+P161)))</f>
        <v>3363</v>
      </c>
      <c r="T161" s="1496">
        <f t="shared" si="32"/>
        <v>3363</v>
      </c>
      <c r="U161" s="1497">
        <f t="shared" si="27"/>
        <v>0</v>
      </c>
      <c r="V161" s="1498" t="str">
        <f>IF((Q161)&lt;J161,"INV&lt;7",IF((Q161)&lt;L161,"7≤INV≤20","INV&gt;20"))</f>
        <v>INV&lt;7</v>
      </c>
      <c r="X161" s="1532">
        <f t="shared" si="40"/>
        <v>0</v>
      </c>
      <c r="Y161" s="1532">
        <f>+X161/Tabla16[[#This Row],[VENTA / DIA]]</f>
        <v>0</v>
      </c>
      <c r="Z161" s="1532">
        <v>0</v>
      </c>
      <c r="AA161" s="1526"/>
    </row>
    <row r="162" spans="1:28" hidden="1">
      <c r="A162" s="1488" t="s">
        <v>829</v>
      </c>
      <c r="B162" s="1488" t="s">
        <v>1142</v>
      </c>
      <c r="C162" s="1489" t="s">
        <v>1161</v>
      </c>
      <c r="D162" s="1489" t="s">
        <v>1176</v>
      </c>
      <c r="E162" s="1488" t="s">
        <v>1181</v>
      </c>
      <c r="F162" s="1488" t="s">
        <v>1182</v>
      </c>
      <c r="G162" s="1512"/>
      <c r="H162" s="1492"/>
      <c r="I162" s="1492">
        <f t="shared" si="39"/>
        <v>0</v>
      </c>
      <c r="J162" s="1493">
        <f t="shared" si="38"/>
        <v>0</v>
      </c>
      <c r="K162" s="1492">
        <f t="shared" si="30"/>
        <v>0</v>
      </c>
      <c r="L162" s="1494">
        <f t="shared" si="31"/>
        <v>0</v>
      </c>
      <c r="M162" s="1505">
        <f>IFERROR(VLOOKUP($E$8:$E$196,'[1]INF GENERAL'!$B$2:$D$135,3,0),0)</f>
        <v>0</v>
      </c>
      <c r="N162" s="1496">
        <f>IFERROR(VLOOKUP($E$8:$E$196,'[1]INF GENERAL'!$F$2:$H$80,3,0),0)</f>
        <v>0</v>
      </c>
      <c r="O162" s="1496">
        <f>IFERROR(SUMIFS('[1]INF GENERAL'!$L:$L,'[1]INF GENERAL'!$J:$J,Tabla16[[#This Row],[Código]]),0)</f>
        <v>0</v>
      </c>
      <c r="P162" s="1500">
        <f>IFERROR(VLOOKUP($E$8:$E$196,'[1]INF GENERAL'!$V$2:$X$119,3,0),0)</f>
        <v>0</v>
      </c>
      <c r="Q162" s="1496">
        <f>IFERROR(SUMIFS('[1]INF GENERAL'!$P:$P,'[1]INF GENERAL'!$N:$N,Tabla16[[#This Row],[Código]]),0)</f>
        <v>0</v>
      </c>
      <c r="R162" s="1496">
        <f>IFERROR(VLOOKUP($E$8:$E$196,'[1]INF GENERAL'!$R$2:$T$119,3,0),0)</f>
        <v>0</v>
      </c>
      <c r="S162" s="1496">
        <f>IF(G162=0,0,(G162-O162))</f>
        <v>0</v>
      </c>
      <c r="T162" s="1496">
        <f t="shared" si="32"/>
        <v>0</v>
      </c>
      <c r="U162" s="1497">
        <f t="shared" si="27"/>
        <v>0</v>
      </c>
      <c r="V162" s="1498" t="str">
        <f>IF((Q162)&lt;J162,"QUIEBRE",IF((Q162)&lt;L162,"VIGILAR","NO CRITICO"))</f>
        <v>NO CRITICO</v>
      </c>
      <c r="X162" s="1532">
        <f t="shared" si="40"/>
        <v>0</v>
      </c>
      <c r="Y162" s="1541" t="e">
        <f>+X162/Tabla16[[#This Row],[VENTA / DIA]]</f>
        <v>#DIV/0!</v>
      </c>
      <c r="Z162" s="1542">
        <v>0</v>
      </c>
    </row>
    <row r="163" spans="1:28" hidden="1">
      <c r="A163" s="1488" t="s">
        <v>829</v>
      </c>
      <c r="B163" s="1488" t="s">
        <v>1142</v>
      </c>
      <c r="C163" s="1489" t="s">
        <v>1168</v>
      </c>
      <c r="D163" s="1489" t="s">
        <v>1176</v>
      </c>
      <c r="E163" s="1488" t="s">
        <v>1183</v>
      </c>
      <c r="F163" s="1488" t="s">
        <v>1184</v>
      </c>
      <c r="G163" s="1503"/>
      <c r="H163" s="1491"/>
      <c r="I163" s="1492">
        <f t="shared" si="39"/>
        <v>0</v>
      </c>
      <c r="J163" s="1493">
        <f t="shared" si="38"/>
        <v>0</v>
      </c>
      <c r="K163" s="1492">
        <f t="shared" si="30"/>
        <v>0</v>
      </c>
      <c r="L163" s="1494">
        <f t="shared" si="31"/>
        <v>0</v>
      </c>
      <c r="M163" s="1505">
        <f>IFERROR(VLOOKUP($E$8:$E$196,'[1]INF GENERAL'!$B$2:$D$135,3,0),0)</f>
        <v>0</v>
      </c>
      <c r="N163" s="1496">
        <f>IFERROR(VLOOKUP($E$8:$E$196,'[1]INF GENERAL'!$F$2:$H$80,3,0),0)</f>
        <v>0</v>
      </c>
      <c r="O163" s="1496">
        <f>IFERROR(SUMIFS('[1]INF GENERAL'!$L:$L,'[1]INF GENERAL'!$J:$J,Tabla16[[#This Row],[Código]]),0)</f>
        <v>0</v>
      </c>
      <c r="P163" s="1500">
        <f>IFERROR(VLOOKUP($E$8:$E$196,'[1]INF GENERAL'!$V$2:$X$119,3,0),0)</f>
        <v>0</v>
      </c>
      <c r="Q163" s="1496">
        <f>IFERROR(SUMIFS('[1]INF GENERAL'!$P:$P,'[1]INF GENERAL'!$N:$N,Tabla16[[#This Row],[Código]]),0)</f>
        <v>0</v>
      </c>
      <c r="R163" s="1496">
        <f>IFERROR(VLOOKUP($E$8:$E$196,'[1]INF GENERAL'!$R$2:$T$119,3,0),0)</f>
        <v>0</v>
      </c>
      <c r="S163" s="1496">
        <f>IF(G163=0,0,(G163-O163))</f>
        <v>0</v>
      </c>
      <c r="T163" s="1496">
        <f t="shared" si="32"/>
        <v>0</v>
      </c>
      <c r="U163" s="1497">
        <f t="shared" si="27"/>
        <v>0</v>
      </c>
      <c r="V163" s="1498" t="str">
        <f>IF((Q163)&lt;J163,"QUIEBRE",IF((Q163)&lt;L163,"VIGILAR","NO CRITICO"))</f>
        <v>NO CRITICO</v>
      </c>
      <c r="X163" s="1532">
        <f t="shared" si="40"/>
        <v>0</v>
      </c>
      <c r="Y163" s="1543" t="e">
        <f>+X163/Tabla16[[#This Row],[VENTA / DIA]]</f>
        <v>#DIV/0!</v>
      </c>
      <c r="Z163" s="1544">
        <v>0</v>
      </c>
    </row>
    <row r="164" spans="1:28" hidden="1">
      <c r="A164" s="1488" t="s">
        <v>893</v>
      </c>
      <c r="B164" s="1488" t="s">
        <v>1142</v>
      </c>
      <c r="C164" s="1489" t="s">
        <v>1168</v>
      </c>
      <c r="D164" s="1489" t="s">
        <v>1176</v>
      </c>
      <c r="E164" s="1488" t="s">
        <v>1185</v>
      </c>
      <c r="F164" s="1488" t="s">
        <v>1186</v>
      </c>
      <c r="G164" s="1512">
        <v>1350</v>
      </c>
      <c r="H164" s="1492"/>
      <c r="I164" s="1492">
        <f t="shared" si="39"/>
        <v>67.5</v>
      </c>
      <c r="J164" s="1493">
        <f t="shared" si="38"/>
        <v>472.5</v>
      </c>
      <c r="K164" s="1492">
        <f t="shared" si="30"/>
        <v>1012.5</v>
      </c>
      <c r="L164" s="1494">
        <f t="shared" si="31"/>
        <v>1350</v>
      </c>
      <c r="M164" s="1505">
        <f>IFERROR(VLOOKUP($E$8:$E$196,'[1]INF GENERAL'!$B$2:$D$135,3,0),0)</f>
        <v>55</v>
      </c>
      <c r="N164" s="1496">
        <f>IFERROR(VLOOKUP($E$8:$E$196,'[1]INF GENERAL'!$F$2:$H$80,3,0),0)</f>
        <v>2907</v>
      </c>
      <c r="O164" s="1496">
        <f>IFERROR(SUMIFS('[1]INF GENERAL'!$L:$L,'[1]INF GENERAL'!$J:$J,Tabla16[[#This Row],[Código]]),0)</f>
        <v>0</v>
      </c>
      <c r="P164" s="1496">
        <f>IFERROR(VLOOKUP($E$8:$E$196,'[1]INF GENERAL'!$V$2:$X$119,3,0),0)</f>
        <v>0</v>
      </c>
      <c r="Q164" s="1496">
        <f>IFERROR(SUMIFS('[1]INF GENERAL'!$P:$P,'[1]INF GENERAL'!$N:$N,Tabla16[[#This Row],[Código]]),0)</f>
        <v>0</v>
      </c>
      <c r="R164" s="1496">
        <f>IFERROR(VLOOKUP($E$8:$E$196,'[1]INF GENERAL'!$R$2:$T$119,3,0),0)</f>
        <v>0</v>
      </c>
      <c r="S164" s="1496">
        <f>IF(G164=0,0,(G164-(O164+P164)))</f>
        <v>1350</v>
      </c>
      <c r="T164" s="1496">
        <f t="shared" si="32"/>
        <v>1350</v>
      </c>
      <c r="U164" s="1497">
        <f t="shared" si="27"/>
        <v>0</v>
      </c>
      <c r="V164" s="1498" t="str">
        <f>IF((Q164)&lt;J164,"INV&lt;7",IF((Q164)&lt;L164,"7≤INV≤20","INV&gt;20"))</f>
        <v>INV&lt;7</v>
      </c>
      <c r="X164" s="1532">
        <f t="shared" si="40"/>
        <v>-1016</v>
      </c>
      <c r="Y164" s="1532">
        <f>+X164/Tabla16[[#This Row],[VENTA / DIA]]</f>
        <v>-15.051851851851852</v>
      </c>
      <c r="Z164" s="1532">
        <v>1016</v>
      </c>
      <c r="AA164" s="1533"/>
      <c r="AB164" s="1526"/>
    </row>
    <row r="165" spans="1:28" hidden="1">
      <c r="A165" s="1488" t="s">
        <v>893</v>
      </c>
      <c r="B165" s="1488" t="s">
        <v>1142</v>
      </c>
      <c r="C165" s="1489" t="s">
        <v>1158</v>
      </c>
      <c r="D165" s="1489" t="s">
        <v>1176</v>
      </c>
      <c r="E165" s="1488" t="s">
        <v>1187</v>
      </c>
      <c r="F165" s="1488" t="s">
        <v>1188</v>
      </c>
      <c r="G165" s="1512">
        <v>308</v>
      </c>
      <c r="H165" s="1491">
        <v>0</v>
      </c>
      <c r="I165" s="1492">
        <f t="shared" si="39"/>
        <v>15.4</v>
      </c>
      <c r="J165" s="1493">
        <f t="shared" si="38"/>
        <v>107.8</v>
      </c>
      <c r="K165" s="1492">
        <f t="shared" si="30"/>
        <v>231</v>
      </c>
      <c r="L165" s="1494">
        <f t="shared" si="31"/>
        <v>308</v>
      </c>
      <c r="M165" s="1505">
        <f>IFERROR(VLOOKUP($E$8:$E$196,'[1]INF GENERAL'!$B$2:$D$135,3,0),0)</f>
        <v>263</v>
      </c>
      <c r="N165" s="1496">
        <f>IFERROR(VLOOKUP($E$8:$E$196,'[1]INF GENERAL'!$F$2:$H$80,3,0),0)</f>
        <v>0</v>
      </c>
      <c r="O165" s="1496">
        <f>IFERROR(SUMIFS('[1]INF GENERAL'!$L:$L,'[1]INF GENERAL'!$J:$J,Tabla16[[#This Row],[Código]]),0)</f>
        <v>0</v>
      </c>
      <c r="P165" s="1500">
        <f>IFERROR(VLOOKUP($E$8:$E$196,'[1]INF GENERAL'!$V$2:$X$119,3,0),0)</f>
        <v>0</v>
      </c>
      <c r="Q165" s="1496">
        <f>IFERROR(SUMIFS('[1]INF GENERAL'!$P:$P,'[1]INF GENERAL'!$N:$N,Tabla16[[#This Row],[Código]]),0)</f>
        <v>0</v>
      </c>
      <c r="R165" s="1496">
        <f>IFERROR(VLOOKUP($E$8:$E$196,'[1]INF GENERAL'!$R$2:$T$119,3,0),0)</f>
        <v>0</v>
      </c>
      <c r="S165" s="1496">
        <f>IF(G165=0,0,(G165-O165))</f>
        <v>308</v>
      </c>
      <c r="T165" s="1496">
        <f t="shared" si="32"/>
        <v>308</v>
      </c>
      <c r="U165" s="1497">
        <f t="shared" si="27"/>
        <v>0</v>
      </c>
      <c r="V165" s="1498" t="str">
        <f t="shared" ref="V165:V166" si="41">IF((Q165)&lt;J165,"INV&lt;7",IF((Q165)&lt;L165,"7≤INV≤20","INV&gt;20"))</f>
        <v>INV&lt;7</v>
      </c>
      <c r="X165" s="1532">
        <f t="shared" si="40"/>
        <v>0</v>
      </c>
      <c r="Y165" s="1532">
        <f>+X165/Tabla16[[#This Row],[VENTA / DIA]]</f>
        <v>0</v>
      </c>
      <c r="Z165" s="1532">
        <f>907-907</f>
        <v>0</v>
      </c>
      <c r="AA165" s="1533"/>
      <c r="AB165" s="1526"/>
    </row>
    <row r="166" spans="1:28" hidden="1">
      <c r="A166" s="1488" t="s">
        <v>893</v>
      </c>
      <c r="B166" s="1488" t="s">
        <v>1142</v>
      </c>
      <c r="C166" s="1489" t="s">
        <v>1158</v>
      </c>
      <c r="D166" s="1488" t="s">
        <v>1176</v>
      </c>
      <c r="E166" s="1545" t="s">
        <v>1189</v>
      </c>
      <c r="F166" s="1488" t="s">
        <v>1182</v>
      </c>
      <c r="G166" s="1512">
        <v>1132</v>
      </c>
      <c r="H166" s="1492"/>
      <c r="I166" s="1492">
        <f t="shared" si="39"/>
        <v>56.6</v>
      </c>
      <c r="J166" s="1493">
        <f>+I166*$J$6+I166*$J$6*0.2</f>
        <v>475.44</v>
      </c>
      <c r="K166" s="1492">
        <f>+I166*$K$6</f>
        <v>849</v>
      </c>
      <c r="L166" s="1494">
        <f>+I166*$L$6</f>
        <v>1132</v>
      </c>
      <c r="M166" s="1505">
        <f>IFERROR(VLOOKUP($E$8:$E$196,'[1]INF GENERAL'!$B$2:$D$135,3,0),0)</f>
        <v>1310</v>
      </c>
      <c r="N166" s="1496">
        <f>IFERROR(VLOOKUP($E$8:$E$196,'[1]INF GENERAL'!$F$2:$H$80,3,0),0)</f>
        <v>0</v>
      </c>
      <c r="O166" s="1496">
        <f>IFERROR(SUMIFS('[1]INF GENERAL'!$L:$L,'[1]INF GENERAL'!$J:$J,Tabla16[[#This Row],[Código]]),0)</f>
        <v>0</v>
      </c>
      <c r="P166" s="1496">
        <f>IFERROR(VLOOKUP($E$8:$E$196,'[1]INF GENERAL'!$V$2:$X$119,3,0),0)</f>
        <v>0</v>
      </c>
      <c r="Q166" s="1496">
        <f>IFERROR(SUMIFS('[1]INF GENERAL'!$P:$P,'[1]INF GENERAL'!$N:$N,Tabla16[[#This Row],[Código]]),0)</f>
        <v>0</v>
      </c>
      <c r="R166" s="1496">
        <f>IFERROR(VLOOKUP($E$8:$E$196,'[1]INF GENERAL'!$R$2:$T$119,3,0),0)</f>
        <v>0</v>
      </c>
      <c r="S166" s="1540">
        <f>+Tabla16[[#This Row],[ENTRADAS (PROD)]]</f>
        <v>0</v>
      </c>
      <c r="T166" s="1496">
        <f>IF(G166=0,0,(G166-(Q166+O166)))</f>
        <v>1132</v>
      </c>
      <c r="U166" s="1497">
        <f t="shared" si="27"/>
        <v>0</v>
      </c>
      <c r="V166" s="1498" t="str">
        <f t="shared" si="41"/>
        <v>INV&lt;7</v>
      </c>
      <c r="X166" s="1532">
        <f t="shared" si="40"/>
        <v>0</v>
      </c>
      <c r="Y166" s="1532">
        <f>+X166/Tabla16[[#This Row],[VENTA / DIA]]</f>
        <v>0</v>
      </c>
      <c r="Z166" s="1532">
        <v>0</v>
      </c>
      <c r="AA166" s="1533"/>
      <c r="AB166" s="1526"/>
    </row>
    <row r="167" spans="1:28" hidden="1">
      <c r="A167" s="1488" t="s">
        <v>893</v>
      </c>
      <c r="B167" s="1488" t="s">
        <v>1142</v>
      </c>
      <c r="C167" s="1489" t="s">
        <v>1158</v>
      </c>
      <c r="D167" s="1488" t="s">
        <v>1176</v>
      </c>
      <c r="E167" s="1545" t="s">
        <v>1190</v>
      </c>
      <c r="F167" s="1488" t="s">
        <v>1191</v>
      </c>
      <c r="G167" s="1512">
        <v>600</v>
      </c>
      <c r="H167" s="1492"/>
      <c r="I167" s="1492">
        <f t="shared" si="39"/>
        <v>30</v>
      </c>
      <c r="J167" s="1493">
        <f>+I167*$J$6+I167*$J$6*0.2</f>
        <v>252</v>
      </c>
      <c r="K167" s="1492">
        <f>+I167*$K$6</f>
        <v>450</v>
      </c>
      <c r="L167" s="1494">
        <f>+I167*$L$6</f>
        <v>600</v>
      </c>
      <c r="M167" s="1505">
        <f>IFERROR(VLOOKUP($E$8:$E$196,'[1]INF GENERAL'!$B$2:$D$135,3,0),0)</f>
        <v>1001</v>
      </c>
      <c r="N167" s="1496">
        <f>IFERROR(VLOOKUP($E$8:$E$196,'[1]INF GENERAL'!$F$2:$H$80,3,0),0)</f>
        <v>0</v>
      </c>
      <c r="O167" s="1496">
        <f>IFERROR(SUMIFS('[1]INF GENERAL'!$L:$L,'[1]INF GENERAL'!$J:$J,Tabla16[[#This Row],[Código]]),0)</f>
        <v>0</v>
      </c>
      <c r="P167" s="1496">
        <f>IFERROR(VLOOKUP($E$8:$E$196,'[1]INF GENERAL'!$V$2:$X$119,3,0),0)</f>
        <v>0</v>
      </c>
      <c r="Q167" s="1496">
        <f>IFERROR(SUMIFS('[1]INF GENERAL'!$P:$P,'[1]INF GENERAL'!$N:$N,Tabla16[[#This Row],[Código]]),0)</f>
        <v>0</v>
      </c>
      <c r="R167" s="1496">
        <f>IFERROR(VLOOKUP($E$8:$E$196,'[1]INF GENERAL'!$R$2:$T$119,3,0),0)</f>
        <v>0</v>
      </c>
      <c r="S167" s="1540">
        <f>+Tabla16[[#This Row],[ENTRADAS (PROD)]]</f>
        <v>0</v>
      </c>
      <c r="T167" s="1496">
        <f>IF(G167=0,0,(G167-(Q167+O167)))</f>
        <v>600</v>
      </c>
      <c r="U167" s="1497">
        <f t="shared" si="27"/>
        <v>0</v>
      </c>
      <c r="V167" s="1498" t="str">
        <f>IF((Q167)&lt;J167,"INV&lt;7",IF((Q167)&lt;L167,"7≤INV≤20","INV&gt;20"))</f>
        <v>INV&lt;7</v>
      </c>
      <c r="X167" s="1532">
        <f t="shared" si="40"/>
        <v>0</v>
      </c>
      <c r="Y167" s="1532">
        <f>+X167/Tabla16[[#This Row],[VENTA / DIA]]</f>
        <v>0</v>
      </c>
      <c r="Z167" s="1532">
        <v>0</v>
      </c>
      <c r="AA167" s="1533"/>
      <c r="AB167" s="1526"/>
    </row>
    <row r="168" spans="1:28" hidden="1">
      <c r="A168" s="1488" t="s">
        <v>829</v>
      </c>
      <c r="B168" s="1488" t="s">
        <v>973</v>
      </c>
      <c r="C168" s="1489" t="s">
        <v>1192</v>
      </c>
      <c r="D168" s="1489" t="s">
        <v>1193</v>
      </c>
      <c r="E168" s="1488" t="s">
        <v>1194</v>
      </c>
      <c r="F168" s="1488" t="s">
        <v>1195</v>
      </c>
      <c r="G168" s="1512"/>
      <c r="H168" s="1492"/>
      <c r="I168" s="1492">
        <f t="shared" si="39"/>
        <v>0</v>
      </c>
      <c r="J168" s="1493">
        <f t="shared" si="38"/>
        <v>0</v>
      </c>
      <c r="K168" s="1492">
        <f t="shared" si="30"/>
        <v>0</v>
      </c>
      <c r="L168" s="1494">
        <f t="shared" si="31"/>
        <v>0</v>
      </c>
      <c r="M168" s="1505">
        <f>IFERROR(VLOOKUP($E$8:$E$196,'[1]INF GENERAL'!$B$2:$D$135,3,0),0)</f>
        <v>0</v>
      </c>
      <c r="N168" s="1496">
        <f>IFERROR(VLOOKUP($E$8:$E$196,'[1]INF GENERAL'!$F$2:$H$80,3,0),0)</f>
        <v>0</v>
      </c>
      <c r="O168" s="1496">
        <f>IFERROR(SUMIFS('[1]INF GENERAL'!$L:$L,'[1]INF GENERAL'!$J:$J,Tabla16[[#This Row],[Código]]),0)</f>
        <v>0</v>
      </c>
      <c r="P168" s="1500">
        <f>IFERROR(VLOOKUP($E$8:$E$196,'[1]INF GENERAL'!$V$2:$X$119,3,0),0)</f>
        <v>0</v>
      </c>
      <c r="Q168" s="1496">
        <f>IFERROR(SUMIFS('[1]INF GENERAL'!$P:$P,'[1]INF GENERAL'!$N:$N,Tabla16[[#This Row],[Código]]),0)</f>
        <v>0</v>
      </c>
      <c r="R168" s="1496">
        <f>IFERROR(VLOOKUP($E$8:$E$196,'[1]INF GENERAL'!$R$2:$T$119,3,0),0)</f>
        <v>0</v>
      </c>
      <c r="S168" s="1496">
        <f>IF(G168=0,0,(G168-O168))</f>
        <v>0</v>
      </c>
      <c r="T168" s="1496">
        <f t="shared" si="32"/>
        <v>0</v>
      </c>
      <c r="U168" s="1497">
        <f t="shared" si="27"/>
        <v>0</v>
      </c>
      <c r="V168" s="1498" t="str">
        <f>IF((Q168)&lt;J168,"QUIEBRE",IF((Q168)&lt;L168,"VIGILAR","NO CRITICO"))</f>
        <v>NO CRITICO</v>
      </c>
      <c r="W168" s="1478"/>
      <c r="X168" s="1543">
        <f t="shared" si="40"/>
        <v>0</v>
      </c>
      <c r="Y168" s="1543" t="e">
        <f>+X168/Tabla16[[#This Row],[VENTA / DIA]]</f>
        <v>#DIV/0!</v>
      </c>
      <c r="Z168" s="1536">
        <f>907-907</f>
        <v>0</v>
      </c>
      <c r="AA168" s="1533"/>
    </row>
    <row r="169" spans="1:28" s="1546" customFormat="1" hidden="1">
      <c r="A169" s="1488" t="s">
        <v>893</v>
      </c>
      <c r="B169" s="1488" t="s">
        <v>973</v>
      </c>
      <c r="C169" s="1489" t="s">
        <v>1192</v>
      </c>
      <c r="D169" s="1489" t="s">
        <v>1196</v>
      </c>
      <c r="E169" s="1488" t="s">
        <v>1197</v>
      </c>
      <c r="F169" s="1488" t="s">
        <v>1198</v>
      </c>
      <c r="G169" s="1512">
        <v>170</v>
      </c>
      <c r="H169" s="1492"/>
      <c r="I169" s="1492">
        <f t="shared" si="39"/>
        <v>8.5</v>
      </c>
      <c r="J169" s="1493">
        <f t="shared" si="38"/>
        <v>59.5</v>
      </c>
      <c r="K169" s="1492">
        <f t="shared" si="30"/>
        <v>127.5</v>
      </c>
      <c r="L169" s="1494">
        <f t="shared" si="31"/>
        <v>170</v>
      </c>
      <c r="M169" s="1505">
        <f>IFERROR(VLOOKUP($E$8:$E$196,'[1]INF GENERAL'!$B$2:$D$135,3,0),0)</f>
        <v>215</v>
      </c>
      <c r="N169" s="1496">
        <f>IFERROR(VLOOKUP($E$8:$E$196,'[1]INF GENERAL'!$F$2:$H$80,3,0),0)</f>
        <v>0</v>
      </c>
      <c r="O169" s="1496">
        <f>IFERROR(SUMIFS('[1]INF GENERAL'!$L:$L,'[1]INF GENERAL'!$J:$J,Tabla16[[#This Row],[Código]]),0)</f>
        <v>0</v>
      </c>
      <c r="P169" s="1496">
        <f>IFERROR(VLOOKUP($E$8:$E$196,'[1]INF GENERAL'!$V$2:$X$119,3,0),0)</f>
        <v>0</v>
      </c>
      <c r="Q169" s="1496">
        <f>IFERROR(SUMIFS('[1]INF GENERAL'!$P:$P,'[1]INF GENERAL'!$N:$N,Tabla16[[#This Row],[Código]]),0)</f>
        <v>0</v>
      </c>
      <c r="R169" s="1496">
        <f>IFERROR(VLOOKUP($E$8:$E$196,'[1]INF GENERAL'!$R$2:$T$119,3,0),0)</f>
        <v>0</v>
      </c>
      <c r="S169" s="1496">
        <f>IF(G169=0,0,(G169-(O169+P169)))</f>
        <v>170</v>
      </c>
      <c r="T169" s="1494">
        <f t="shared" si="32"/>
        <v>170</v>
      </c>
      <c r="U169" s="1497">
        <f t="shared" si="27"/>
        <v>0</v>
      </c>
      <c r="V169" s="1498" t="str">
        <f>IF((Q169)&lt;J169,"INV&lt;7",IF((Q169)&lt;L169,"7≤INV≤20","INV&gt;20"))</f>
        <v>INV&lt;7</v>
      </c>
      <c r="X169" s="1547"/>
      <c r="Y169" s="1547"/>
      <c r="Z169" s="1547"/>
      <c r="AA169" s="1548"/>
      <c r="AB169" s="1549"/>
    </row>
    <row r="170" spans="1:28" hidden="1">
      <c r="A170" s="1488" t="s">
        <v>829</v>
      </c>
      <c r="B170" s="1488" t="s">
        <v>973</v>
      </c>
      <c r="C170" s="1489" t="s">
        <v>1192</v>
      </c>
      <c r="D170" s="1489" t="s">
        <v>1116</v>
      </c>
      <c r="E170" s="1488" t="s">
        <v>1199</v>
      </c>
      <c r="F170" s="1488" t="s">
        <v>1200</v>
      </c>
      <c r="G170" s="1512"/>
      <c r="H170" s="1492"/>
      <c r="I170" s="1492">
        <f t="shared" si="39"/>
        <v>0</v>
      </c>
      <c r="J170" s="1493">
        <f t="shared" si="38"/>
        <v>0</v>
      </c>
      <c r="K170" s="1492">
        <f t="shared" si="30"/>
        <v>0</v>
      </c>
      <c r="L170" s="1494">
        <f t="shared" si="31"/>
        <v>0</v>
      </c>
      <c r="M170" s="1505">
        <f>IFERROR(VLOOKUP($E$8:$E$196,'[1]INF GENERAL'!$B$2:$D$135,3,0),0)</f>
        <v>0</v>
      </c>
      <c r="N170" s="1496">
        <f>IFERROR(VLOOKUP($E$8:$E$196,'[1]INF GENERAL'!$F$2:$H$80,3,0),0)</f>
        <v>0</v>
      </c>
      <c r="O170" s="1496">
        <f>IFERROR(SUMIFS('[1]INF GENERAL'!$L:$L,'[1]INF GENERAL'!$J:$J,Tabla16[[#This Row],[Código]]),0)</f>
        <v>0</v>
      </c>
      <c r="P170" s="1500">
        <f>IFERROR(VLOOKUP($E$8:$E$196,'[1]INF GENERAL'!$V$2:$X$119,3,0),0)</f>
        <v>0</v>
      </c>
      <c r="Q170" s="1496">
        <f>IFERROR(SUMIFS('[1]INF GENERAL'!$P:$P,'[1]INF GENERAL'!$N:$N,Tabla16[[#This Row],[Código]]),0)</f>
        <v>0</v>
      </c>
      <c r="R170" s="1496">
        <f>IFERROR(VLOOKUP($E$8:$E$196,'[1]INF GENERAL'!$R$2:$T$119,3,0),0)</f>
        <v>0</v>
      </c>
      <c r="S170" s="1496">
        <f>IF(G170=0,0,(G170-O170))</f>
        <v>0</v>
      </c>
      <c r="T170" s="1496">
        <f t="shared" si="32"/>
        <v>0</v>
      </c>
      <c r="U170" s="1497">
        <f t="shared" si="27"/>
        <v>0</v>
      </c>
      <c r="V170" s="1498" t="str">
        <f>IF((Q170)&lt;J170,"QUIEBRE",IF((Q170)&lt;L170,"VIGILAR","NO CRITICO"))</f>
        <v>NO CRITICO</v>
      </c>
      <c r="X170" s="1547"/>
      <c r="Y170" s="1547"/>
      <c r="Z170" s="1547"/>
    </row>
    <row r="171" spans="1:28" hidden="1">
      <c r="A171" s="1488" t="s">
        <v>829</v>
      </c>
      <c r="B171" s="1488" t="s">
        <v>973</v>
      </c>
      <c r="C171" s="1489" t="s">
        <v>1192</v>
      </c>
      <c r="D171" s="1489" t="s">
        <v>1116</v>
      </c>
      <c r="E171" s="1488" t="s">
        <v>1201</v>
      </c>
      <c r="F171" s="1488" t="s">
        <v>1202</v>
      </c>
      <c r="G171" s="1512"/>
      <c r="H171" s="1492"/>
      <c r="I171" s="1492">
        <f t="shared" si="39"/>
        <v>0</v>
      </c>
      <c r="J171" s="1493">
        <f t="shared" si="38"/>
        <v>0</v>
      </c>
      <c r="K171" s="1492">
        <f t="shared" si="30"/>
        <v>0</v>
      </c>
      <c r="L171" s="1494">
        <f t="shared" si="31"/>
        <v>0</v>
      </c>
      <c r="M171" s="1505">
        <f>IFERROR(VLOOKUP($E$8:$E$196,'[1]INF GENERAL'!$B$2:$D$135,3,0),0)</f>
        <v>0</v>
      </c>
      <c r="N171" s="1496">
        <f>IFERROR(VLOOKUP($E$8:$E$196,'[1]INF GENERAL'!$F$2:$H$80,3,0),0)</f>
        <v>0</v>
      </c>
      <c r="O171" s="1496">
        <f>IFERROR(SUMIFS('[1]INF GENERAL'!$L:$L,'[1]INF GENERAL'!$J:$J,Tabla16[[#This Row],[Código]]),0)</f>
        <v>0</v>
      </c>
      <c r="P171" s="1500">
        <f>IFERROR(VLOOKUP($E$8:$E$196,'[1]INF GENERAL'!$V$2:$X$119,3,0),0)</f>
        <v>0</v>
      </c>
      <c r="Q171" s="1496">
        <f>IFERROR(SUMIFS('[1]INF GENERAL'!$P:$P,'[1]INF GENERAL'!$N:$N,Tabla16[[#This Row],[Código]]),0)</f>
        <v>0</v>
      </c>
      <c r="R171" s="1496">
        <f>IFERROR(VLOOKUP($E$8:$E$196,'[1]INF GENERAL'!$R$2:$T$119,3,0),0)</f>
        <v>0</v>
      </c>
      <c r="S171" s="1496">
        <f>IF(G171=0,0,(G171-O171))</f>
        <v>0</v>
      </c>
      <c r="T171" s="1496">
        <f t="shared" si="32"/>
        <v>0</v>
      </c>
      <c r="U171" s="1497">
        <f t="shared" si="27"/>
        <v>0</v>
      </c>
      <c r="V171" s="1498" t="str">
        <f>IF((Q171)&lt;J171,"QUIEBRE",IF((Q171)&lt;L171,"VIGILAR","NO CRITICO"))</f>
        <v>NO CRITICO</v>
      </c>
      <c r="X171" s="1547"/>
      <c r="Y171" s="1547"/>
      <c r="Z171" s="1547"/>
    </row>
    <row r="172" spans="1:28" hidden="1">
      <c r="A172" s="1488" t="s">
        <v>829</v>
      </c>
      <c r="B172" s="1488" t="s">
        <v>973</v>
      </c>
      <c r="C172" s="1489" t="s">
        <v>1192</v>
      </c>
      <c r="D172" s="1489" t="s">
        <v>1196</v>
      </c>
      <c r="E172" s="1478" t="s">
        <v>1203</v>
      </c>
      <c r="F172" s="1478" t="s">
        <v>1204</v>
      </c>
      <c r="G172" s="1512"/>
      <c r="H172" s="1492"/>
      <c r="I172" s="1492">
        <f t="shared" si="39"/>
        <v>0</v>
      </c>
      <c r="J172" s="1493">
        <f>+I172*$J$6+I172*$J$6*0.2</f>
        <v>0</v>
      </c>
      <c r="K172" s="1492">
        <f>+I172*$K$6</f>
        <v>0</v>
      </c>
      <c r="L172" s="1494">
        <f>+I172*$L$6</f>
        <v>0</v>
      </c>
      <c r="M172" s="1505">
        <f>IFERROR(VLOOKUP($E$8:$E$196,'[1]INF GENERAL'!$B$2:$D$135,3,0),0)</f>
        <v>143</v>
      </c>
      <c r="N172" s="1496">
        <f>IFERROR(VLOOKUP($E$8:$E$196,'[1]INF GENERAL'!$F$2:$H$80,3,0),0)</f>
        <v>0</v>
      </c>
      <c r="O172" s="1496">
        <f>IFERROR(SUMIFS('[1]INF GENERAL'!$L:$L,'[1]INF GENERAL'!$J:$J,Tabla16[[#This Row],[Código]]),0)</f>
        <v>0</v>
      </c>
      <c r="P172" s="1496">
        <f>IFERROR(VLOOKUP($E$8:$E$196,'[1]INF GENERAL'!$V$2:$X$119,3,0),0)</f>
        <v>0</v>
      </c>
      <c r="Q172" s="1496">
        <f>IFERROR(SUMIFS('[1]INF GENERAL'!$P:$P,'[1]INF GENERAL'!$N:$N,Tabla16[[#This Row],[Código]]),0)</f>
        <v>0</v>
      </c>
      <c r="R172" s="1496">
        <f>IFERROR(VLOOKUP($E$8:$E$196,'[1]INF GENERAL'!$R$2:$T$119,3,0),0)</f>
        <v>0</v>
      </c>
      <c r="S172" s="1496">
        <f>IF(G172=0,0,(G172-O172))</f>
        <v>0</v>
      </c>
      <c r="T172" s="1496">
        <f t="shared" si="32"/>
        <v>0</v>
      </c>
      <c r="U172" s="1497">
        <f t="shared" si="27"/>
        <v>0</v>
      </c>
      <c r="V172" s="1524" t="str">
        <f>IF((Q172)&lt;J172,"QUIEBRE",IF((Q172)&lt;L172,"VIGILAR","NO CRITICO"))</f>
        <v>NO CRITICO</v>
      </c>
      <c r="X172" s="1547"/>
      <c r="Y172" s="1547"/>
      <c r="Z172" s="1547"/>
    </row>
    <row r="173" spans="1:28" hidden="1">
      <c r="A173" s="1488" t="s">
        <v>893</v>
      </c>
      <c r="B173" s="1488" t="s">
        <v>973</v>
      </c>
      <c r="C173" s="1489" t="s">
        <v>1205</v>
      </c>
      <c r="D173" s="1489" t="s">
        <v>1206</v>
      </c>
      <c r="E173" s="1488" t="s">
        <v>1207</v>
      </c>
      <c r="F173" s="1488" t="s">
        <v>1208</v>
      </c>
      <c r="G173" s="1512">
        <v>2021</v>
      </c>
      <c r="H173" s="1492"/>
      <c r="I173" s="1492">
        <f t="shared" si="39"/>
        <v>101.05</v>
      </c>
      <c r="J173" s="1493">
        <f t="shared" si="38"/>
        <v>707.35</v>
      </c>
      <c r="K173" s="1492">
        <f t="shared" si="30"/>
        <v>1515.75</v>
      </c>
      <c r="L173" s="1494">
        <f t="shared" si="31"/>
        <v>2021</v>
      </c>
      <c r="M173" s="1505">
        <f>IFERROR(VLOOKUP($E$8:$E$196,'[1]INF GENERAL'!$B$2:$D$135,3,0),0)</f>
        <v>1724</v>
      </c>
      <c r="N173" s="1496">
        <f>IFERROR(VLOOKUP($E$8:$E$196,'[1]INF GENERAL'!$F$2:$H$80,3,0),0)</f>
        <v>1368</v>
      </c>
      <c r="O173" s="1496">
        <f>IFERROR(SUMIFS('[1]INF GENERAL'!$L:$L,'[1]INF GENERAL'!$J:$J,Tabla16[[#This Row],[Código]]),0)</f>
        <v>0</v>
      </c>
      <c r="P173" s="1500">
        <f>IFERROR(VLOOKUP($E$8:$E$196,'[1]INF GENERAL'!$V$2:$X$119,3,0),0)</f>
        <v>0</v>
      </c>
      <c r="Q173" s="1496">
        <f>IFERROR(SUMIFS('[1]INF GENERAL'!$P:$P,'[1]INF GENERAL'!$N:$N,Tabla16[[#This Row],[Código]]),0)</f>
        <v>0</v>
      </c>
      <c r="R173" s="1496">
        <f>IFERROR(VLOOKUP($E$8:$E$196,'[1]INF GENERAL'!$R$2:$T$119,3,0),0)</f>
        <v>0</v>
      </c>
      <c r="S173" s="1496">
        <f>IF(G173=0,0,(G173-O173))</f>
        <v>2021</v>
      </c>
      <c r="T173" s="1525">
        <f t="shared" si="32"/>
        <v>2021</v>
      </c>
      <c r="U173" s="1497">
        <f t="shared" si="27"/>
        <v>0</v>
      </c>
      <c r="V173" s="1498" t="str">
        <f>IF((Q173)&lt;J173,"INV&lt;7",IF((Q173)&lt;L173,"7≤INV≤20","INV&gt;20"))</f>
        <v>INV&lt;7</v>
      </c>
      <c r="X173" s="1547"/>
      <c r="Y173" s="1547"/>
      <c r="Z173" s="1547"/>
    </row>
    <row r="174" spans="1:28" hidden="1">
      <c r="A174" s="1488" t="s">
        <v>893</v>
      </c>
      <c r="B174" s="1488" t="s">
        <v>973</v>
      </c>
      <c r="C174" s="1489" t="s">
        <v>1205</v>
      </c>
      <c r="D174" s="1489" t="s">
        <v>1110</v>
      </c>
      <c r="E174" s="1488" t="s">
        <v>1209</v>
      </c>
      <c r="F174" s="1488" t="s">
        <v>1210</v>
      </c>
      <c r="G174" s="1512">
        <v>6000</v>
      </c>
      <c r="H174" s="1492"/>
      <c r="I174" s="1492">
        <f t="shared" si="39"/>
        <v>300</v>
      </c>
      <c r="J174" s="1493">
        <f t="shared" si="38"/>
        <v>2100</v>
      </c>
      <c r="K174" s="1492">
        <f t="shared" si="30"/>
        <v>4500</v>
      </c>
      <c r="L174" s="1494">
        <f t="shared" si="31"/>
        <v>6000</v>
      </c>
      <c r="M174" s="1505">
        <f>IFERROR(VLOOKUP($E$8:$E$196,'[1]INF GENERAL'!$B$2:$D$135,3,0),0)</f>
        <v>909</v>
      </c>
      <c r="N174" s="1496">
        <f>IFERROR(VLOOKUP($E$8:$E$196,'[1]INF GENERAL'!$F$2:$H$80,3,0),0)</f>
        <v>6837</v>
      </c>
      <c r="O174" s="1496">
        <f>IFERROR(SUMIFS('[1]INF GENERAL'!$L:$L,'[1]INF GENERAL'!$J:$J,Tabla16[[#This Row],[Código]]),0)</f>
        <v>0</v>
      </c>
      <c r="P174" s="1496">
        <f>IFERROR(VLOOKUP($E$8:$E$196,'[1]INF GENERAL'!$V$2:$X$119,3,0),0)</f>
        <v>0</v>
      </c>
      <c r="Q174" s="1496">
        <f>IFERROR(SUMIFS('[1]INF GENERAL'!$P:$P,'[1]INF GENERAL'!$N:$N,Tabla16[[#This Row],[Código]]),0)</f>
        <v>0</v>
      </c>
      <c r="R174" s="1496">
        <f>IFERROR(VLOOKUP($E$8:$E$196,'[1]INF GENERAL'!$R$2:$T$119,3,0),0)</f>
        <v>0</v>
      </c>
      <c r="S174" s="1496">
        <f>IF(G174=0,0,(G174-(O174+P174)))</f>
        <v>6000</v>
      </c>
      <c r="T174" s="1494">
        <f t="shared" si="32"/>
        <v>6000</v>
      </c>
      <c r="U174" s="1497">
        <f t="shared" si="27"/>
        <v>0</v>
      </c>
      <c r="V174" s="1498" t="str">
        <f>IF((Q174)&lt;J174,"INV&lt;7",IF((Q174)&lt;L174,"7≤INV≤20","INV&gt;20"))</f>
        <v>INV&lt;7</v>
      </c>
      <c r="X174" s="1547"/>
      <c r="Y174" s="1547"/>
      <c r="Z174" s="1547"/>
      <c r="AA174" s="1510"/>
      <c r="AB174" s="1510"/>
    </row>
    <row r="175" spans="1:28" hidden="1">
      <c r="A175" s="1488" t="s">
        <v>829</v>
      </c>
      <c r="B175" s="1488" t="s">
        <v>973</v>
      </c>
      <c r="C175" s="1489" t="s">
        <v>1205</v>
      </c>
      <c r="D175" s="1489" t="s">
        <v>1116</v>
      </c>
      <c r="E175" s="1488" t="s">
        <v>1211</v>
      </c>
      <c r="F175" s="1488" t="s">
        <v>1212</v>
      </c>
      <c r="G175" s="1512"/>
      <c r="H175" s="1492"/>
      <c r="I175" s="1492">
        <f t="shared" si="39"/>
        <v>0</v>
      </c>
      <c r="J175" s="1493">
        <f t="shared" si="38"/>
        <v>0</v>
      </c>
      <c r="K175" s="1492">
        <f t="shared" si="30"/>
        <v>0</v>
      </c>
      <c r="L175" s="1494">
        <f t="shared" si="31"/>
        <v>0</v>
      </c>
      <c r="M175" s="1495">
        <f>IFERROR(VLOOKUP($E$8:$E$196,'[1]INF GENERAL'!$B$2:$D$135,3,0),0)</f>
        <v>0</v>
      </c>
      <c r="N175" s="1496">
        <f>IFERROR(VLOOKUP($E$8:$E$196,'[1]INF GENERAL'!$F$2:$H$80,3,0),0)</f>
        <v>0</v>
      </c>
      <c r="O175" s="1496">
        <f>IFERROR(SUMIFS('[1]INF GENERAL'!$L:$L,'[1]INF GENERAL'!$J:$J,Tabla16[[#This Row],[Código]]),0)</f>
        <v>0</v>
      </c>
      <c r="P175" s="1500">
        <f>IFERROR(VLOOKUP($E$8:$E$196,'[1]INF GENERAL'!$V$2:$X$119,3,0),0)</f>
        <v>0</v>
      </c>
      <c r="Q175" s="1496">
        <f>IFERROR(SUMIFS('[1]INF GENERAL'!$P:$P,'[1]INF GENERAL'!$N:$N,Tabla16[[#This Row],[Código]]),0)</f>
        <v>0</v>
      </c>
      <c r="R175" s="1496">
        <f>IFERROR(VLOOKUP($E$8:$E$196,'[1]INF GENERAL'!$R$2:$T$119,3,0),0)</f>
        <v>0</v>
      </c>
      <c r="S175" s="1496">
        <f>IF(G175=0,0,(G175-O175))</f>
        <v>0</v>
      </c>
      <c r="T175" s="1496">
        <f t="shared" si="32"/>
        <v>0</v>
      </c>
      <c r="U175" s="1497">
        <f t="shared" si="27"/>
        <v>0</v>
      </c>
      <c r="V175" s="1498" t="str">
        <f>IF((Q175)&lt;J175,"QUIEBRE",IF((Q175)&lt;L175,"VIGILAR","NO CRITICO"))</f>
        <v>NO CRITICO</v>
      </c>
      <c r="X175" s="1547"/>
      <c r="Y175" s="1547"/>
      <c r="Z175" s="1547"/>
    </row>
    <row r="176" spans="1:28" hidden="1">
      <c r="A176" s="1488" t="s">
        <v>829</v>
      </c>
      <c r="B176" s="1488" t="s">
        <v>973</v>
      </c>
      <c r="C176" s="1489" t="s">
        <v>1205</v>
      </c>
      <c r="D176" s="1489" t="s">
        <v>1206</v>
      </c>
      <c r="E176" s="1488" t="s">
        <v>1213</v>
      </c>
      <c r="F176" s="1488" t="s">
        <v>1214</v>
      </c>
      <c r="G176" s="1512"/>
      <c r="H176" s="1492"/>
      <c r="I176" s="1492">
        <f t="shared" si="39"/>
        <v>0</v>
      </c>
      <c r="J176" s="1493">
        <f t="shared" si="38"/>
        <v>0</v>
      </c>
      <c r="K176" s="1492">
        <f t="shared" si="30"/>
        <v>0</v>
      </c>
      <c r="L176" s="1494">
        <f t="shared" si="31"/>
        <v>0</v>
      </c>
      <c r="M176" s="1495">
        <f>IFERROR(VLOOKUP($E$8:$E$196,'[1]INF GENERAL'!$B$2:$D$135,3,0),0)</f>
        <v>313</v>
      </c>
      <c r="N176" s="1496">
        <f>IFERROR(VLOOKUP($E$8:$E$196,'[1]INF GENERAL'!$F$2:$H$80,3,0),0)</f>
        <v>0</v>
      </c>
      <c r="O176" s="1496">
        <f>IFERROR(SUMIFS('[1]INF GENERAL'!$L:$L,'[1]INF GENERAL'!$J:$J,Tabla16[[#This Row],[Código]]),0)</f>
        <v>0</v>
      </c>
      <c r="P176" s="1500">
        <f>IFERROR(VLOOKUP($E$8:$E$196,'[1]INF GENERAL'!$V$2:$X$119,3,0),0)</f>
        <v>0</v>
      </c>
      <c r="Q176" s="1496">
        <f>IFERROR(SUMIFS('[1]INF GENERAL'!$P:$P,'[1]INF GENERAL'!$N:$N,Tabla16[[#This Row],[Código]]),0)</f>
        <v>0</v>
      </c>
      <c r="R176" s="1496">
        <f>IFERROR(VLOOKUP($E$8:$E$196,'[1]INF GENERAL'!$R$2:$T$119,3,0),0)</f>
        <v>0</v>
      </c>
      <c r="S176" s="1496">
        <f>IF(G176=0,0,(G176-O176))</f>
        <v>0</v>
      </c>
      <c r="T176" s="1496">
        <f t="shared" si="32"/>
        <v>0</v>
      </c>
      <c r="U176" s="1497">
        <f t="shared" si="27"/>
        <v>0</v>
      </c>
      <c r="V176" s="1498" t="str">
        <f>IF((Q176)&lt;J176,"QUIEBRE",IF((Q176)&lt;L176,"VIGILAR","NO CRITICO"))</f>
        <v>NO CRITICO</v>
      </c>
      <c r="X176" s="1547"/>
      <c r="Y176" s="1547"/>
      <c r="Z176" s="1547"/>
    </row>
    <row r="177" spans="1:26" hidden="1">
      <c r="A177" s="1488" t="s">
        <v>893</v>
      </c>
      <c r="B177" s="1488" t="s">
        <v>973</v>
      </c>
      <c r="C177" s="1489" t="s">
        <v>1103</v>
      </c>
      <c r="D177" s="1489" t="s">
        <v>1206</v>
      </c>
      <c r="E177" s="1488" t="s">
        <v>1215</v>
      </c>
      <c r="F177" s="1488" t="s">
        <v>1216</v>
      </c>
      <c r="G177" s="1512">
        <v>2006</v>
      </c>
      <c r="H177" s="1492"/>
      <c r="I177" s="1492">
        <f t="shared" si="39"/>
        <v>100.3</v>
      </c>
      <c r="J177" s="1493">
        <f t="shared" si="38"/>
        <v>702.1</v>
      </c>
      <c r="K177" s="1492">
        <f t="shared" si="30"/>
        <v>1504.5</v>
      </c>
      <c r="L177" s="1494">
        <f t="shared" si="31"/>
        <v>2006</v>
      </c>
      <c r="M177" s="1505">
        <f>IFERROR(VLOOKUP($E$8:$E$196,'[1]INF GENERAL'!$B$2:$D$135,3,0),0)</f>
        <v>1433</v>
      </c>
      <c r="N177" s="1496">
        <f>IFERROR(VLOOKUP($E$8:$E$196,'[1]INF GENERAL'!$F$2:$H$80,3,0),0)</f>
        <v>0</v>
      </c>
      <c r="O177" s="1496">
        <f>IFERROR(SUMIFS('[1]INF GENERAL'!$L:$L,'[1]INF GENERAL'!$J:$J,Tabla16[[#This Row],[Código]]),0)</f>
        <v>0</v>
      </c>
      <c r="P177" s="1500">
        <f>IFERROR(VLOOKUP($E$8:$E$196,'[1]INF GENERAL'!$V$2:$X$119,3,0),0)</f>
        <v>0</v>
      </c>
      <c r="Q177" s="1496">
        <f>IFERROR(SUMIFS('[1]INF GENERAL'!$P:$P,'[1]INF GENERAL'!$N:$N,Tabla16[[#This Row],[Código]]),0)</f>
        <v>0</v>
      </c>
      <c r="R177" s="1496">
        <f>IFERROR(VLOOKUP($E$8:$E$196,'[1]INF GENERAL'!$R$2:$T$119,3,0),0)</f>
        <v>0</v>
      </c>
      <c r="S177" s="1496">
        <f>IF(G177=0,0,(G177-O177))</f>
        <v>2006</v>
      </c>
      <c r="T177" s="1525">
        <f t="shared" si="32"/>
        <v>2006</v>
      </c>
      <c r="U177" s="1497">
        <f t="shared" si="27"/>
        <v>0</v>
      </c>
      <c r="V177" s="1498" t="str">
        <f>IF((Q177)&lt;J177,"INV&lt;7",IF((Q177)&lt;L177,"7≤INV≤20","INV&gt;20"))</f>
        <v>INV&lt;7</v>
      </c>
      <c r="X177" s="1547"/>
      <c r="Y177" s="1547"/>
      <c r="Z177" s="1547"/>
    </row>
    <row r="178" spans="1:26" hidden="1">
      <c r="A178" s="1488" t="s">
        <v>893</v>
      </c>
      <c r="B178" s="1488" t="s">
        <v>973</v>
      </c>
      <c r="C178" s="1489" t="s">
        <v>1103</v>
      </c>
      <c r="D178" s="1489" t="s">
        <v>1110</v>
      </c>
      <c r="E178" s="1488" t="s">
        <v>1217</v>
      </c>
      <c r="F178" s="1488" t="s">
        <v>1218</v>
      </c>
      <c r="G178" s="1512">
        <v>6000</v>
      </c>
      <c r="H178" s="1492"/>
      <c r="I178" s="1492">
        <f t="shared" si="39"/>
        <v>300</v>
      </c>
      <c r="J178" s="1493">
        <f t="shared" si="38"/>
        <v>2100</v>
      </c>
      <c r="K178" s="1492">
        <f t="shared" si="30"/>
        <v>4500</v>
      </c>
      <c r="L178" s="1494">
        <f t="shared" si="31"/>
        <v>6000</v>
      </c>
      <c r="M178" s="1505">
        <f>IFERROR(VLOOKUP($E$8:$E$196,'[1]INF GENERAL'!$B$2:$D$135,3,0),0)</f>
        <v>147</v>
      </c>
      <c r="N178" s="1496">
        <f>IFERROR(VLOOKUP($E$8:$E$196,'[1]INF GENERAL'!$F$2:$H$80,3,0),0)</f>
        <v>5908</v>
      </c>
      <c r="O178" s="1496">
        <f>IFERROR(SUMIFS('[1]INF GENERAL'!$L:$L,'[1]INF GENERAL'!$J:$J,Tabla16[[#This Row],[Código]]),0)</f>
        <v>0</v>
      </c>
      <c r="P178" s="1496">
        <f>IFERROR(VLOOKUP($E$8:$E$196,'[1]INF GENERAL'!$V$2:$X$119,3,0),0)</f>
        <v>0</v>
      </c>
      <c r="Q178" s="1496">
        <f>IFERROR(SUMIFS('[1]INF GENERAL'!$P:$P,'[1]INF GENERAL'!$N:$N,Tabla16[[#This Row],[Código]]),0)</f>
        <v>0</v>
      </c>
      <c r="R178" s="1496">
        <f>IFERROR(VLOOKUP($E$8:$E$196,'[1]INF GENERAL'!$R$2:$T$119,3,0),0)</f>
        <v>0</v>
      </c>
      <c r="S178" s="1496">
        <f>IF(G178=0,0,(G178-(O178+P178)))</f>
        <v>6000</v>
      </c>
      <c r="T178" s="1494">
        <f t="shared" si="32"/>
        <v>6000</v>
      </c>
      <c r="U178" s="1497">
        <f t="shared" si="27"/>
        <v>0</v>
      </c>
      <c r="V178" s="1498" t="str">
        <f>IF((Q178)&lt;J178,"INV&lt;7",IF((Q178)&lt;L178,"7≤INV≤20","INV&gt;20"))</f>
        <v>INV&lt;7</v>
      </c>
      <c r="X178" s="1547"/>
      <c r="Y178" s="1547"/>
      <c r="Z178" s="1547"/>
    </row>
    <row r="179" spans="1:26" hidden="1">
      <c r="A179" s="1488" t="s">
        <v>829</v>
      </c>
      <c r="B179" s="1488" t="s">
        <v>1219</v>
      </c>
      <c r="C179" s="1489" t="s">
        <v>1220</v>
      </c>
      <c r="D179" s="1489" t="s">
        <v>1221</v>
      </c>
      <c r="E179" s="1488" t="s">
        <v>1222</v>
      </c>
      <c r="F179" s="1488" t="s">
        <v>1223</v>
      </c>
      <c r="G179" s="1512">
        <v>0</v>
      </c>
      <c r="H179" s="1492">
        <v>0</v>
      </c>
      <c r="I179" s="1492">
        <f t="shared" si="39"/>
        <v>0</v>
      </c>
      <c r="J179" s="1493">
        <f t="shared" si="38"/>
        <v>0</v>
      </c>
      <c r="K179" s="1492">
        <f t="shared" si="30"/>
        <v>0</v>
      </c>
      <c r="L179" s="1494">
        <f t="shared" si="31"/>
        <v>0</v>
      </c>
      <c r="M179" s="1495">
        <f>IFERROR(VLOOKUP($E$8:$E$196,'[1]INF GENERAL'!$B$2:$D$135,3,0),0)</f>
        <v>0</v>
      </c>
      <c r="N179" s="1496">
        <f>IFERROR(VLOOKUP($E$8:$E$196,'[1]INF GENERAL'!$F$2:$H$80,3,0),0)</f>
        <v>0</v>
      </c>
      <c r="O179" s="1496">
        <f>IFERROR(SUMIFS('[1]INF GENERAL'!$L:$L,'[1]INF GENERAL'!$J:$J,Tabla16[[#This Row],[Código]]),0)</f>
        <v>0</v>
      </c>
      <c r="P179" s="1500">
        <f>IFERROR(VLOOKUP($E$8:$E$196,'[1]INF GENERAL'!$V$2:$X$119,3,0),0)</f>
        <v>0</v>
      </c>
      <c r="Q179" s="1496">
        <f>IFERROR(SUMIFS('[1]INF GENERAL'!$P:$P,'[1]INF GENERAL'!$N:$N,Tabla16[[#This Row],[Código]]),0)</f>
        <v>0</v>
      </c>
      <c r="R179" s="1496">
        <f>IFERROR(VLOOKUP($E$8:$E$196,'[1]INF GENERAL'!$R$2:$T$119,3,0),0)</f>
        <v>0.03</v>
      </c>
      <c r="S179" s="1496">
        <f>IF(G179=0,0,(G179-O179))</f>
        <v>0</v>
      </c>
      <c r="T179" s="1496">
        <f t="shared" si="32"/>
        <v>0</v>
      </c>
      <c r="U179" s="1497">
        <f t="shared" si="27"/>
        <v>0</v>
      </c>
      <c r="V179" s="1498" t="str">
        <f t="shared" ref="V179:V184" si="42">IF((Q179)&lt;J179,"QUIEBRE",IF((Q179)&lt;L179,"VIGILAR","NO CRITICO"))</f>
        <v>NO CRITICO</v>
      </c>
      <c r="X179" s="1547"/>
      <c r="Y179" s="1547"/>
      <c r="Z179" s="1547"/>
    </row>
    <row r="180" spans="1:26" hidden="1">
      <c r="A180" s="1488" t="s">
        <v>893</v>
      </c>
      <c r="B180" s="1488" t="s">
        <v>1219</v>
      </c>
      <c r="C180" s="1489" t="s">
        <v>1220</v>
      </c>
      <c r="D180" s="1489" t="s">
        <v>1221</v>
      </c>
      <c r="E180" s="1488" t="s">
        <v>1224</v>
      </c>
      <c r="F180" s="1488" t="s">
        <v>1225</v>
      </c>
      <c r="G180" s="1512">
        <v>60</v>
      </c>
      <c r="H180" s="1492"/>
      <c r="I180" s="1492">
        <f t="shared" si="39"/>
        <v>3</v>
      </c>
      <c r="J180" s="1493">
        <f t="shared" si="38"/>
        <v>21</v>
      </c>
      <c r="K180" s="1492">
        <f t="shared" si="30"/>
        <v>45</v>
      </c>
      <c r="L180" s="1494">
        <f t="shared" si="31"/>
        <v>60</v>
      </c>
      <c r="M180" s="1505">
        <f>IFERROR(VLOOKUP($E$8:$E$196,'[1]INF GENERAL'!$B$2:$D$135,3,0),0)</f>
        <v>46</v>
      </c>
      <c r="N180" s="1496">
        <f>IFERROR(VLOOKUP($E$8:$E$196,'[1]INF GENERAL'!$F$2:$H$80,3,0),0)</f>
        <v>0</v>
      </c>
      <c r="O180" s="1496">
        <f>IFERROR(SUMIFS('[1]INF GENERAL'!$L:$L,'[1]INF GENERAL'!$J:$J,Tabla16[[#This Row],[Código]]),0)</f>
        <v>0</v>
      </c>
      <c r="P180" s="1500">
        <f>IFERROR(VLOOKUP($E$8:$E$196,'[1]INF GENERAL'!$V$2:$X$119,3,0),0)</f>
        <v>0</v>
      </c>
      <c r="Q180" s="1496">
        <f>IFERROR(SUMIFS('[1]INF GENERAL'!$P:$P,'[1]INF GENERAL'!$N:$N,Tabla16[[#This Row],[Código]]),0)</f>
        <v>0</v>
      </c>
      <c r="R180" s="1496">
        <f>IFERROR(VLOOKUP($E$8:$E$196,'[1]INF GENERAL'!$R$2:$T$119,3,0),0)</f>
        <v>0.75</v>
      </c>
      <c r="S180" s="1496">
        <f>IF(G180=0,0,(G180-O180))</f>
        <v>60</v>
      </c>
      <c r="T180" s="1496">
        <f t="shared" si="32"/>
        <v>60</v>
      </c>
      <c r="U180" s="1497">
        <f t="shared" si="27"/>
        <v>0</v>
      </c>
      <c r="V180" s="1498" t="str">
        <f>IF((Q180)&lt;J180,"INV&lt;7",IF((Q180)&lt;L180,"7≤INV≤20","INV&gt;20"))</f>
        <v>INV&lt;7</v>
      </c>
      <c r="X180" s="1547"/>
      <c r="Y180" s="1547"/>
      <c r="Z180" s="1547"/>
    </row>
    <row r="181" spans="1:26" hidden="1">
      <c r="A181" s="1488" t="s">
        <v>893</v>
      </c>
      <c r="B181" s="1488" t="s">
        <v>1219</v>
      </c>
      <c r="C181" s="1489" t="s">
        <v>1220</v>
      </c>
      <c r="D181" s="1489" t="s">
        <v>1226</v>
      </c>
      <c r="E181" s="1488" t="s">
        <v>1227</v>
      </c>
      <c r="F181" s="1488" t="s">
        <v>1228</v>
      </c>
      <c r="G181" s="1512">
        <v>805</v>
      </c>
      <c r="H181" s="1492"/>
      <c r="I181" s="1492">
        <f t="shared" si="39"/>
        <v>40.25</v>
      </c>
      <c r="J181" s="1493">
        <f t="shared" si="38"/>
        <v>281.75</v>
      </c>
      <c r="K181" s="1492">
        <f t="shared" si="30"/>
        <v>603.75</v>
      </c>
      <c r="L181" s="1494">
        <f t="shared" si="31"/>
        <v>805</v>
      </c>
      <c r="M181" s="1505">
        <f>IFERROR(VLOOKUP($E$8:$E$196,'[1]INF GENERAL'!$B$2:$D$135,3,0),0)</f>
        <v>585</v>
      </c>
      <c r="N181" s="1496">
        <f>IFERROR(VLOOKUP($E$8:$E$196,'[1]INF GENERAL'!$F$2:$H$80,3,0),0)</f>
        <v>0</v>
      </c>
      <c r="O181" s="1496">
        <f>IFERROR(SUMIFS('[1]INF GENERAL'!$L:$L,'[1]INF GENERAL'!$J:$J,Tabla16[[#This Row],[Código]]),0)</f>
        <v>0</v>
      </c>
      <c r="P181" s="1496">
        <f>IFERROR(VLOOKUP($E$8:$E$196,'[1]INF GENERAL'!$V$2:$X$119,3,0),0)</f>
        <v>0</v>
      </c>
      <c r="Q181" s="1496">
        <f>IFERROR(SUMIFS('[1]INF GENERAL'!$P:$P,'[1]INF GENERAL'!$N:$N,Tabla16[[#This Row],[Código]]),0)</f>
        <v>0</v>
      </c>
      <c r="R181" s="1496">
        <f>IFERROR(VLOOKUP($E$8:$E$196,'[1]INF GENERAL'!$R$2:$T$119,3,0),0)</f>
        <v>0</v>
      </c>
      <c r="S181" s="1496">
        <f>IF(G181=0,0,(G181-(O181+P181)))</f>
        <v>805</v>
      </c>
      <c r="T181" s="1496">
        <f t="shared" si="32"/>
        <v>805</v>
      </c>
      <c r="U181" s="1497">
        <f t="shared" si="27"/>
        <v>0</v>
      </c>
      <c r="V181" s="1498" t="str">
        <f>IF((Q181)&lt;J181,"INV&lt;7",IF((Q181)&lt;L181,"7≤INV≤20","INV&gt;20"))</f>
        <v>INV&lt;7</v>
      </c>
      <c r="X181" s="1547"/>
      <c r="Y181" s="1547"/>
      <c r="Z181" s="1547"/>
    </row>
    <row r="182" spans="1:26" hidden="1">
      <c r="A182" s="1488" t="s">
        <v>893</v>
      </c>
      <c r="B182" s="1488" t="s">
        <v>1219</v>
      </c>
      <c r="C182" s="1489" t="s">
        <v>1220</v>
      </c>
      <c r="D182" s="1489" t="s">
        <v>1226</v>
      </c>
      <c r="E182" s="1488" t="s">
        <v>1229</v>
      </c>
      <c r="F182" s="1488" t="s">
        <v>1230</v>
      </c>
      <c r="G182" s="1512">
        <v>255</v>
      </c>
      <c r="H182" s="1492"/>
      <c r="I182" s="1492">
        <f t="shared" si="39"/>
        <v>12.75</v>
      </c>
      <c r="J182" s="1493">
        <f t="shared" si="38"/>
        <v>89.25</v>
      </c>
      <c r="K182" s="1492">
        <f t="shared" si="30"/>
        <v>191.25</v>
      </c>
      <c r="L182" s="1494">
        <f t="shared" si="31"/>
        <v>255</v>
      </c>
      <c r="M182" s="1505">
        <f>IFERROR(VLOOKUP($E$8:$E$196,'[1]INF GENERAL'!$B$2:$D$135,3,0),0)</f>
        <v>23</v>
      </c>
      <c r="N182" s="1496">
        <f>IFERROR(VLOOKUP($E$8:$E$196,'[1]INF GENERAL'!$F$2:$H$80,3,0),0)</f>
        <v>0</v>
      </c>
      <c r="O182" s="1496">
        <f>IFERROR(SUMIFS('[1]INF GENERAL'!$L:$L,'[1]INF GENERAL'!$J:$J,Tabla16[[#This Row],[Código]]),0)</f>
        <v>0</v>
      </c>
      <c r="P182" s="1496">
        <f>IFERROR(VLOOKUP($E$8:$E$196,'[1]INF GENERAL'!$V$2:$X$119,3,0),0)</f>
        <v>0</v>
      </c>
      <c r="Q182" s="1496">
        <f>IFERROR(SUMIFS('[1]INF GENERAL'!$P:$P,'[1]INF GENERAL'!$N:$N,Tabla16[[#This Row],[Código]]),0)</f>
        <v>0</v>
      </c>
      <c r="R182" s="1496">
        <f>IFERROR(VLOOKUP($E$8:$E$196,'[1]INF GENERAL'!$R$2:$T$119,3,0),0)</f>
        <v>0</v>
      </c>
      <c r="S182" s="1496">
        <f>IF(G182=0,0,(G182-(O182+P182)))</f>
        <v>255</v>
      </c>
      <c r="T182" s="1496">
        <f t="shared" si="32"/>
        <v>255</v>
      </c>
      <c r="U182" s="1497">
        <f t="shared" si="27"/>
        <v>0</v>
      </c>
      <c r="V182" s="1498" t="str">
        <f>IF((Q182)&lt;J182,"INV&lt;7",IF((Q182)&lt;L182,"7≤INV≤20","INV&gt;20"))</f>
        <v>INV&lt;7</v>
      </c>
      <c r="X182" s="1547"/>
      <c r="Y182" s="1547"/>
      <c r="Z182" s="1547"/>
    </row>
    <row r="183" spans="1:26" hidden="1">
      <c r="A183" s="1488" t="s">
        <v>829</v>
      </c>
      <c r="B183" s="1488" t="s">
        <v>1219</v>
      </c>
      <c r="C183" s="1489" t="s">
        <v>1220</v>
      </c>
      <c r="D183" s="1489" t="s">
        <v>1231</v>
      </c>
      <c r="E183" s="1488" t="s">
        <v>1232</v>
      </c>
      <c r="F183" s="1488" t="s">
        <v>1233</v>
      </c>
      <c r="G183" s="1512">
        <v>0</v>
      </c>
      <c r="H183" s="1492">
        <v>0</v>
      </c>
      <c r="I183" s="1492">
        <f t="shared" si="39"/>
        <v>0</v>
      </c>
      <c r="J183" s="1493">
        <f t="shared" si="38"/>
        <v>0</v>
      </c>
      <c r="K183" s="1492">
        <f t="shared" si="30"/>
        <v>0</v>
      </c>
      <c r="L183" s="1494">
        <f t="shared" si="31"/>
        <v>0</v>
      </c>
      <c r="M183" s="1495">
        <f>IFERROR(VLOOKUP($E$8:$E$196,'[1]INF GENERAL'!$B$2:$D$135,3,0),0)</f>
        <v>0</v>
      </c>
      <c r="N183" s="1496">
        <f>IFERROR(VLOOKUP($E$8:$E$196,'[1]INF GENERAL'!$F$2:$H$80,3,0),0)</f>
        <v>0</v>
      </c>
      <c r="O183" s="1496">
        <f>IFERROR(SUMIFS('[1]INF GENERAL'!$L:$L,'[1]INF GENERAL'!$J:$J,Tabla16[[#This Row],[Código]]),0)</f>
        <v>0</v>
      </c>
      <c r="P183" s="1500">
        <f>IFERROR(VLOOKUP($E$8:$E$196,'[1]INF GENERAL'!$V$2:$X$119,3,0),0)</f>
        <v>0</v>
      </c>
      <c r="Q183" s="1496">
        <f>IFERROR(SUMIFS('[1]INF GENERAL'!$P:$P,'[1]INF GENERAL'!$N:$N,Tabla16[[#This Row],[Código]]),0)</f>
        <v>0</v>
      </c>
      <c r="R183" s="1496">
        <f>IFERROR(VLOOKUP($E$8:$E$196,'[1]INF GENERAL'!$R$2:$T$119,3,0),0)</f>
        <v>0</v>
      </c>
      <c r="S183" s="1496">
        <f>IF(G183=0,0,(G183-O183))</f>
        <v>0</v>
      </c>
      <c r="T183" s="1496">
        <f t="shared" si="32"/>
        <v>0</v>
      </c>
      <c r="U183" s="1497">
        <f t="shared" si="27"/>
        <v>0</v>
      </c>
      <c r="V183" s="1498" t="str">
        <f t="shared" si="42"/>
        <v>NO CRITICO</v>
      </c>
      <c r="X183" s="1547"/>
      <c r="Y183" s="1547"/>
      <c r="Z183" s="1547"/>
    </row>
    <row r="184" spans="1:26" hidden="1">
      <c r="A184" s="1488" t="s">
        <v>829</v>
      </c>
      <c r="B184" s="1488" t="s">
        <v>1219</v>
      </c>
      <c r="C184" s="1489" t="s">
        <v>1220</v>
      </c>
      <c r="D184" s="1489" t="s">
        <v>1231</v>
      </c>
      <c r="E184" s="1488" t="s">
        <v>1234</v>
      </c>
      <c r="F184" s="1488" t="s">
        <v>1235</v>
      </c>
      <c r="G184" s="1512">
        <v>0</v>
      </c>
      <c r="H184" s="1492">
        <v>0</v>
      </c>
      <c r="I184" s="1492">
        <f t="shared" si="39"/>
        <v>0</v>
      </c>
      <c r="J184" s="1493">
        <f t="shared" si="38"/>
        <v>0</v>
      </c>
      <c r="K184" s="1492">
        <f t="shared" si="30"/>
        <v>0</v>
      </c>
      <c r="L184" s="1494">
        <f t="shared" si="31"/>
        <v>0</v>
      </c>
      <c r="M184" s="1495">
        <f>IFERROR(VLOOKUP($E$8:$E$196,'[1]INF GENERAL'!$B$2:$D$135,3,0),0)</f>
        <v>2</v>
      </c>
      <c r="N184" s="1496">
        <f>IFERROR(VLOOKUP($E$8:$E$196,'[1]INF GENERAL'!$F$2:$H$80,3,0),0)</f>
        <v>0</v>
      </c>
      <c r="O184" s="1496">
        <f>IFERROR(SUMIFS('[1]INF GENERAL'!$L:$L,'[1]INF GENERAL'!$J:$J,Tabla16[[#This Row],[Código]]),0)</f>
        <v>0</v>
      </c>
      <c r="P184" s="1500">
        <f>IFERROR(VLOOKUP($E$8:$E$196,'[1]INF GENERAL'!$V$2:$X$119,3,0),0)</f>
        <v>0</v>
      </c>
      <c r="Q184" s="1496">
        <f>IFERROR(SUMIFS('[1]INF GENERAL'!$P:$P,'[1]INF GENERAL'!$N:$N,Tabla16[[#This Row],[Código]]),0)</f>
        <v>0</v>
      </c>
      <c r="R184" s="1496">
        <f>IFERROR(VLOOKUP($E$8:$E$196,'[1]INF GENERAL'!$R$2:$T$119,3,0),0)</f>
        <v>0</v>
      </c>
      <c r="S184" s="1496">
        <f>IF(G184=0,0,(G184-O184))</f>
        <v>0</v>
      </c>
      <c r="T184" s="1496">
        <f t="shared" si="32"/>
        <v>0</v>
      </c>
      <c r="U184" s="1497">
        <f t="shared" si="27"/>
        <v>0</v>
      </c>
      <c r="V184" s="1498" t="str">
        <f t="shared" si="42"/>
        <v>NO CRITICO</v>
      </c>
      <c r="X184" s="1547"/>
      <c r="Y184" s="1547"/>
      <c r="Z184" s="1547"/>
    </row>
    <row r="185" spans="1:26" hidden="1">
      <c r="A185" s="1488" t="s">
        <v>829</v>
      </c>
      <c r="B185" s="1488" t="s">
        <v>1219</v>
      </c>
      <c r="C185" s="1489" t="s">
        <v>1220</v>
      </c>
      <c r="D185" s="1489" t="s">
        <v>1236</v>
      </c>
      <c r="E185" s="1488" t="s">
        <v>1237</v>
      </c>
      <c r="F185" s="1488" t="s">
        <v>1238</v>
      </c>
      <c r="G185" s="1512">
        <v>0</v>
      </c>
      <c r="H185" s="1492"/>
      <c r="I185" s="1492">
        <f t="shared" si="39"/>
        <v>0</v>
      </c>
      <c r="J185" s="1493">
        <f t="shared" si="38"/>
        <v>0</v>
      </c>
      <c r="K185" s="1492">
        <f t="shared" si="30"/>
        <v>0</v>
      </c>
      <c r="L185" s="1494">
        <f t="shared" si="31"/>
        <v>0</v>
      </c>
      <c r="M185" s="1505">
        <f>IFERROR(VLOOKUP($E$8:$E$196,'[1]INF GENERAL'!$B$2:$D$135,3,0),0)</f>
        <v>0</v>
      </c>
      <c r="N185" s="1496">
        <f>IFERROR(VLOOKUP($E$8:$E$196,'[1]INF GENERAL'!$F$2:$H$80,3,0),0)</f>
        <v>0</v>
      </c>
      <c r="O185" s="1496">
        <f>IFERROR(SUMIFS('[1]INF GENERAL'!$L:$L,'[1]INF GENERAL'!$J:$J,Tabla16[[#This Row],[Código]]),0)</f>
        <v>0</v>
      </c>
      <c r="P185" s="1496">
        <f>IFERROR(VLOOKUP($E$8:$E$196,'[1]INF GENERAL'!$V$2:$X$119,3,0),0)</f>
        <v>57.041600000000003</v>
      </c>
      <c r="Q185" s="1496">
        <f>IFERROR(SUMIFS('[1]INF GENERAL'!$P:$P,'[1]INF GENERAL'!$N:$N,Tabla16[[#This Row],[Código]]),0)</f>
        <v>0</v>
      </c>
      <c r="R185" s="1496">
        <f>IFERROR(VLOOKUP($E$8:$E$196,'[1]INF GENERAL'!$R$2:$T$119,3,0),0)</f>
        <v>9.6597000000000008</v>
      </c>
      <c r="S185" s="1496">
        <f>IF(G185=0,0,(G185-(O185+P185)))</f>
        <v>0</v>
      </c>
      <c r="T185" s="1496">
        <f t="shared" si="32"/>
        <v>0</v>
      </c>
      <c r="U185" s="1497">
        <f t="shared" si="27"/>
        <v>0</v>
      </c>
      <c r="V185" s="1498" t="str">
        <f t="shared" ref="V185:V196" si="43">IF((Q185)&lt;J185,"INV&lt;7",IF((Q185)&lt;L185,"7≤INV≤20","INV&gt;20"))</f>
        <v>INV&gt;20</v>
      </c>
      <c r="X185" s="1547"/>
      <c r="Y185" s="1547"/>
      <c r="Z185" s="1547"/>
    </row>
    <row r="186" spans="1:26" hidden="1">
      <c r="A186" s="1488" t="s">
        <v>893</v>
      </c>
      <c r="B186" s="1488" t="s">
        <v>1219</v>
      </c>
      <c r="C186" s="1489" t="s">
        <v>1220</v>
      </c>
      <c r="D186" s="1489" t="s">
        <v>1236</v>
      </c>
      <c r="E186" s="1488" t="s">
        <v>1239</v>
      </c>
      <c r="F186" s="1488" t="s">
        <v>1240</v>
      </c>
      <c r="G186" s="1512">
        <v>122</v>
      </c>
      <c r="H186" s="1492"/>
      <c r="I186" s="1492">
        <f t="shared" si="39"/>
        <v>6.1</v>
      </c>
      <c r="J186" s="1493">
        <f t="shared" si="38"/>
        <v>42.699999999999996</v>
      </c>
      <c r="K186" s="1492">
        <f t="shared" si="30"/>
        <v>91.5</v>
      </c>
      <c r="L186" s="1494">
        <f t="shared" si="31"/>
        <v>122</v>
      </c>
      <c r="M186" s="1505">
        <f>IFERROR(VLOOKUP($E$8:$E$196,'[1]INF GENERAL'!$B$2:$D$135,3,0),0)</f>
        <v>94</v>
      </c>
      <c r="N186" s="1496">
        <f>IFERROR(VLOOKUP($E$8:$E$196,'[1]INF GENERAL'!$F$2:$H$80,3,0),0)</f>
        <v>0</v>
      </c>
      <c r="O186" s="1496">
        <f>IFERROR(SUMIFS('[1]INF GENERAL'!$L:$L,'[1]INF GENERAL'!$J:$J,Tabla16[[#This Row],[Código]]),0)</f>
        <v>0</v>
      </c>
      <c r="P186" s="1496">
        <f>IFERROR(VLOOKUP($E$8:$E$196,'[1]INF GENERAL'!$V$2:$X$119,3,0),0)</f>
        <v>0</v>
      </c>
      <c r="Q186" s="1496">
        <f>IFERROR(SUMIFS('[1]INF GENERAL'!$P:$P,'[1]INF GENERAL'!$N:$N,Tabla16[[#This Row],[Código]]),0)</f>
        <v>0</v>
      </c>
      <c r="R186" s="1496">
        <f>IFERROR(VLOOKUP($E$8:$E$196,'[1]INF GENERAL'!$R$2:$T$119,3,0),0)</f>
        <v>0.24990000000000001</v>
      </c>
      <c r="S186" s="1496">
        <f>IF(G186=0,0,(G186-(O186+P186)))</f>
        <v>122</v>
      </c>
      <c r="T186" s="1496">
        <f t="shared" si="32"/>
        <v>122</v>
      </c>
      <c r="U186" s="1497">
        <f t="shared" si="27"/>
        <v>0</v>
      </c>
      <c r="V186" s="1498" t="str">
        <f t="shared" si="43"/>
        <v>INV&lt;7</v>
      </c>
      <c r="X186" s="1547"/>
      <c r="Y186" s="1547"/>
      <c r="Z186" s="1547"/>
    </row>
    <row r="187" spans="1:26" hidden="1">
      <c r="A187" s="1488" t="s">
        <v>829</v>
      </c>
      <c r="B187" s="1488" t="s">
        <v>1219</v>
      </c>
      <c r="C187" s="1489" t="s">
        <v>1241</v>
      </c>
      <c r="D187" s="1489" t="s">
        <v>1242</v>
      </c>
      <c r="E187" s="1488" t="s">
        <v>1243</v>
      </c>
      <c r="F187" s="1488" t="s">
        <v>1244</v>
      </c>
      <c r="G187" s="1512">
        <v>0</v>
      </c>
      <c r="H187" s="1492"/>
      <c r="I187" s="1492">
        <f t="shared" si="39"/>
        <v>0</v>
      </c>
      <c r="J187" s="1493">
        <f t="shared" si="38"/>
        <v>0</v>
      </c>
      <c r="K187" s="1492">
        <f t="shared" si="30"/>
        <v>0</v>
      </c>
      <c r="L187" s="1494">
        <f t="shared" si="31"/>
        <v>0</v>
      </c>
      <c r="M187" s="1505">
        <f>IFERROR(VLOOKUP($E$8:$E$196,'[1]INF GENERAL'!$B$2:$D$135,3,0),0)</f>
        <v>0</v>
      </c>
      <c r="N187" s="1496">
        <f>IFERROR(VLOOKUP($E$8:$E$196,'[1]INF GENERAL'!$F$2:$H$80,3,0),0)</f>
        <v>0</v>
      </c>
      <c r="O187" s="1496">
        <f>IFERROR(SUMIFS('[1]INF GENERAL'!$L:$L,'[1]INF GENERAL'!$J:$J,Tabla16[[#This Row],[Código]]),0)</f>
        <v>0</v>
      </c>
      <c r="P187" s="1500">
        <f>IFERROR(VLOOKUP($E$8:$E$196,'[1]INF GENERAL'!$V$2:$X$119,3,0),0)</f>
        <v>0</v>
      </c>
      <c r="Q187" s="1496">
        <f>IFERROR(SUMIFS('[1]INF GENERAL'!$P:$P,'[1]INF GENERAL'!$N:$N,Tabla16[[#This Row],[Código]]),0)</f>
        <v>0</v>
      </c>
      <c r="R187" s="1496">
        <f>IFERROR(VLOOKUP($E$8:$E$196,'[1]INF GENERAL'!$R$2:$T$119,3,0),0)</f>
        <v>0</v>
      </c>
      <c r="S187" s="1496">
        <f>IF(G187=0,0,(G187-O187))</f>
        <v>0</v>
      </c>
      <c r="T187" s="1496">
        <f t="shared" si="32"/>
        <v>0</v>
      </c>
      <c r="U187" s="1497">
        <f t="shared" si="27"/>
        <v>0</v>
      </c>
      <c r="V187" s="1498" t="str">
        <f t="shared" si="43"/>
        <v>INV&gt;20</v>
      </c>
      <c r="X187" s="1547"/>
      <c r="Y187" s="1547"/>
      <c r="Z187" s="1547"/>
    </row>
    <row r="188" spans="1:26" hidden="1">
      <c r="A188" s="1488" t="s">
        <v>829</v>
      </c>
      <c r="B188" s="1488" t="s">
        <v>1219</v>
      </c>
      <c r="C188" s="1489" t="s">
        <v>1241</v>
      </c>
      <c r="D188" s="1489" t="s">
        <v>1245</v>
      </c>
      <c r="E188" s="1488" t="s">
        <v>1246</v>
      </c>
      <c r="F188" s="1488" t="s">
        <v>1247</v>
      </c>
      <c r="G188" s="1512">
        <v>0</v>
      </c>
      <c r="H188" s="1492"/>
      <c r="I188" s="1492">
        <f t="shared" si="39"/>
        <v>0</v>
      </c>
      <c r="J188" s="1493">
        <f t="shared" si="38"/>
        <v>0</v>
      </c>
      <c r="K188" s="1492">
        <f t="shared" si="30"/>
        <v>0</v>
      </c>
      <c r="L188" s="1494">
        <f t="shared" si="31"/>
        <v>0</v>
      </c>
      <c r="M188" s="1505">
        <f>IFERROR(VLOOKUP($E$8:$E$196,'[1]INF GENERAL'!$B$2:$D$135,3,0),0)</f>
        <v>0</v>
      </c>
      <c r="N188" s="1496">
        <f>IFERROR(VLOOKUP($E$8:$E$196,'[1]INF GENERAL'!$F$2:$H$80,3,0),0)</f>
        <v>0</v>
      </c>
      <c r="O188" s="1496">
        <f>IFERROR(SUMIFS('[1]INF GENERAL'!$L:$L,'[1]INF GENERAL'!$J:$J,Tabla16[[#This Row],[Código]]),0)</f>
        <v>0</v>
      </c>
      <c r="P188" s="1500">
        <f>IFERROR(VLOOKUP($E$8:$E$196,'[1]INF GENERAL'!$V$2:$X$119,3,0),0)</f>
        <v>0</v>
      </c>
      <c r="Q188" s="1496">
        <f>IFERROR(SUMIFS('[1]INF GENERAL'!$P:$P,'[1]INF GENERAL'!$N:$N,Tabla16[[#This Row],[Código]]),0)</f>
        <v>0</v>
      </c>
      <c r="R188" s="1496">
        <f>IFERROR(VLOOKUP($E$8:$E$196,'[1]INF GENERAL'!$R$2:$T$119,3,0),0)</f>
        <v>0</v>
      </c>
      <c r="S188" s="1496">
        <f>IF(G188=0,0,(G188-O188))</f>
        <v>0</v>
      </c>
      <c r="T188" s="1496">
        <f t="shared" si="32"/>
        <v>0</v>
      </c>
      <c r="U188" s="1497">
        <f t="shared" si="27"/>
        <v>0</v>
      </c>
      <c r="V188" s="1498" t="str">
        <f t="shared" si="43"/>
        <v>INV&gt;20</v>
      </c>
      <c r="X188" s="1547"/>
      <c r="Y188" s="1547"/>
      <c r="Z188" s="1547"/>
    </row>
    <row r="189" spans="1:26">
      <c r="A189" s="1488" t="s">
        <v>893</v>
      </c>
      <c r="B189" s="1488" t="s">
        <v>830</v>
      </c>
      <c r="C189" s="1489" t="s">
        <v>1248</v>
      </c>
      <c r="D189" s="1489" t="s">
        <v>894</v>
      </c>
      <c r="E189" s="1488" t="s">
        <v>1249</v>
      </c>
      <c r="F189" s="1488" t="s">
        <v>1250</v>
      </c>
      <c r="G189" s="1508">
        <v>3207</v>
      </c>
      <c r="H189" s="1509"/>
      <c r="I189" s="1492">
        <f t="shared" si="39"/>
        <v>160.35</v>
      </c>
      <c r="J189" s="1493">
        <f t="shared" si="38"/>
        <v>1122.45</v>
      </c>
      <c r="K189" s="1492">
        <f t="shared" si="30"/>
        <v>2405.25</v>
      </c>
      <c r="L189" s="1494">
        <f t="shared" si="31"/>
        <v>3207</v>
      </c>
      <c r="M189" s="1505">
        <f>IFERROR(VLOOKUP($E$8:$E$196,'[1]INF GENERAL'!$B$2:$D$135,3,0),0)</f>
        <v>2297</v>
      </c>
      <c r="N189" s="1496">
        <f>IFERROR(VLOOKUP($E$8:$E$196,'[1]INF GENERAL'!$F$2:$H$80,3,0),0)</f>
        <v>3339</v>
      </c>
      <c r="O189" s="1496">
        <f>IFERROR(SUMIFS('[1]INF GENERAL'!$L:$L,'[1]INF GENERAL'!$J:$J,Tabla16[[#This Row],[Código]]),0)</f>
        <v>0</v>
      </c>
      <c r="P189" s="1496">
        <f>IFERROR(VLOOKUP($E$8:$E$196,'[1]INF GENERAL'!$V$2:$X$119,3,0),0)</f>
        <v>0</v>
      </c>
      <c r="Q189" s="1496">
        <f>IFERROR(SUMIFS('[1]INF GENERAL'!$P:$P,'[1]INF GENERAL'!$N:$N,Tabla16[[#This Row],[Código]]),0)</f>
        <v>0</v>
      </c>
      <c r="R189" s="1496">
        <f>IFERROR(VLOOKUP($E$8:$E$196,'[1]INF GENERAL'!$R$2:$T$119,3,0),0)</f>
        <v>0</v>
      </c>
      <c r="S189" s="1496">
        <f t="shared" ref="S189:S196" si="44">IF(G189=0,0,(G189-(O189+P189)))</f>
        <v>3207</v>
      </c>
      <c r="T189" s="1496">
        <f t="shared" si="32"/>
        <v>3207</v>
      </c>
      <c r="U189" s="1497">
        <f t="shared" si="27"/>
        <v>0</v>
      </c>
      <c r="V189" s="1498" t="str">
        <f t="shared" si="43"/>
        <v>INV&lt;7</v>
      </c>
      <c r="X189" s="1547"/>
      <c r="Y189" s="1547"/>
      <c r="Z189" s="1547"/>
    </row>
    <row r="190" spans="1:26">
      <c r="A190" s="1488" t="s">
        <v>893</v>
      </c>
      <c r="B190" s="1488" t="s">
        <v>830</v>
      </c>
      <c r="C190" s="1489" t="s">
        <v>1248</v>
      </c>
      <c r="D190" s="1489" t="s">
        <v>894</v>
      </c>
      <c r="E190" s="1488" t="s">
        <v>1251</v>
      </c>
      <c r="F190" s="1488" t="s">
        <v>1252</v>
      </c>
      <c r="G190" s="1508">
        <v>8639</v>
      </c>
      <c r="H190" s="1509"/>
      <c r="I190" s="1492">
        <f t="shared" si="39"/>
        <v>431.95</v>
      </c>
      <c r="J190" s="1493">
        <f t="shared" si="38"/>
        <v>3023.65</v>
      </c>
      <c r="K190" s="1492">
        <f t="shared" si="30"/>
        <v>6479.25</v>
      </c>
      <c r="L190" s="1494">
        <f t="shared" si="31"/>
        <v>8639</v>
      </c>
      <c r="M190" s="1505">
        <f>IFERROR(VLOOKUP($E$8:$E$196,'[1]INF GENERAL'!$B$2:$D$135,3,0),0)</f>
        <v>1712</v>
      </c>
      <c r="N190" s="1496">
        <f>IFERROR(VLOOKUP($E$8:$E$196,'[1]INF GENERAL'!$F$2:$H$80,3,0),0)</f>
        <v>8792</v>
      </c>
      <c r="O190" s="1496">
        <f>IFERROR(SUMIFS('[1]INF GENERAL'!$L:$L,'[1]INF GENERAL'!$J:$J,Tabla16[[#This Row],[Código]]),0)</f>
        <v>0</v>
      </c>
      <c r="P190" s="1496">
        <f>IFERROR(VLOOKUP($E$8:$E$196,'[1]INF GENERAL'!$V$2:$X$119,3,0),0)</f>
        <v>0</v>
      </c>
      <c r="Q190" s="1496">
        <f>IFERROR(SUMIFS('[1]INF GENERAL'!$P:$P,'[1]INF GENERAL'!$N:$N,Tabla16[[#This Row],[Código]]),0)</f>
        <v>0</v>
      </c>
      <c r="R190" s="1496">
        <f>IFERROR(VLOOKUP($E$8:$E$196,'[1]INF GENERAL'!$R$2:$T$119,3,0),0)</f>
        <v>0</v>
      </c>
      <c r="S190" s="1496">
        <f t="shared" si="44"/>
        <v>8639</v>
      </c>
      <c r="T190" s="1496">
        <f t="shared" si="32"/>
        <v>8639</v>
      </c>
      <c r="U190" s="1497">
        <f t="shared" si="27"/>
        <v>0</v>
      </c>
      <c r="V190" s="1498" t="str">
        <f t="shared" si="43"/>
        <v>INV&lt;7</v>
      </c>
      <c r="X190" s="1547"/>
      <c r="Y190" s="1547"/>
      <c r="Z190" s="1547"/>
    </row>
    <row r="191" spans="1:26">
      <c r="A191" s="1488" t="s">
        <v>893</v>
      </c>
      <c r="B191" s="1488" t="s">
        <v>830</v>
      </c>
      <c r="C191" s="1489" t="s">
        <v>1248</v>
      </c>
      <c r="D191" s="1489" t="s">
        <v>894</v>
      </c>
      <c r="E191" s="1488" t="s">
        <v>1253</v>
      </c>
      <c r="F191" s="1488" t="s">
        <v>1254</v>
      </c>
      <c r="G191" s="1508">
        <v>6604</v>
      </c>
      <c r="H191" s="1509"/>
      <c r="I191" s="1492">
        <f t="shared" si="39"/>
        <v>330.2</v>
      </c>
      <c r="J191" s="1493">
        <f t="shared" si="38"/>
        <v>2311.4</v>
      </c>
      <c r="K191" s="1492">
        <f t="shared" si="30"/>
        <v>4953</v>
      </c>
      <c r="L191" s="1494">
        <f t="shared" si="31"/>
        <v>6604</v>
      </c>
      <c r="M191" s="1505">
        <f>IFERROR(VLOOKUP($E$8:$E$196,'[1]INF GENERAL'!$B$2:$D$135,3,0),0)</f>
        <v>1030</v>
      </c>
      <c r="N191" s="1496">
        <f>IFERROR(VLOOKUP($E$8:$E$196,'[1]INF GENERAL'!$F$2:$H$80,3,0),0)</f>
        <v>7357</v>
      </c>
      <c r="O191" s="1496">
        <f>IFERROR(SUMIFS('[1]INF GENERAL'!$L:$L,'[1]INF GENERAL'!$J:$J,Tabla16[[#This Row],[Código]]),0)</f>
        <v>0</v>
      </c>
      <c r="P191" s="1496">
        <f>IFERROR(VLOOKUP($E$8:$E$196,'[1]INF GENERAL'!$V$2:$X$119,3,0),0)</f>
        <v>0</v>
      </c>
      <c r="Q191" s="1496">
        <f>IFERROR(SUMIFS('[1]INF GENERAL'!$P:$P,'[1]INF GENERAL'!$N:$N,Tabla16[[#This Row],[Código]]),0)</f>
        <v>0</v>
      </c>
      <c r="R191" s="1496">
        <f>IFERROR(VLOOKUP($E$8:$E$196,'[1]INF GENERAL'!$R$2:$T$119,3,0),0)</f>
        <v>0</v>
      </c>
      <c r="S191" s="1496">
        <f t="shared" si="44"/>
        <v>6604</v>
      </c>
      <c r="T191" s="1496">
        <f t="shared" si="32"/>
        <v>6604</v>
      </c>
      <c r="U191" s="1497">
        <f t="shared" si="27"/>
        <v>0</v>
      </c>
      <c r="V191" s="1498" t="str">
        <f t="shared" si="43"/>
        <v>INV&lt;7</v>
      </c>
      <c r="X191" s="1547"/>
      <c r="Y191" s="1547"/>
      <c r="Z191" s="1547"/>
    </row>
    <row r="192" spans="1:26">
      <c r="A192" s="1488" t="s">
        <v>893</v>
      </c>
      <c r="B192" s="1488" t="s">
        <v>830</v>
      </c>
      <c r="C192" s="1489" t="s">
        <v>1248</v>
      </c>
      <c r="D192" s="1489" t="s">
        <v>894</v>
      </c>
      <c r="E192" s="1488" t="s">
        <v>1255</v>
      </c>
      <c r="F192" s="1488" t="s">
        <v>1256</v>
      </c>
      <c r="G192" s="1508">
        <v>750</v>
      </c>
      <c r="H192" s="1509"/>
      <c r="I192" s="1492">
        <f t="shared" si="39"/>
        <v>37.5</v>
      </c>
      <c r="J192" s="1493">
        <f t="shared" si="38"/>
        <v>262.5</v>
      </c>
      <c r="K192" s="1492">
        <f t="shared" si="30"/>
        <v>562.5</v>
      </c>
      <c r="L192" s="1494">
        <f t="shared" si="31"/>
        <v>750</v>
      </c>
      <c r="M192" s="1505">
        <f>IFERROR(VLOOKUP($E$8:$E$196,'[1]INF GENERAL'!$B$2:$D$135,3,0),0)</f>
        <v>0</v>
      </c>
      <c r="N192" s="1496">
        <f>IFERROR(VLOOKUP($E$8:$E$196,'[1]INF GENERAL'!$F$2:$H$80,3,0),0)</f>
        <v>0</v>
      </c>
      <c r="O192" s="1496">
        <f>IFERROR(SUMIFS('[1]INF GENERAL'!$L:$L,'[1]INF GENERAL'!$J:$J,Tabla16[[#This Row],[Código]]),0)</f>
        <v>0</v>
      </c>
      <c r="P192" s="1496">
        <f>IFERROR(VLOOKUP($E$8:$E$196,'[1]INF GENERAL'!$V$2:$X$119,3,0),0)</f>
        <v>0</v>
      </c>
      <c r="Q192" s="1496">
        <f>IFERROR(SUMIFS('[1]INF GENERAL'!$P:$P,'[1]INF GENERAL'!$N:$N,Tabla16[[#This Row],[Código]]),0)</f>
        <v>0</v>
      </c>
      <c r="R192" s="1496">
        <f>IFERROR(VLOOKUP($E$8:$E$196,'[1]INF GENERAL'!$R$2:$T$119,3,0),0)</f>
        <v>0</v>
      </c>
      <c r="S192" s="1496">
        <f t="shared" si="44"/>
        <v>750</v>
      </c>
      <c r="T192" s="1496">
        <f t="shared" si="32"/>
        <v>750</v>
      </c>
      <c r="U192" s="1497">
        <f t="shared" si="27"/>
        <v>0</v>
      </c>
      <c r="V192" s="1498" t="str">
        <f t="shared" si="43"/>
        <v>INV&lt;7</v>
      </c>
      <c r="X192" s="1547"/>
      <c r="Y192" s="1547"/>
      <c r="Z192" s="1547"/>
    </row>
    <row r="193" spans="1:26">
      <c r="A193" s="1488" t="s">
        <v>893</v>
      </c>
      <c r="B193" s="1488" t="s">
        <v>830</v>
      </c>
      <c r="C193" s="1489" t="s">
        <v>1248</v>
      </c>
      <c r="D193" s="1489" t="s">
        <v>1257</v>
      </c>
      <c r="E193" s="1488" t="s">
        <v>1258</v>
      </c>
      <c r="F193" s="1488" t="s">
        <v>1259</v>
      </c>
      <c r="G193" s="1512">
        <v>4678</v>
      </c>
      <c r="H193" s="1492"/>
      <c r="I193" s="1492">
        <f t="shared" si="39"/>
        <v>233.9</v>
      </c>
      <c r="J193" s="1493">
        <f t="shared" si="38"/>
        <v>1637.3</v>
      </c>
      <c r="K193" s="1492">
        <f t="shared" si="30"/>
        <v>3508.5</v>
      </c>
      <c r="L193" s="1494">
        <f t="shared" si="31"/>
        <v>4678</v>
      </c>
      <c r="M193" s="1505">
        <f>IFERROR(VLOOKUP($E$8:$E$196,'[1]INF GENERAL'!$B$2:$D$135,3,0),0)</f>
        <v>1</v>
      </c>
      <c r="N193" s="1496">
        <f>IFERROR(VLOOKUP($E$8:$E$196,'[1]INF GENERAL'!$F$2:$H$80,3,0),0)</f>
        <v>6206</v>
      </c>
      <c r="O193" s="1496">
        <f>IFERROR(SUMIFS('[1]INF GENERAL'!$L:$L,'[1]INF GENERAL'!$J:$J,Tabla16[[#This Row],[Código]]),0)</f>
        <v>0</v>
      </c>
      <c r="P193" s="1496">
        <f>IFERROR(VLOOKUP($E$8:$E$196,'[1]INF GENERAL'!$V$2:$X$119,3,0),0)</f>
        <v>0</v>
      </c>
      <c r="Q193" s="1496">
        <f>IFERROR(SUMIFS('[1]INF GENERAL'!$P:$P,'[1]INF GENERAL'!$N:$N,Tabla16[[#This Row],[Código]]),0)</f>
        <v>0</v>
      </c>
      <c r="R193" s="1496">
        <f>IFERROR(VLOOKUP($E$8:$E$196,'[1]INF GENERAL'!$R$2:$T$119,3,0),0)</f>
        <v>0</v>
      </c>
      <c r="S193" s="1496">
        <f t="shared" si="44"/>
        <v>4678</v>
      </c>
      <c r="T193" s="1496">
        <f t="shared" si="32"/>
        <v>4678</v>
      </c>
      <c r="U193" s="1497">
        <f t="shared" si="27"/>
        <v>0</v>
      </c>
      <c r="V193" s="1498" t="str">
        <f t="shared" si="43"/>
        <v>INV&lt;7</v>
      </c>
      <c r="X193" s="1547"/>
      <c r="Y193" s="1547"/>
      <c r="Z193" s="1547"/>
    </row>
    <row r="194" spans="1:26">
      <c r="A194" s="1488" t="s">
        <v>893</v>
      </c>
      <c r="B194" s="1488" t="s">
        <v>830</v>
      </c>
      <c r="C194" s="1489" t="s">
        <v>1248</v>
      </c>
      <c r="D194" s="1489" t="s">
        <v>1257</v>
      </c>
      <c r="E194" s="1488" t="s">
        <v>1260</v>
      </c>
      <c r="F194" s="1488" t="s">
        <v>1261</v>
      </c>
      <c r="G194" s="1512">
        <v>10738</v>
      </c>
      <c r="H194" s="1492"/>
      <c r="I194" s="1492">
        <f t="shared" si="39"/>
        <v>536.9</v>
      </c>
      <c r="J194" s="1493">
        <f t="shared" si="38"/>
        <v>3758.2999999999997</v>
      </c>
      <c r="K194" s="1492">
        <f t="shared" si="30"/>
        <v>8053.5</v>
      </c>
      <c r="L194" s="1494">
        <f t="shared" si="31"/>
        <v>10738</v>
      </c>
      <c r="M194" s="1505">
        <f>IFERROR(VLOOKUP($E$8:$E$196,'[1]INF GENERAL'!$B$2:$D$135,3,0),0)</f>
        <v>0</v>
      </c>
      <c r="N194" s="1496">
        <f>IFERROR(VLOOKUP($E$8:$E$196,'[1]INF GENERAL'!$F$2:$H$80,3,0),0)</f>
        <v>7873</v>
      </c>
      <c r="O194" s="1496">
        <f>IFERROR(SUMIFS('[1]INF GENERAL'!$L:$L,'[1]INF GENERAL'!$J:$J,Tabla16[[#This Row],[Código]]),0)</f>
        <v>0</v>
      </c>
      <c r="P194" s="1496">
        <f>IFERROR(VLOOKUP($E$8:$E$196,'[1]INF GENERAL'!$V$2:$X$119,3,0),0)</f>
        <v>0</v>
      </c>
      <c r="Q194" s="1496">
        <f>IFERROR(SUMIFS('[1]INF GENERAL'!$P:$P,'[1]INF GENERAL'!$N:$N,Tabla16[[#This Row],[Código]]),0)</f>
        <v>0</v>
      </c>
      <c r="R194" s="1496">
        <f>IFERROR(VLOOKUP($E$8:$E$196,'[1]INF GENERAL'!$R$2:$T$119,3,0),0)</f>
        <v>0</v>
      </c>
      <c r="S194" s="1496">
        <f t="shared" si="44"/>
        <v>10738</v>
      </c>
      <c r="T194" s="1496">
        <f t="shared" si="32"/>
        <v>10738</v>
      </c>
      <c r="U194" s="1497">
        <f t="shared" ref="U194:U196" si="45">IF(G194=0,0,(Q194/I194))</f>
        <v>0</v>
      </c>
      <c r="V194" s="1498" t="str">
        <f t="shared" si="43"/>
        <v>INV&lt;7</v>
      </c>
      <c r="X194" s="1547"/>
      <c r="Y194" s="1547"/>
      <c r="Z194" s="1547"/>
    </row>
    <row r="195" spans="1:26">
      <c r="A195" s="1488" t="s">
        <v>893</v>
      </c>
      <c r="B195" s="1488" t="s">
        <v>830</v>
      </c>
      <c r="C195" s="1489" t="s">
        <v>1248</v>
      </c>
      <c r="D195" s="1489" t="s">
        <v>1257</v>
      </c>
      <c r="E195" s="1488" t="s">
        <v>1262</v>
      </c>
      <c r="F195" s="1488" t="s">
        <v>1263</v>
      </c>
      <c r="G195" s="1512">
        <v>14329</v>
      </c>
      <c r="H195" s="1492"/>
      <c r="I195" s="1492">
        <f t="shared" si="39"/>
        <v>716.45</v>
      </c>
      <c r="J195" s="1493">
        <f t="shared" si="38"/>
        <v>5015.1500000000005</v>
      </c>
      <c r="K195" s="1492">
        <f t="shared" si="30"/>
        <v>10746.75</v>
      </c>
      <c r="L195" s="1494">
        <f t="shared" si="31"/>
        <v>14329</v>
      </c>
      <c r="M195" s="1505">
        <f>IFERROR(VLOOKUP($E$8:$E$196,'[1]INF GENERAL'!$B$2:$D$135,3,0),0)</f>
        <v>1</v>
      </c>
      <c r="N195" s="1496">
        <f>IFERROR(VLOOKUP($E$8:$E$196,'[1]INF GENERAL'!$F$2:$H$80,3,0),0)</f>
        <v>7831</v>
      </c>
      <c r="O195" s="1496">
        <f>IFERROR(SUMIFS('[1]INF GENERAL'!$L:$L,'[1]INF GENERAL'!$J:$J,Tabla16[[#This Row],[Código]]),0)</f>
        <v>0</v>
      </c>
      <c r="P195" s="1496">
        <f>IFERROR(VLOOKUP($E$8:$E$196,'[1]INF GENERAL'!$V$2:$X$119,3,0),0)</f>
        <v>0</v>
      </c>
      <c r="Q195" s="1496">
        <f>IFERROR(SUMIFS('[1]INF GENERAL'!$P:$P,'[1]INF GENERAL'!$N:$N,Tabla16[[#This Row],[Código]]),0)</f>
        <v>0</v>
      </c>
      <c r="R195" s="1496">
        <f>IFERROR(VLOOKUP($E$8:$E$196,'[1]INF GENERAL'!$R$2:$T$119,3,0),0)</f>
        <v>0</v>
      </c>
      <c r="S195" s="1496">
        <f t="shared" si="44"/>
        <v>14329</v>
      </c>
      <c r="T195" s="1496">
        <f t="shared" si="32"/>
        <v>14329</v>
      </c>
      <c r="U195" s="1497">
        <f t="shared" si="45"/>
        <v>0</v>
      </c>
      <c r="V195" s="1498" t="str">
        <f t="shared" si="43"/>
        <v>INV&lt;7</v>
      </c>
      <c r="X195" s="1547"/>
      <c r="Y195" s="1547"/>
      <c r="Z195" s="1547"/>
    </row>
    <row r="196" spans="1:26">
      <c r="A196" s="1488" t="s">
        <v>893</v>
      </c>
      <c r="B196" s="1488" t="s">
        <v>830</v>
      </c>
      <c r="C196" s="1489" t="s">
        <v>1248</v>
      </c>
      <c r="D196" s="1489" t="s">
        <v>1257</v>
      </c>
      <c r="E196" s="1488" t="s">
        <v>1264</v>
      </c>
      <c r="F196" s="1488" t="s">
        <v>1265</v>
      </c>
      <c r="G196" s="1512">
        <v>965</v>
      </c>
      <c r="H196" s="1492">
        <v>653</v>
      </c>
      <c r="I196" s="1492">
        <f t="shared" si="39"/>
        <v>48.25</v>
      </c>
      <c r="J196" s="1493">
        <f t="shared" si="38"/>
        <v>337.75</v>
      </c>
      <c r="K196" s="1492">
        <f t="shared" si="30"/>
        <v>723.75</v>
      </c>
      <c r="L196" s="1494">
        <f t="shared" si="31"/>
        <v>965</v>
      </c>
      <c r="M196" s="1505">
        <f>IFERROR(VLOOKUP($E$8:$E$196,'[1]INF GENERAL'!$B$2:$D$135,3,0),0)</f>
        <v>269</v>
      </c>
      <c r="N196" s="1496">
        <f>IFERROR(VLOOKUP($E$8:$E$196,'[1]INF GENERAL'!$F$2:$H$80,3,0),0)</f>
        <v>0</v>
      </c>
      <c r="O196" s="1496">
        <f>IFERROR(SUMIFS('[1]INF GENERAL'!$L:$L,'[1]INF GENERAL'!$J:$J,Tabla16[[#This Row],[Código]]),0)</f>
        <v>0</v>
      </c>
      <c r="P196" s="1496">
        <f>IFERROR(VLOOKUP($E$8:$E$196,'[1]INF GENERAL'!$V$2:$X$119,3,0),0)</f>
        <v>0</v>
      </c>
      <c r="Q196" s="1496">
        <f>IFERROR(SUMIFS('[1]INF GENERAL'!$P:$P,'[1]INF GENERAL'!$N:$N,Tabla16[[#This Row],[Código]]),0)</f>
        <v>0</v>
      </c>
      <c r="R196" s="1496">
        <f>IFERROR(VLOOKUP($E$8:$E$196,'[1]INF GENERAL'!$R$2:$T$119,3,0),0)</f>
        <v>0</v>
      </c>
      <c r="S196" s="1496">
        <f t="shared" si="44"/>
        <v>965</v>
      </c>
      <c r="T196" s="1496">
        <f t="shared" si="32"/>
        <v>965</v>
      </c>
      <c r="U196" s="1497">
        <f t="shared" si="45"/>
        <v>0</v>
      </c>
      <c r="V196" s="1498" t="str">
        <f t="shared" si="43"/>
        <v>INV&lt;7</v>
      </c>
      <c r="X196" s="1547"/>
      <c r="Y196" s="1547"/>
      <c r="Z196" s="1547"/>
    </row>
    <row r="197" spans="1:26" ht="15.75">
      <c r="A197" s="1550"/>
      <c r="B197" s="1551"/>
      <c r="C197" s="1552"/>
      <c r="D197" s="1553"/>
      <c r="E197" s="1550"/>
      <c r="F197" s="1550"/>
      <c r="G197" s="1554">
        <f>SUBTOTAL(109,Tabla16[FORECAST  FEBRERO 2026])</f>
        <v>213367</v>
      </c>
      <c r="H197" s="1554">
        <f>SUBTOTAL(109,Tabla16[FORECAST OP  2025])</f>
        <v>653</v>
      </c>
      <c r="I197" s="1554">
        <f>SUBTOTAL(109,Tabla16[VENTA / DIA])</f>
        <v>10668.350000000002</v>
      </c>
      <c r="J197" s="1554">
        <f>SUBTOTAL(109,Tabla16[MINIMO 7 DIAS])</f>
        <v>74678.45</v>
      </c>
      <c r="K197" s="1554">
        <f>SUBTOTAL(109,Tabla16[MEDIO])</f>
        <v>160025.25</v>
      </c>
      <c r="L197" s="1554">
        <f>SUBTOTAL(109,Tabla16[MAXIMO 20 DIAS])</f>
        <v>213367</v>
      </c>
      <c r="M197" s="1554">
        <f>SUBTOTAL(109,Tabla16[INVENTARIO INICIAL])</f>
        <v>112959</v>
      </c>
      <c r="N197" s="1554">
        <f>SUBTOTAL(109,Tabla16[ENTRADAS (PROD)])</f>
        <v>161092</v>
      </c>
      <c r="O197" s="1554">
        <f>SUBTOTAL(109,Tabla16[SALIDAS (VENTA TOTAL)])</f>
        <v>0</v>
      </c>
      <c r="P197" s="1554">
        <f>SUBTOTAL(109,Tabla16[SALIDAS (VENTA FARMATODO)])</f>
        <v>4885.1664999999994</v>
      </c>
      <c r="Q197" s="1554">
        <f>SUBTOTAL(109,Tabla16[INVENTARIO FINAL])</f>
        <v>0</v>
      </c>
      <c r="R197" s="1554">
        <f>SUBTOTAL(109,Tabla16[INVENTARIO FINAL (FARMATODO)])</f>
        <v>10833.594499999999</v>
      </c>
      <c r="S197" s="1554">
        <f>SUBTOTAL(109,Tabla16[VENTA PENDIENTE])</f>
        <v>208975.16690000001</v>
      </c>
      <c r="T197" s="1554">
        <f>SUBTOTAL(109,Tabla16[PRODUCCION PENDIENTE])</f>
        <v>213367</v>
      </c>
      <c r="U197" s="1554">
        <f>+AVERAGE(U14:U196)</f>
        <v>0</v>
      </c>
      <c r="V197" s="1555"/>
    </row>
    <row r="198" spans="1:26">
      <c r="J198" s="1483"/>
      <c r="K198" s="1483"/>
      <c r="L198" s="1483"/>
      <c r="M198" s="1483"/>
      <c r="N198" s="1483"/>
      <c r="O198" s="1483"/>
      <c r="P198" s="1483"/>
      <c r="Q198" s="1556"/>
      <c r="R198" s="1546"/>
      <c r="S198" s="1538"/>
      <c r="T198" s="1538"/>
      <c r="U198" s="1557"/>
      <c r="Z198" s="1510"/>
    </row>
    <row r="199" spans="1:26">
      <c r="J199" s="1483"/>
      <c r="K199" s="1483"/>
      <c r="L199" s="1483"/>
      <c r="M199" s="1483"/>
      <c r="N199" s="1483"/>
      <c r="O199" s="1558"/>
      <c r="P199" s="1483"/>
      <c r="Q199" s="1556"/>
      <c r="R199" s="1556"/>
      <c r="S199" s="1559"/>
      <c r="T199" s="1538"/>
      <c r="U199" s="1557"/>
    </row>
    <row r="200" spans="1:26">
      <c r="G200" s="1560"/>
      <c r="J200" s="1483"/>
      <c r="K200" s="1483"/>
      <c r="L200" s="1483"/>
      <c r="M200" s="1483"/>
      <c r="N200" s="1483"/>
      <c r="O200" s="1561"/>
      <c r="P200" s="1483"/>
      <c r="Q200" s="1556"/>
      <c r="R200" s="1562"/>
      <c r="S200" s="1559"/>
      <c r="T200" s="1559"/>
      <c r="U200" s="1557"/>
    </row>
    <row r="201" spans="1:26">
      <c r="G201" s="1563"/>
      <c r="J201" s="1483"/>
      <c r="K201" s="1483"/>
      <c r="L201" s="1483"/>
      <c r="M201" s="1483"/>
      <c r="N201" s="1483"/>
      <c r="O201" s="1483"/>
      <c r="P201" s="1558"/>
      <c r="Q201" s="1556"/>
      <c r="R201" s="1556"/>
      <c r="S201" s="1559"/>
      <c r="T201" s="1559"/>
      <c r="U201" s="1557"/>
    </row>
    <row r="202" spans="1:26">
      <c r="J202" s="1483"/>
      <c r="K202" s="1483"/>
      <c r="L202" s="1483"/>
      <c r="M202" s="1483"/>
      <c r="N202" s="1483"/>
      <c r="O202" s="1483"/>
      <c r="P202" s="1483"/>
      <c r="Q202" s="1556"/>
      <c r="R202" s="1556"/>
      <c r="S202" s="1559"/>
      <c r="T202" s="1559"/>
      <c r="U202" s="1557"/>
    </row>
    <row r="203" spans="1:26">
      <c r="J203" s="1483"/>
      <c r="K203" s="1483"/>
      <c r="L203" s="1483"/>
      <c r="M203" s="1483"/>
      <c r="N203" s="1558"/>
      <c r="O203" s="1483"/>
      <c r="P203" s="1483"/>
      <c r="Q203" s="1556"/>
      <c r="R203" s="1556"/>
      <c r="S203" s="1559"/>
      <c r="T203" s="1559"/>
      <c r="U203" s="1557"/>
    </row>
    <row r="204" spans="1:26">
      <c r="J204" s="1483"/>
      <c r="K204" s="1483"/>
      <c r="L204" s="1483"/>
      <c r="M204" s="1483"/>
      <c r="N204" s="1483"/>
      <c r="O204" s="1483"/>
      <c r="P204" s="1483"/>
      <c r="Q204" s="1556"/>
      <c r="R204" s="1556"/>
      <c r="S204" s="1559"/>
      <c r="T204" s="1538"/>
      <c r="U204" s="1557"/>
    </row>
    <row r="205" spans="1:26">
      <c r="J205" s="1483"/>
      <c r="K205" s="1483"/>
      <c r="L205" s="1483"/>
      <c r="M205" s="1483"/>
      <c r="N205" s="1483"/>
      <c r="O205" s="1480"/>
      <c r="P205" s="1483"/>
      <c r="Q205" s="1556"/>
      <c r="R205" s="1556"/>
      <c r="S205" s="1559"/>
      <c r="T205" s="1538"/>
      <c r="U205" s="1557"/>
    </row>
    <row r="206" spans="1:26">
      <c r="J206" s="1483"/>
      <c r="K206" s="1483"/>
      <c r="L206" s="1483"/>
      <c r="M206" s="1483"/>
      <c r="N206" s="1483"/>
      <c r="O206" s="1483"/>
      <c r="P206" s="1483"/>
      <c r="Q206" s="1546"/>
      <c r="R206" s="1556"/>
      <c r="S206" s="1559"/>
      <c r="T206" s="1538"/>
      <c r="U206" s="1557"/>
    </row>
    <row r="207" spans="1:26">
      <c r="J207" s="1483"/>
      <c r="K207" s="1483"/>
      <c r="L207" s="1483"/>
      <c r="M207" s="1483"/>
      <c r="N207" s="1483"/>
      <c r="O207" s="1483"/>
      <c r="P207" s="1483"/>
      <c r="Q207" s="1546"/>
      <c r="R207" s="1556"/>
      <c r="S207" s="1538"/>
      <c r="T207" s="1538"/>
      <c r="U207" s="1557"/>
    </row>
    <row r="208" spans="1:26">
      <c r="J208" s="1483"/>
      <c r="K208" s="1483"/>
      <c r="L208" s="1483"/>
      <c r="M208" s="1483"/>
      <c r="N208" s="1483"/>
      <c r="O208" s="1483"/>
      <c r="P208" s="1483"/>
      <c r="Q208" s="1546"/>
      <c r="R208" s="1556"/>
      <c r="S208" s="1538"/>
      <c r="T208" s="1538"/>
      <c r="U208" s="1557"/>
    </row>
    <row r="209" spans="10:21">
      <c r="J209" s="1483"/>
      <c r="K209" s="1483"/>
      <c r="L209" s="1483"/>
      <c r="M209" s="1483"/>
      <c r="N209" s="1483"/>
      <c r="O209" s="1483"/>
      <c r="P209" s="1483"/>
      <c r="Q209" s="1546"/>
      <c r="R209" s="1556"/>
      <c r="S209" s="1538"/>
      <c r="T209" s="1538"/>
      <c r="U209" s="1557"/>
    </row>
    <row r="210" spans="10:21">
      <c r="J210" s="1483"/>
      <c r="K210" s="1483"/>
      <c r="L210" s="1483"/>
      <c r="M210" s="1483"/>
      <c r="N210" s="1483"/>
      <c r="O210" s="1483"/>
      <c r="P210" s="1483"/>
      <c r="Q210" s="1546"/>
      <c r="R210" s="1556"/>
      <c r="S210" s="1538"/>
      <c r="T210" s="1538"/>
      <c r="U210" s="1557"/>
    </row>
    <row r="211" spans="10:21">
      <c r="J211" s="1483"/>
      <c r="K211" s="1483"/>
      <c r="L211" s="1483"/>
      <c r="M211" s="1483"/>
      <c r="N211" s="1483"/>
      <c r="O211" s="1483"/>
      <c r="P211" s="1483"/>
      <c r="Q211" s="1546"/>
      <c r="R211" s="1546"/>
      <c r="S211" s="1538"/>
      <c r="T211" s="1538"/>
      <c r="U211" s="1557"/>
    </row>
    <row r="212" spans="10:21">
      <c r="J212" s="1483"/>
      <c r="K212" s="1483"/>
      <c r="L212" s="1483"/>
      <c r="M212" s="1483"/>
      <c r="N212" s="1483"/>
      <c r="O212" s="1483"/>
      <c r="P212" s="1483"/>
      <c r="Q212" s="1546"/>
      <c r="R212" s="1546"/>
      <c r="S212" s="1538"/>
      <c r="T212" s="1538"/>
      <c r="U212" s="1557"/>
    </row>
    <row r="213" spans="10:21">
      <c r="J213" s="1483"/>
      <c r="K213" s="1483"/>
      <c r="L213" s="1483"/>
      <c r="M213" s="1483"/>
      <c r="N213" s="1483"/>
      <c r="O213" s="1483"/>
      <c r="P213" s="1483"/>
      <c r="Q213" s="1546"/>
      <c r="R213" s="1546"/>
      <c r="S213" s="1538"/>
      <c r="T213" s="1538"/>
      <c r="U213" s="1557"/>
    </row>
    <row r="214" spans="10:21">
      <c r="J214" s="1483"/>
      <c r="K214" s="1483"/>
      <c r="L214" s="1483"/>
      <c r="M214" s="1483"/>
      <c r="N214" s="1483"/>
      <c r="O214" s="1483"/>
      <c r="P214" s="1483"/>
      <c r="Q214" s="1546"/>
      <c r="R214" s="1546"/>
      <c r="S214" s="1538"/>
      <c r="T214" s="1538"/>
      <c r="U214" s="1557"/>
    </row>
    <row r="215" spans="10:21">
      <c r="J215" s="1483"/>
      <c r="K215" s="1483"/>
      <c r="L215" s="1483"/>
      <c r="M215" s="1483"/>
      <c r="N215" s="1483"/>
      <c r="O215" s="1483"/>
      <c r="P215" s="1483"/>
      <c r="Q215" s="1546"/>
      <c r="R215" s="1546"/>
      <c r="S215" s="1538"/>
      <c r="T215" s="1538"/>
      <c r="U215" s="1557"/>
    </row>
    <row r="216" spans="10:21">
      <c r="J216" s="1483"/>
      <c r="K216" s="1483"/>
      <c r="L216" s="1483"/>
      <c r="M216" s="1483"/>
      <c r="N216" s="1483"/>
      <c r="O216" s="1483"/>
      <c r="P216" s="1483"/>
      <c r="Q216" s="1546"/>
      <c r="R216" s="1546"/>
      <c r="S216" s="1538"/>
      <c r="T216" s="1538"/>
      <c r="U216" s="1557"/>
    </row>
    <row r="217" spans="10:21">
      <c r="J217" s="1483"/>
      <c r="K217" s="1483"/>
      <c r="L217" s="1483"/>
      <c r="M217" s="1483"/>
      <c r="N217" s="1483"/>
      <c r="O217" s="1483"/>
      <c r="P217" s="1483"/>
      <c r="Q217" s="1546"/>
      <c r="R217" s="1546"/>
      <c r="S217" s="1538"/>
      <c r="T217" s="1538"/>
      <c r="U217" s="1557"/>
    </row>
    <row r="218" spans="10:21">
      <c r="J218" s="1483"/>
      <c r="K218" s="1483"/>
      <c r="L218" s="1483"/>
      <c r="M218" s="1483"/>
      <c r="N218" s="1483"/>
      <c r="O218" s="1483"/>
      <c r="P218" s="1483"/>
      <c r="Q218" s="1546"/>
      <c r="R218" s="1546"/>
      <c r="S218" s="1538"/>
      <c r="T218" s="1538"/>
      <c r="U218" s="1557"/>
    </row>
    <row r="219" spans="10:21">
      <c r="J219" s="1483"/>
      <c r="K219" s="1483"/>
      <c r="L219" s="1483"/>
      <c r="M219" s="1483"/>
      <c r="N219" s="1483"/>
      <c r="O219" s="1483"/>
      <c r="P219" s="1483"/>
      <c r="Q219" s="1546"/>
      <c r="R219" s="1546"/>
      <c r="S219" s="1538"/>
      <c r="T219" s="1538"/>
      <c r="U219" s="1557"/>
    </row>
    <row r="220" spans="10:21">
      <c r="J220" s="1483"/>
      <c r="K220" s="1483"/>
      <c r="L220" s="1483"/>
      <c r="M220" s="1483"/>
      <c r="N220" s="1483"/>
      <c r="O220" s="1483"/>
      <c r="P220" s="1483"/>
      <c r="Q220" s="1546"/>
      <c r="R220" s="1546"/>
      <c r="S220" s="1538"/>
      <c r="T220" s="1538"/>
      <c r="U220" s="1557"/>
    </row>
    <row r="221" spans="10:21">
      <c r="J221" s="1483"/>
      <c r="K221" s="1483"/>
      <c r="L221" s="1483"/>
      <c r="M221" s="1483"/>
      <c r="N221" s="1483"/>
      <c r="O221" s="1483"/>
      <c r="P221" s="1483"/>
      <c r="Q221" s="1546"/>
      <c r="R221" s="1546"/>
      <c r="S221" s="1538"/>
      <c r="T221" s="1538"/>
      <c r="U221" s="1557"/>
    </row>
    <row r="222" spans="10:21">
      <c r="J222" s="1483"/>
      <c r="K222" s="1483"/>
      <c r="L222" s="1483"/>
      <c r="M222" s="1483"/>
      <c r="N222" s="1483"/>
      <c r="O222" s="1483"/>
      <c r="P222" s="1483"/>
      <c r="Q222" s="1546"/>
      <c r="R222" s="1546"/>
      <c r="S222" s="1538"/>
      <c r="T222" s="1538"/>
      <c r="U222" s="1557"/>
    </row>
    <row r="223" spans="10:21">
      <c r="J223" s="1483"/>
      <c r="K223" s="1483"/>
      <c r="L223" s="1483"/>
      <c r="M223" s="1483"/>
      <c r="N223" s="1483"/>
      <c r="O223" s="1483"/>
      <c r="P223" s="1483"/>
      <c r="Q223" s="1546"/>
      <c r="R223" s="1546"/>
      <c r="S223" s="1538"/>
      <c r="T223" s="1538"/>
      <c r="U223" s="1557"/>
    </row>
    <row r="224" spans="10:21">
      <c r="J224" s="1483"/>
      <c r="K224" s="1483"/>
      <c r="L224" s="1483"/>
      <c r="M224" s="1483"/>
      <c r="N224" s="1483"/>
      <c r="O224" s="1483"/>
      <c r="P224" s="1483"/>
      <c r="Q224" s="1546"/>
      <c r="R224" s="1546"/>
      <c r="S224" s="1538"/>
      <c r="T224" s="1538"/>
      <c r="U224" s="1557"/>
    </row>
    <row r="225" spans="10:21">
      <c r="J225" s="1483"/>
      <c r="K225" s="1483"/>
      <c r="L225" s="1483"/>
      <c r="M225" s="1483"/>
      <c r="N225" s="1483"/>
      <c r="O225" s="1483"/>
      <c r="P225" s="1483"/>
      <c r="Q225" s="1546"/>
      <c r="R225" s="1546"/>
      <c r="S225" s="1538"/>
      <c r="T225" s="1538"/>
      <c r="U225" s="1557"/>
    </row>
    <row r="226" spans="10:21">
      <c r="J226" s="1483"/>
      <c r="K226" s="1483"/>
      <c r="L226" s="1483"/>
      <c r="M226" s="1483"/>
      <c r="N226" s="1483"/>
      <c r="O226" s="1483"/>
      <c r="P226" s="1483"/>
      <c r="Q226" s="1546"/>
      <c r="R226" s="1546"/>
      <c r="S226" s="1538"/>
      <c r="T226" s="1538"/>
      <c r="U226" s="1557"/>
    </row>
    <row r="227" spans="10:21">
      <c r="J227" s="1483"/>
      <c r="K227" s="1483"/>
      <c r="L227" s="1483"/>
      <c r="M227" s="1483"/>
      <c r="N227" s="1483"/>
      <c r="O227" s="1483"/>
      <c r="P227" s="1483"/>
      <c r="Q227" s="1546"/>
      <c r="R227" s="1546"/>
      <c r="S227" s="1538"/>
      <c r="T227" s="1538"/>
      <c r="U227" s="1557"/>
    </row>
    <row r="228" spans="10:21">
      <c r="J228" s="1483"/>
      <c r="K228" s="1483"/>
      <c r="L228" s="1483"/>
      <c r="M228" s="1483"/>
      <c r="N228" s="1483"/>
      <c r="O228" s="1483"/>
      <c r="P228" s="1483"/>
      <c r="Q228" s="1546"/>
      <c r="R228" s="1546"/>
      <c r="S228" s="1538"/>
      <c r="T228" s="1538"/>
      <c r="U228" s="1557"/>
    </row>
    <row r="229" spans="10:21">
      <c r="J229" s="1483"/>
      <c r="K229" s="1483"/>
      <c r="L229" s="1483"/>
      <c r="M229" s="1483"/>
      <c r="N229" s="1483"/>
      <c r="O229" s="1483"/>
      <c r="P229" s="1483"/>
      <c r="Q229" s="1546"/>
      <c r="R229" s="1546"/>
      <c r="S229" s="1538"/>
      <c r="T229" s="1538"/>
      <c r="U229" s="1557"/>
    </row>
    <row r="230" spans="10:21">
      <c r="J230" s="1483"/>
      <c r="K230" s="1483"/>
      <c r="L230" s="1483"/>
      <c r="M230" s="1483"/>
      <c r="N230" s="1483"/>
      <c r="O230" s="1483"/>
      <c r="P230" s="1483"/>
      <c r="Q230" s="1546"/>
      <c r="R230" s="1546"/>
      <c r="S230" s="1538"/>
      <c r="T230" s="1538"/>
      <c r="U230" s="1557"/>
    </row>
    <row r="231" spans="10:21">
      <c r="J231" s="1483"/>
      <c r="K231" s="1483"/>
      <c r="L231" s="1483"/>
      <c r="M231" s="1483"/>
      <c r="N231" s="1483"/>
      <c r="O231" s="1483"/>
      <c r="P231" s="1483"/>
      <c r="Q231" s="1546"/>
      <c r="R231" s="1546"/>
      <c r="S231" s="1538"/>
      <c r="T231" s="1538"/>
      <c r="U231" s="1557"/>
    </row>
    <row r="232" spans="10:21">
      <c r="J232" s="1483"/>
      <c r="K232" s="1483"/>
      <c r="L232" s="1483"/>
      <c r="M232" s="1483"/>
      <c r="N232" s="1483"/>
      <c r="O232" s="1483"/>
      <c r="P232" s="1483"/>
      <c r="Q232" s="1546"/>
      <c r="R232" s="1546"/>
      <c r="S232" s="1538"/>
      <c r="T232" s="1538"/>
      <c r="U232" s="1557"/>
    </row>
    <row r="233" spans="10:21">
      <c r="J233" s="1483"/>
      <c r="K233" s="1483"/>
      <c r="L233" s="1483"/>
      <c r="M233" s="1483"/>
      <c r="N233" s="1483"/>
      <c r="O233" s="1483"/>
      <c r="P233" s="1483"/>
      <c r="Q233" s="1546"/>
      <c r="R233" s="1546"/>
      <c r="S233" s="1538"/>
      <c r="T233" s="1538"/>
      <c r="U233" s="1557"/>
    </row>
    <row r="234" spans="10:21">
      <c r="J234" s="1483"/>
      <c r="K234" s="1483"/>
      <c r="L234" s="1483"/>
      <c r="M234" s="1483"/>
      <c r="N234" s="1483"/>
      <c r="O234" s="1483"/>
      <c r="P234" s="1483"/>
      <c r="Q234" s="1546"/>
      <c r="R234" s="1546"/>
      <c r="S234" s="1538"/>
      <c r="T234" s="1538"/>
      <c r="U234" s="1557"/>
    </row>
    <row r="235" spans="10:21">
      <c r="J235" s="1483"/>
      <c r="K235" s="1483"/>
      <c r="L235" s="1483"/>
      <c r="M235" s="1483"/>
      <c r="N235" s="1483"/>
      <c r="O235" s="1483"/>
      <c r="P235" s="1483"/>
      <c r="Q235" s="1546"/>
      <c r="R235" s="1546"/>
      <c r="S235" s="1538"/>
      <c r="T235" s="1538"/>
      <c r="U235" s="1557"/>
    </row>
    <row r="236" spans="10:21">
      <c r="J236" s="1483"/>
      <c r="K236" s="1483"/>
      <c r="L236" s="1483"/>
      <c r="M236" s="1483"/>
      <c r="N236" s="1483"/>
      <c r="O236" s="1483"/>
      <c r="P236" s="1483"/>
      <c r="Q236" s="1546"/>
      <c r="R236" s="1546"/>
      <c r="S236" s="1538"/>
      <c r="T236" s="1538"/>
      <c r="U236" s="1557"/>
    </row>
    <row r="237" spans="10:21">
      <c r="J237" s="1483"/>
      <c r="K237" s="1483"/>
      <c r="L237" s="1483"/>
      <c r="M237" s="1483"/>
      <c r="N237" s="1483"/>
      <c r="O237" s="1483"/>
      <c r="P237" s="1483"/>
      <c r="Q237" s="1546"/>
      <c r="R237" s="1546"/>
      <c r="S237" s="1538"/>
      <c r="T237" s="1538"/>
      <c r="U237" s="1557"/>
    </row>
    <row r="238" spans="10:21">
      <c r="J238" s="1483"/>
      <c r="K238" s="1483"/>
      <c r="L238" s="1483"/>
      <c r="M238" s="1483"/>
      <c r="N238" s="1483"/>
      <c r="O238" s="1483"/>
      <c r="P238" s="1483"/>
      <c r="Q238" s="1546"/>
      <c r="R238" s="1546"/>
      <c r="S238" s="1538"/>
      <c r="T238" s="1538"/>
      <c r="U238" s="1557"/>
    </row>
    <row r="239" spans="10:21">
      <c r="J239" s="1483"/>
      <c r="K239" s="1483"/>
      <c r="L239" s="1483"/>
      <c r="M239" s="1483"/>
      <c r="N239" s="1483"/>
      <c r="O239" s="1483"/>
      <c r="P239" s="1483"/>
      <c r="Q239" s="1546"/>
      <c r="R239" s="1546"/>
      <c r="S239" s="1538"/>
      <c r="T239" s="1538"/>
      <c r="U239" s="1557"/>
    </row>
    <row r="240" spans="10:21">
      <c r="J240" s="1483"/>
      <c r="K240" s="1483"/>
      <c r="L240" s="1483"/>
      <c r="M240" s="1483"/>
      <c r="N240" s="1483"/>
      <c r="O240" s="1483"/>
      <c r="P240" s="1483"/>
      <c r="Q240" s="1546"/>
      <c r="R240" s="1546"/>
      <c r="S240" s="1538"/>
      <c r="T240" s="1538"/>
      <c r="U240" s="1557"/>
    </row>
    <row r="241" spans="10:21">
      <c r="J241" s="1483"/>
      <c r="K241" s="1483"/>
      <c r="L241" s="1483"/>
      <c r="M241" s="1483"/>
      <c r="N241" s="1483"/>
      <c r="O241" s="1483"/>
      <c r="P241" s="1483"/>
      <c r="Q241" s="1546"/>
      <c r="R241" s="1546"/>
      <c r="S241" s="1538"/>
      <c r="T241" s="1538"/>
      <c r="U241" s="1557"/>
    </row>
    <row r="242" spans="10:21">
      <c r="J242" s="1483"/>
      <c r="K242" s="1483"/>
      <c r="L242" s="1483"/>
      <c r="M242" s="1483"/>
      <c r="N242" s="1483"/>
      <c r="O242" s="1483"/>
      <c r="P242" s="1483"/>
      <c r="Q242" s="1546"/>
      <c r="R242" s="1546"/>
      <c r="S242" s="1538"/>
      <c r="T242" s="1538"/>
      <c r="U242" s="1557"/>
    </row>
    <row r="243" spans="10:21">
      <c r="J243" s="1483"/>
      <c r="K243" s="1483"/>
      <c r="L243" s="1483"/>
      <c r="M243" s="1483"/>
      <c r="N243" s="1483"/>
      <c r="O243" s="1483"/>
      <c r="P243" s="1483"/>
      <c r="Q243" s="1546"/>
      <c r="R243" s="1546"/>
      <c r="S243" s="1538"/>
      <c r="T243" s="1538"/>
      <c r="U243" s="1557"/>
    </row>
    <row r="244" spans="10:21">
      <c r="J244" s="1483"/>
      <c r="K244" s="1483"/>
      <c r="L244" s="1483"/>
      <c r="M244" s="1483"/>
      <c r="N244" s="1483"/>
      <c r="O244" s="1483"/>
      <c r="P244" s="1483"/>
      <c r="Q244" s="1546"/>
      <c r="R244" s="1546"/>
      <c r="S244" s="1538"/>
      <c r="T244" s="1538"/>
      <c r="U244" s="1557"/>
    </row>
    <row r="245" spans="10:21">
      <c r="J245" s="1483"/>
      <c r="K245" s="1483"/>
      <c r="L245" s="1483"/>
      <c r="M245" s="1483"/>
      <c r="N245" s="1483"/>
      <c r="O245" s="1483"/>
      <c r="P245" s="1483"/>
      <c r="Q245" s="1546"/>
      <c r="R245" s="1546"/>
      <c r="S245" s="1538"/>
      <c r="T245" s="1538"/>
      <c r="U245" s="1557"/>
    </row>
    <row r="246" spans="10:21">
      <c r="J246" s="1483"/>
      <c r="K246" s="1483"/>
      <c r="L246" s="1483"/>
      <c r="M246" s="1483"/>
      <c r="N246" s="1483"/>
      <c r="O246" s="1483"/>
      <c r="P246" s="1483"/>
      <c r="Q246" s="1546"/>
      <c r="R246" s="1546"/>
      <c r="S246" s="1538"/>
      <c r="T246" s="1538"/>
      <c r="U246" s="1557"/>
    </row>
    <row r="247" spans="10:21">
      <c r="J247" s="1483"/>
      <c r="K247" s="1483"/>
      <c r="L247" s="1483"/>
      <c r="M247" s="1483"/>
      <c r="N247" s="1483"/>
      <c r="O247" s="1483"/>
      <c r="P247" s="1483"/>
      <c r="Q247" s="1546"/>
      <c r="R247" s="1546"/>
      <c r="S247" s="1538"/>
      <c r="T247" s="1538"/>
      <c r="U247" s="1557"/>
    </row>
    <row r="248" spans="10:21">
      <c r="J248" s="1483"/>
      <c r="K248" s="1483"/>
      <c r="L248" s="1483"/>
      <c r="M248" s="1483"/>
      <c r="N248" s="1483"/>
      <c r="O248" s="1483"/>
      <c r="P248" s="1483"/>
      <c r="Q248" s="1546"/>
      <c r="R248" s="1546"/>
      <c r="S248" s="1538"/>
      <c r="T248" s="1538"/>
      <c r="U248" s="1557"/>
    </row>
    <row r="249" spans="10:21">
      <c r="J249" s="1483"/>
      <c r="K249" s="1483"/>
      <c r="L249" s="1483"/>
      <c r="M249" s="1483"/>
      <c r="N249" s="1483"/>
      <c r="O249" s="1483"/>
      <c r="P249" s="1483"/>
      <c r="Q249" s="1546"/>
      <c r="R249" s="1546"/>
      <c r="S249" s="1538"/>
      <c r="T249" s="1538"/>
      <c r="U249" s="1557"/>
    </row>
    <row r="250" spans="10:21">
      <c r="J250" s="1483"/>
      <c r="K250" s="1483"/>
      <c r="L250" s="1483"/>
      <c r="M250" s="1483"/>
      <c r="N250" s="1483"/>
      <c r="O250" s="1483"/>
      <c r="P250" s="1483"/>
      <c r="Q250" s="1546"/>
      <c r="R250" s="1546"/>
      <c r="S250" s="1538"/>
      <c r="T250" s="1538"/>
      <c r="U250" s="1557"/>
    </row>
    <row r="251" spans="10:21">
      <c r="J251" s="1483"/>
      <c r="K251" s="1483"/>
      <c r="L251" s="1483"/>
      <c r="M251" s="1483"/>
      <c r="N251" s="1483"/>
      <c r="O251" s="1483"/>
      <c r="P251" s="1483"/>
      <c r="Q251" s="1546"/>
      <c r="R251" s="1546"/>
      <c r="S251" s="1538"/>
      <c r="T251" s="1538"/>
      <c r="U251" s="1557"/>
    </row>
    <row r="252" spans="10:21">
      <c r="J252" s="1483"/>
      <c r="K252" s="1483"/>
      <c r="L252" s="1483"/>
      <c r="M252" s="1483"/>
      <c r="N252" s="1483"/>
      <c r="O252" s="1483"/>
      <c r="P252" s="1483"/>
      <c r="Q252" s="1546"/>
      <c r="R252" s="1546"/>
      <c r="S252" s="1538"/>
      <c r="T252" s="1538"/>
      <c r="U252" s="1557"/>
    </row>
    <row r="253" spans="10:21">
      <c r="J253" s="1483"/>
      <c r="K253" s="1483"/>
      <c r="L253" s="1483"/>
      <c r="M253" s="1483"/>
      <c r="N253" s="1483"/>
      <c r="O253" s="1483"/>
      <c r="P253" s="1483"/>
      <c r="Q253" s="1546"/>
      <c r="R253" s="1546"/>
      <c r="S253" s="1538"/>
      <c r="T253" s="1538"/>
      <c r="U253" s="1557"/>
    </row>
    <row r="254" spans="10:21">
      <c r="J254" s="1483"/>
      <c r="K254" s="1483"/>
      <c r="L254" s="1483"/>
      <c r="M254" s="1483"/>
      <c r="N254" s="1483"/>
      <c r="O254" s="1483"/>
      <c r="P254" s="1483"/>
      <c r="Q254" s="1546"/>
      <c r="R254" s="1546"/>
      <c r="S254" s="1538"/>
      <c r="T254" s="1538"/>
      <c r="U254" s="1557"/>
    </row>
    <row r="255" spans="10:21">
      <c r="J255" s="1483"/>
      <c r="K255" s="1483"/>
      <c r="L255" s="1483"/>
      <c r="M255" s="1483"/>
      <c r="N255" s="1483"/>
      <c r="O255" s="1483"/>
      <c r="P255" s="1483"/>
      <c r="Q255" s="1546"/>
      <c r="R255" s="1546"/>
      <c r="S255" s="1538"/>
      <c r="T255" s="1538"/>
      <c r="U255" s="1557"/>
    </row>
    <row r="256" spans="10:21">
      <c r="J256" s="1483"/>
      <c r="K256" s="1483"/>
      <c r="L256" s="1483"/>
      <c r="M256" s="1483"/>
      <c r="N256" s="1483"/>
      <c r="O256" s="1483"/>
      <c r="P256" s="1483"/>
      <c r="Q256" s="1546"/>
      <c r="R256" s="1546"/>
      <c r="S256" s="1538"/>
      <c r="T256" s="1538"/>
      <c r="U256" s="1557"/>
    </row>
    <row r="257" spans="10:21">
      <c r="J257" s="1483"/>
      <c r="K257" s="1483"/>
      <c r="L257" s="1483"/>
      <c r="M257" s="1483"/>
      <c r="N257" s="1483"/>
      <c r="O257" s="1483"/>
      <c r="P257" s="1483"/>
      <c r="Q257" s="1546"/>
      <c r="R257" s="1546"/>
      <c r="S257" s="1538"/>
      <c r="T257" s="1538"/>
      <c r="U257" s="1557"/>
    </row>
    <row r="258" spans="10:21">
      <c r="J258" s="1483"/>
      <c r="K258" s="1483"/>
      <c r="L258" s="1483"/>
      <c r="M258" s="1483"/>
      <c r="N258" s="1483"/>
      <c r="O258" s="1483"/>
      <c r="P258" s="1483"/>
      <c r="Q258" s="1546"/>
      <c r="R258" s="1546"/>
      <c r="S258" s="1538"/>
      <c r="T258" s="1538"/>
      <c r="U258" s="1557"/>
    </row>
    <row r="259" spans="10:21">
      <c r="J259" s="1483"/>
      <c r="K259" s="1483"/>
      <c r="L259" s="1483"/>
      <c r="M259" s="1483"/>
      <c r="N259" s="1483"/>
      <c r="O259" s="1483"/>
      <c r="P259" s="1483"/>
      <c r="Q259" s="1546"/>
      <c r="R259" s="1546"/>
      <c r="S259" s="1538"/>
      <c r="T259" s="1538"/>
      <c r="U259" s="1557"/>
    </row>
    <row r="260" spans="10:21">
      <c r="J260" s="1483"/>
      <c r="K260" s="1483"/>
      <c r="L260" s="1483"/>
      <c r="M260" s="1483"/>
      <c r="N260" s="1483"/>
      <c r="O260" s="1483"/>
      <c r="P260" s="1483"/>
      <c r="Q260" s="1546"/>
      <c r="R260" s="1546"/>
      <c r="S260" s="1538"/>
      <c r="T260" s="1538"/>
      <c r="U260" s="1557"/>
    </row>
    <row r="261" spans="10:21">
      <c r="J261" s="1483"/>
      <c r="K261" s="1483"/>
      <c r="L261" s="1483"/>
      <c r="M261" s="1483"/>
      <c r="N261" s="1483"/>
      <c r="O261" s="1483"/>
      <c r="P261" s="1483"/>
      <c r="Q261" s="1546"/>
      <c r="R261" s="1546"/>
      <c r="S261" s="1538"/>
      <c r="T261" s="1538"/>
      <c r="U261" s="1557"/>
    </row>
    <row r="262" spans="10:21">
      <c r="J262" s="1483"/>
      <c r="K262" s="1483"/>
      <c r="L262" s="1483"/>
      <c r="M262" s="1483"/>
      <c r="N262" s="1483"/>
      <c r="O262" s="1483"/>
      <c r="P262" s="1483"/>
      <c r="Q262" s="1546"/>
      <c r="R262" s="1546"/>
      <c r="S262" s="1538"/>
      <c r="T262" s="1538"/>
      <c r="U262" s="1557"/>
    </row>
    <row r="263" spans="10:21">
      <c r="J263" s="1483"/>
      <c r="K263" s="1483"/>
      <c r="L263" s="1483"/>
      <c r="M263" s="1483"/>
      <c r="N263" s="1483"/>
      <c r="O263" s="1483"/>
      <c r="P263" s="1483"/>
      <c r="Q263" s="1546"/>
      <c r="R263" s="1546"/>
      <c r="S263" s="1538"/>
      <c r="T263" s="1538"/>
      <c r="U263" s="1557"/>
    </row>
    <row r="264" spans="10:21">
      <c r="J264" s="1483"/>
      <c r="K264" s="1483"/>
      <c r="L264" s="1483"/>
      <c r="M264" s="1483"/>
      <c r="N264" s="1483"/>
      <c r="O264" s="1483"/>
      <c r="P264" s="1483"/>
      <c r="Q264" s="1546"/>
      <c r="R264" s="1546"/>
      <c r="S264" s="1538"/>
      <c r="T264" s="1538"/>
      <c r="U264" s="1557"/>
    </row>
    <row r="265" spans="10:21">
      <c r="J265" s="1483"/>
      <c r="K265" s="1483"/>
      <c r="L265" s="1483"/>
      <c r="M265" s="1483"/>
      <c r="N265" s="1483"/>
      <c r="O265" s="1483"/>
      <c r="P265" s="1483"/>
      <c r="Q265" s="1546"/>
      <c r="R265" s="1546"/>
      <c r="S265" s="1538"/>
      <c r="T265" s="1538"/>
      <c r="U265" s="1557"/>
    </row>
    <row r="266" spans="10:21">
      <c r="J266" s="1483"/>
      <c r="K266" s="1483"/>
      <c r="L266" s="1483"/>
      <c r="M266" s="1483"/>
      <c r="N266" s="1483"/>
      <c r="O266" s="1483"/>
      <c r="P266" s="1483"/>
      <c r="Q266" s="1546"/>
      <c r="R266" s="1546"/>
      <c r="S266" s="1538"/>
      <c r="T266" s="1538"/>
      <c r="U266" s="1557"/>
    </row>
    <row r="267" spans="10:21">
      <c r="J267" s="1483"/>
      <c r="K267" s="1483"/>
      <c r="L267" s="1483"/>
      <c r="M267" s="1483"/>
      <c r="N267" s="1483"/>
      <c r="O267" s="1483"/>
      <c r="P267" s="1483"/>
      <c r="Q267" s="1546"/>
      <c r="R267" s="1546"/>
      <c r="S267" s="1538"/>
      <c r="T267" s="1538"/>
      <c r="U267" s="1557"/>
    </row>
    <row r="268" spans="10:21">
      <c r="J268" s="1483"/>
      <c r="K268" s="1483"/>
      <c r="L268" s="1483"/>
      <c r="M268" s="1483"/>
      <c r="N268" s="1483"/>
      <c r="O268" s="1483"/>
      <c r="P268" s="1483"/>
      <c r="Q268" s="1546"/>
      <c r="R268" s="1546"/>
      <c r="S268" s="1538"/>
      <c r="T268" s="1538"/>
      <c r="U268" s="1557"/>
    </row>
    <row r="269" spans="10:21">
      <c r="J269" s="1483"/>
      <c r="K269" s="1483"/>
      <c r="L269" s="1483"/>
      <c r="M269" s="1483"/>
      <c r="N269" s="1483"/>
      <c r="O269" s="1483"/>
      <c r="P269" s="1483"/>
      <c r="Q269" s="1546"/>
      <c r="R269" s="1546"/>
      <c r="S269" s="1538"/>
      <c r="T269" s="1538"/>
      <c r="U269" s="1557"/>
    </row>
    <row r="270" spans="10:21">
      <c r="J270" s="1483"/>
      <c r="K270" s="1483"/>
      <c r="L270" s="1483"/>
      <c r="M270" s="1483"/>
      <c r="N270" s="1483"/>
      <c r="O270" s="1483"/>
      <c r="P270" s="1483"/>
      <c r="Q270" s="1546"/>
      <c r="R270" s="1546"/>
      <c r="S270" s="1538"/>
      <c r="T270" s="1538"/>
      <c r="U270" s="1557"/>
    </row>
    <row r="271" spans="10:21">
      <c r="J271" s="1483"/>
      <c r="K271" s="1483"/>
      <c r="L271" s="1483"/>
      <c r="M271" s="1483"/>
      <c r="N271" s="1483"/>
      <c r="O271" s="1483"/>
      <c r="P271" s="1483"/>
      <c r="Q271" s="1546"/>
      <c r="R271" s="1546"/>
      <c r="S271" s="1538"/>
      <c r="T271" s="1538"/>
      <c r="U271" s="1557"/>
    </row>
    <row r="272" spans="10:21">
      <c r="J272" s="1483"/>
      <c r="K272" s="1483"/>
      <c r="L272" s="1483"/>
      <c r="M272" s="1483"/>
      <c r="N272" s="1483"/>
      <c r="O272" s="1483"/>
      <c r="P272" s="1483"/>
      <c r="Q272" s="1546"/>
      <c r="R272" s="1546"/>
      <c r="S272" s="1538"/>
      <c r="T272" s="1538"/>
      <c r="U272" s="1557"/>
    </row>
    <row r="273" spans="10:21">
      <c r="J273" s="1483"/>
      <c r="K273" s="1483"/>
      <c r="L273" s="1483"/>
      <c r="M273" s="1483"/>
      <c r="N273" s="1483"/>
      <c r="O273" s="1483"/>
      <c r="P273" s="1483"/>
      <c r="Q273" s="1546"/>
      <c r="R273" s="1546"/>
      <c r="S273" s="1538"/>
      <c r="T273" s="1538"/>
      <c r="U273" s="1557"/>
    </row>
    <row r="274" spans="10:21">
      <c r="J274" s="1483"/>
      <c r="K274" s="1483"/>
      <c r="L274" s="1483"/>
      <c r="M274" s="1483"/>
      <c r="N274" s="1483"/>
      <c r="O274" s="1483"/>
      <c r="P274" s="1483"/>
      <c r="Q274" s="1546"/>
      <c r="R274" s="1546"/>
      <c r="S274" s="1538"/>
      <c r="T274" s="1538"/>
      <c r="U274" s="1557"/>
    </row>
    <row r="275" spans="10:21">
      <c r="J275" s="1483"/>
      <c r="K275" s="1483"/>
      <c r="L275" s="1483"/>
      <c r="M275" s="1483"/>
      <c r="N275" s="1483"/>
      <c r="O275" s="1483"/>
      <c r="P275" s="1483"/>
      <c r="Q275" s="1546"/>
      <c r="R275" s="1546"/>
      <c r="S275" s="1538"/>
      <c r="T275" s="1538"/>
      <c r="U275" s="1557"/>
    </row>
    <row r="276" spans="10:21">
      <c r="J276" s="1483"/>
      <c r="K276" s="1483"/>
      <c r="L276" s="1483"/>
      <c r="M276" s="1483"/>
      <c r="N276" s="1483"/>
      <c r="O276" s="1483"/>
      <c r="P276" s="1483"/>
      <c r="Q276" s="1546"/>
      <c r="R276" s="1546"/>
      <c r="S276" s="1538"/>
      <c r="T276" s="1538"/>
      <c r="U276" s="1557"/>
    </row>
    <row r="277" spans="10:21">
      <c r="J277" s="1483"/>
      <c r="K277" s="1483"/>
      <c r="L277" s="1483"/>
      <c r="M277" s="1483"/>
      <c r="N277" s="1483"/>
      <c r="O277" s="1483"/>
      <c r="P277" s="1483"/>
      <c r="Q277" s="1546"/>
      <c r="R277" s="1546"/>
      <c r="S277" s="1538"/>
      <c r="T277" s="1538"/>
      <c r="U277" s="1557"/>
    </row>
    <row r="278" spans="10:21">
      <c r="J278" s="1483"/>
      <c r="K278" s="1483"/>
      <c r="L278" s="1483"/>
      <c r="M278" s="1483"/>
      <c r="N278" s="1483"/>
      <c r="O278" s="1483"/>
      <c r="P278" s="1483"/>
      <c r="Q278" s="1546"/>
      <c r="R278" s="1546"/>
      <c r="S278" s="1538"/>
      <c r="T278" s="1538"/>
      <c r="U278" s="1557"/>
    </row>
    <row r="279" spans="10:21">
      <c r="J279" s="1483"/>
      <c r="K279" s="1483"/>
      <c r="L279" s="1483"/>
      <c r="M279" s="1483"/>
      <c r="N279" s="1483"/>
      <c r="O279" s="1483"/>
      <c r="P279" s="1483"/>
      <c r="Q279" s="1546"/>
      <c r="R279" s="1546"/>
      <c r="S279" s="1538"/>
      <c r="T279" s="1538"/>
      <c r="U279" s="1557"/>
    </row>
    <row r="280" spans="10:21">
      <c r="J280" s="1483"/>
      <c r="K280" s="1483"/>
      <c r="L280" s="1483"/>
      <c r="M280" s="1483"/>
      <c r="N280" s="1483"/>
      <c r="O280" s="1483"/>
      <c r="P280" s="1483"/>
      <c r="Q280" s="1546"/>
      <c r="R280" s="1546"/>
      <c r="S280" s="1538"/>
      <c r="T280" s="1538"/>
      <c r="U280" s="1557"/>
    </row>
    <row r="281" spans="10:21">
      <c r="J281" s="1483"/>
      <c r="K281" s="1483"/>
      <c r="L281" s="1483"/>
      <c r="M281" s="1483"/>
      <c r="N281" s="1483"/>
      <c r="O281" s="1483"/>
      <c r="P281" s="1483"/>
      <c r="Q281" s="1546"/>
      <c r="R281" s="1546"/>
      <c r="S281" s="1538"/>
      <c r="T281" s="1538"/>
      <c r="U281" s="1557"/>
    </row>
    <row r="282" spans="10:21">
      <c r="J282" s="1483"/>
      <c r="K282" s="1483"/>
      <c r="L282" s="1483"/>
      <c r="M282" s="1483"/>
      <c r="N282" s="1483"/>
      <c r="O282" s="1483"/>
      <c r="P282" s="1483"/>
      <c r="Q282" s="1546"/>
      <c r="R282" s="1546"/>
      <c r="S282" s="1538"/>
      <c r="T282" s="1538"/>
      <c r="U282" s="1557"/>
    </row>
    <row r="283" spans="10:21">
      <c r="J283" s="1483"/>
      <c r="K283" s="1483"/>
      <c r="L283" s="1483"/>
      <c r="M283" s="1483"/>
      <c r="N283" s="1483"/>
      <c r="O283" s="1483"/>
      <c r="P283" s="1483"/>
      <c r="Q283" s="1546"/>
      <c r="R283" s="1546"/>
      <c r="S283" s="1538"/>
      <c r="T283" s="1538"/>
      <c r="U283" s="1557"/>
    </row>
    <row r="284" spans="10:21">
      <c r="J284" s="1483"/>
      <c r="K284" s="1483"/>
      <c r="L284" s="1483"/>
      <c r="M284" s="1483"/>
      <c r="N284" s="1483"/>
      <c r="O284" s="1483"/>
      <c r="P284" s="1483"/>
      <c r="Q284" s="1546"/>
      <c r="R284" s="1546"/>
      <c r="S284" s="1538"/>
      <c r="T284" s="1538"/>
      <c r="U284" s="1557"/>
    </row>
    <row r="285" spans="10:21">
      <c r="J285" s="1483"/>
      <c r="K285" s="1483"/>
      <c r="L285" s="1483"/>
      <c r="M285" s="1483"/>
      <c r="N285" s="1483"/>
      <c r="O285" s="1483"/>
      <c r="P285" s="1483"/>
      <c r="Q285" s="1546"/>
      <c r="R285" s="1546"/>
      <c r="S285" s="1538"/>
      <c r="T285" s="1538"/>
      <c r="U285" s="1557"/>
    </row>
    <row r="286" spans="10:21">
      <c r="J286" s="1483"/>
      <c r="K286" s="1483"/>
      <c r="L286" s="1483"/>
      <c r="M286" s="1483"/>
      <c r="N286" s="1483"/>
      <c r="O286" s="1483"/>
      <c r="P286" s="1483"/>
      <c r="Q286" s="1546"/>
      <c r="R286" s="1546"/>
      <c r="S286" s="1538"/>
      <c r="T286" s="1538"/>
      <c r="U286" s="1557"/>
    </row>
    <row r="287" spans="10:21">
      <c r="J287" s="1483"/>
      <c r="K287" s="1483"/>
      <c r="L287" s="1483"/>
      <c r="M287" s="1483"/>
      <c r="N287" s="1483"/>
      <c r="O287" s="1483"/>
      <c r="P287" s="1483"/>
      <c r="Q287" s="1546"/>
      <c r="R287" s="1546"/>
      <c r="S287" s="1538"/>
      <c r="T287" s="1538"/>
      <c r="U287" s="1557"/>
    </row>
    <row r="288" spans="10:21">
      <c r="J288" s="1483"/>
      <c r="K288" s="1483"/>
      <c r="L288" s="1483"/>
      <c r="M288" s="1483"/>
      <c r="N288" s="1483"/>
      <c r="O288" s="1483"/>
      <c r="P288" s="1483"/>
      <c r="Q288" s="1546"/>
      <c r="R288" s="1546"/>
      <c r="S288" s="1538"/>
      <c r="T288" s="1538"/>
      <c r="U288" s="1557"/>
    </row>
    <row r="289" spans="10:21">
      <c r="J289" s="1483"/>
      <c r="K289" s="1483"/>
      <c r="L289" s="1483"/>
      <c r="M289" s="1483"/>
      <c r="N289" s="1483"/>
      <c r="O289" s="1483"/>
      <c r="P289" s="1483"/>
      <c r="Q289" s="1546"/>
      <c r="R289" s="1546"/>
      <c r="S289" s="1538"/>
      <c r="T289" s="1538"/>
      <c r="U289" s="1557"/>
    </row>
    <row r="290" spans="10:21">
      <c r="J290" s="1483"/>
      <c r="K290" s="1483"/>
      <c r="L290" s="1483"/>
      <c r="M290" s="1483"/>
      <c r="N290" s="1483"/>
      <c r="O290" s="1483"/>
      <c r="P290" s="1483"/>
      <c r="Q290" s="1546"/>
      <c r="R290" s="1546"/>
      <c r="S290" s="1538"/>
      <c r="T290" s="1538"/>
      <c r="U290" s="1557"/>
    </row>
    <row r="291" spans="10:21">
      <c r="J291" s="1483"/>
      <c r="K291" s="1483"/>
      <c r="L291" s="1483"/>
      <c r="M291" s="1483"/>
      <c r="N291" s="1483"/>
      <c r="O291" s="1483"/>
      <c r="P291" s="1483"/>
      <c r="Q291" s="1546"/>
      <c r="R291" s="1546"/>
      <c r="S291" s="1538"/>
      <c r="T291" s="1538"/>
      <c r="U291" s="1557"/>
    </row>
    <row r="292" spans="10:21">
      <c r="J292" s="1483"/>
      <c r="K292" s="1483"/>
      <c r="L292" s="1483"/>
      <c r="M292" s="1483"/>
      <c r="N292" s="1483"/>
      <c r="O292" s="1483"/>
      <c r="P292" s="1483"/>
      <c r="Q292" s="1546"/>
      <c r="R292" s="1546"/>
      <c r="S292" s="1538"/>
      <c r="T292" s="1538"/>
      <c r="U292" s="1557"/>
    </row>
    <row r="293" spans="10:21">
      <c r="J293" s="1483"/>
      <c r="K293" s="1483"/>
      <c r="L293" s="1483"/>
      <c r="M293" s="1483"/>
      <c r="N293" s="1483"/>
      <c r="O293" s="1483"/>
      <c r="P293" s="1483"/>
      <c r="Q293" s="1546"/>
      <c r="R293" s="1546"/>
      <c r="S293" s="1538"/>
      <c r="T293" s="1538"/>
      <c r="U293" s="1557"/>
    </row>
    <row r="294" spans="10:21">
      <c r="J294" s="1483"/>
      <c r="K294" s="1483"/>
      <c r="L294" s="1483"/>
      <c r="M294" s="1483"/>
      <c r="N294" s="1483"/>
      <c r="O294" s="1483"/>
      <c r="P294" s="1483"/>
      <c r="Q294" s="1546"/>
      <c r="R294" s="1546"/>
      <c r="S294" s="1538"/>
      <c r="T294" s="1538"/>
      <c r="U294" s="1557"/>
    </row>
    <row r="295" spans="10:21">
      <c r="J295" s="1483"/>
      <c r="K295" s="1483"/>
      <c r="L295" s="1483"/>
      <c r="M295" s="1483"/>
      <c r="N295" s="1483"/>
      <c r="O295" s="1483"/>
      <c r="P295" s="1483"/>
      <c r="Q295" s="1546"/>
      <c r="R295" s="1546"/>
      <c r="S295" s="1538"/>
      <c r="T295" s="1538"/>
      <c r="U295" s="1557"/>
    </row>
    <row r="296" spans="10:21">
      <c r="J296" s="1483"/>
      <c r="K296" s="1483"/>
      <c r="L296" s="1483"/>
      <c r="M296" s="1483"/>
      <c r="N296" s="1483"/>
      <c r="O296" s="1483"/>
      <c r="P296" s="1483"/>
      <c r="Q296" s="1546"/>
      <c r="R296" s="1546"/>
      <c r="S296" s="1538"/>
      <c r="T296" s="1538"/>
      <c r="U296" s="1557"/>
    </row>
    <row r="297" spans="10:21">
      <c r="J297" s="1483"/>
      <c r="K297" s="1483"/>
      <c r="L297" s="1483"/>
      <c r="M297" s="1483"/>
      <c r="N297" s="1483"/>
      <c r="O297" s="1483"/>
      <c r="P297" s="1483"/>
      <c r="Q297" s="1546"/>
      <c r="R297" s="1546"/>
      <c r="S297" s="1538"/>
      <c r="T297" s="1538"/>
      <c r="U297" s="1557"/>
    </row>
    <row r="298" spans="10:21">
      <c r="J298" s="1483"/>
      <c r="K298" s="1483"/>
      <c r="L298" s="1483"/>
      <c r="M298" s="1483"/>
      <c r="N298" s="1483"/>
      <c r="O298" s="1483"/>
      <c r="P298" s="1483"/>
      <c r="Q298" s="1546"/>
      <c r="R298" s="1546"/>
      <c r="S298" s="1538"/>
      <c r="T298" s="1538"/>
      <c r="U298" s="1557"/>
    </row>
    <row r="299" spans="10:21">
      <c r="J299" s="1483"/>
      <c r="K299" s="1483"/>
      <c r="L299" s="1483"/>
      <c r="M299" s="1483"/>
      <c r="N299" s="1483"/>
      <c r="O299" s="1483"/>
      <c r="P299" s="1483"/>
      <c r="Q299" s="1546"/>
      <c r="R299" s="1546"/>
      <c r="S299" s="1538"/>
      <c r="T299" s="1538"/>
      <c r="U299" s="1557"/>
    </row>
    <row r="300" spans="10:21">
      <c r="J300" s="1483"/>
      <c r="K300" s="1483"/>
      <c r="L300" s="1483"/>
      <c r="M300" s="1483"/>
      <c r="N300" s="1483"/>
      <c r="O300" s="1483"/>
      <c r="P300" s="1483"/>
      <c r="Q300" s="1546"/>
      <c r="R300" s="1546"/>
      <c r="S300" s="1538"/>
      <c r="T300" s="1538"/>
      <c r="U300" s="1557"/>
    </row>
    <row r="301" spans="10:21">
      <c r="J301" s="1483"/>
      <c r="K301" s="1483"/>
      <c r="L301" s="1483"/>
      <c r="M301" s="1483"/>
      <c r="N301" s="1483"/>
      <c r="O301" s="1483"/>
      <c r="P301" s="1483"/>
      <c r="Q301" s="1546"/>
      <c r="R301" s="1546"/>
      <c r="S301" s="1538"/>
      <c r="T301" s="1538"/>
      <c r="U301" s="1557"/>
    </row>
    <row r="302" spans="10:21">
      <c r="J302" s="1483"/>
      <c r="K302" s="1483"/>
      <c r="L302" s="1483"/>
      <c r="M302" s="1483"/>
      <c r="N302" s="1483"/>
      <c r="O302" s="1483"/>
      <c r="P302" s="1483"/>
      <c r="Q302" s="1546"/>
      <c r="R302" s="1546"/>
      <c r="S302" s="1538"/>
      <c r="T302" s="1538"/>
      <c r="U302" s="1557"/>
    </row>
    <row r="303" spans="10:21">
      <c r="J303" s="1483"/>
      <c r="K303" s="1483"/>
      <c r="L303" s="1483"/>
      <c r="M303" s="1483"/>
      <c r="N303" s="1483"/>
      <c r="O303" s="1483"/>
      <c r="P303" s="1483"/>
      <c r="Q303" s="1546"/>
      <c r="R303" s="1546"/>
      <c r="S303" s="1538"/>
      <c r="T303" s="1538"/>
      <c r="U303" s="1557"/>
    </row>
    <row r="304" spans="10:21">
      <c r="J304" s="1483"/>
      <c r="K304" s="1483"/>
      <c r="L304" s="1483"/>
      <c r="M304" s="1483"/>
      <c r="N304" s="1483"/>
      <c r="O304" s="1483"/>
      <c r="P304" s="1483"/>
      <c r="Q304" s="1546"/>
      <c r="R304" s="1546"/>
      <c r="S304" s="1538"/>
      <c r="T304" s="1538"/>
      <c r="U304" s="1557"/>
    </row>
    <row r="305" spans="10:21">
      <c r="J305" s="1483"/>
      <c r="K305" s="1483"/>
      <c r="L305" s="1483"/>
      <c r="M305" s="1483"/>
      <c r="N305" s="1483"/>
      <c r="O305" s="1483"/>
      <c r="P305" s="1483"/>
      <c r="Q305" s="1546"/>
      <c r="R305" s="1546"/>
      <c r="S305" s="1538"/>
      <c r="T305" s="1538"/>
      <c r="U305" s="1557"/>
    </row>
    <row r="306" spans="10:21">
      <c r="J306" s="1483"/>
      <c r="K306" s="1483"/>
      <c r="L306" s="1483"/>
      <c r="M306" s="1483"/>
      <c r="N306" s="1483"/>
      <c r="O306" s="1483"/>
      <c r="P306" s="1483"/>
      <c r="Q306" s="1546"/>
      <c r="R306" s="1546"/>
      <c r="S306" s="1538"/>
      <c r="T306" s="1538"/>
      <c r="U306" s="1557"/>
    </row>
    <row r="307" spans="10:21">
      <c r="J307" s="1483"/>
      <c r="K307" s="1483"/>
      <c r="L307" s="1483"/>
      <c r="M307" s="1483"/>
      <c r="N307" s="1483"/>
      <c r="O307" s="1483"/>
      <c r="P307" s="1483"/>
      <c r="Q307" s="1546"/>
      <c r="R307" s="1546"/>
      <c r="S307" s="1538"/>
      <c r="T307" s="1538"/>
      <c r="U307" s="1557"/>
    </row>
    <row r="308" spans="10:21">
      <c r="J308" s="1483"/>
      <c r="K308" s="1483"/>
      <c r="L308" s="1483"/>
      <c r="M308" s="1483"/>
      <c r="N308" s="1483"/>
      <c r="O308" s="1483"/>
      <c r="P308" s="1483"/>
      <c r="Q308" s="1546"/>
      <c r="R308" s="1546"/>
      <c r="S308" s="1538"/>
      <c r="T308" s="1538"/>
      <c r="U308" s="1557"/>
    </row>
    <row r="309" spans="10:21">
      <c r="J309" s="1483"/>
      <c r="K309" s="1483"/>
      <c r="L309" s="1483"/>
      <c r="M309" s="1483"/>
      <c r="N309" s="1483"/>
      <c r="O309" s="1483"/>
      <c r="P309" s="1483"/>
      <c r="Q309" s="1546"/>
      <c r="R309" s="1546"/>
      <c r="S309" s="1538"/>
      <c r="T309" s="1538"/>
      <c r="U309" s="1557"/>
    </row>
    <row r="310" spans="10:21">
      <c r="J310" s="1483"/>
      <c r="K310" s="1483"/>
      <c r="L310" s="1483"/>
      <c r="M310" s="1483"/>
      <c r="N310" s="1483"/>
      <c r="O310" s="1483"/>
      <c r="P310" s="1483"/>
      <c r="Q310" s="1546"/>
      <c r="R310" s="1546"/>
      <c r="S310" s="1538"/>
      <c r="T310" s="1538"/>
      <c r="U310" s="1557"/>
    </row>
    <row r="311" spans="10:21">
      <c r="J311" s="1483"/>
      <c r="K311" s="1483"/>
      <c r="L311" s="1483"/>
      <c r="M311" s="1483"/>
      <c r="N311" s="1483"/>
      <c r="O311" s="1483"/>
      <c r="P311" s="1483"/>
      <c r="Q311" s="1546"/>
      <c r="R311" s="1546"/>
      <c r="S311" s="1538"/>
      <c r="T311" s="1538"/>
      <c r="U311" s="1557"/>
    </row>
    <row r="312" spans="10:21">
      <c r="J312" s="1483"/>
      <c r="K312" s="1483"/>
      <c r="L312" s="1483"/>
      <c r="M312" s="1483"/>
      <c r="N312" s="1483"/>
      <c r="O312" s="1483"/>
      <c r="P312" s="1483"/>
      <c r="Q312" s="1546"/>
      <c r="R312" s="1546"/>
      <c r="S312" s="1538"/>
      <c r="T312" s="1538"/>
      <c r="U312" s="1557"/>
    </row>
    <row r="313" spans="10:21">
      <c r="J313" s="1483"/>
      <c r="K313" s="1483"/>
      <c r="L313" s="1483"/>
      <c r="M313" s="1483"/>
      <c r="N313" s="1483"/>
      <c r="O313" s="1483"/>
      <c r="P313" s="1483"/>
      <c r="Q313" s="1546"/>
      <c r="R313" s="1546"/>
      <c r="S313" s="1538"/>
      <c r="T313" s="1538"/>
      <c r="U313" s="1557"/>
    </row>
    <row r="314" spans="10:21">
      <c r="J314" s="1483"/>
      <c r="K314" s="1483"/>
      <c r="L314" s="1483"/>
      <c r="M314" s="1483"/>
      <c r="N314" s="1483"/>
      <c r="O314" s="1483"/>
      <c r="P314" s="1483"/>
      <c r="Q314" s="1546"/>
      <c r="R314" s="1546"/>
      <c r="S314" s="1538"/>
      <c r="T314" s="1538"/>
      <c r="U314" s="1557"/>
    </row>
    <row r="315" spans="10:21">
      <c r="J315" s="1483"/>
      <c r="K315" s="1483"/>
      <c r="L315" s="1483"/>
      <c r="M315" s="1483"/>
      <c r="N315" s="1483"/>
      <c r="O315" s="1483"/>
      <c r="P315" s="1483"/>
      <c r="Q315" s="1546"/>
      <c r="R315" s="1546"/>
      <c r="S315" s="1538"/>
      <c r="T315" s="1538"/>
      <c r="U315" s="1557"/>
    </row>
    <row r="316" spans="10:21">
      <c r="J316" s="1483"/>
      <c r="K316" s="1483"/>
      <c r="L316" s="1483"/>
      <c r="M316" s="1483"/>
      <c r="N316" s="1483"/>
      <c r="O316" s="1483"/>
      <c r="P316" s="1483"/>
      <c r="Q316" s="1546"/>
      <c r="R316" s="1546"/>
      <c r="S316" s="1538"/>
      <c r="T316" s="1538"/>
      <c r="U316" s="1557"/>
    </row>
    <row r="317" spans="10:21">
      <c r="J317" s="1483"/>
      <c r="K317" s="1483"/>
      <c r="L317" s="1483"/>
      <c r="M317" s="1483"/>
      <c r="N317" s="1483"/>
      <c r="O317" s="1483"/>
      <c r="P317" s="1483"/>
      <c r="Q317" s="1546"/>
      <c r="R317" s="1546"/>
      <c r="S317" s="1538"/>
      <c r="T317" s="1538"/>
      <c r="U317" s="1557"/>
    </row>
    <row r="318" spans="10:21">
      <c r="J318" s="1483"/>
      <c r="K318" s="1483"/>
      <c r="L318" s="1483"/>
      <c r="M318" s="1483"/>
      <c r="N318" s="1483"/>
      <c r="O318" s="1483"/>
      <c r="P318" s="1483"/>
      <c r="Q318" s="1546"/>
      <c r="R318" s="1546"/>
      <c r="S318" s="1538"/>
      <c r="T318" s="1538"/>
      <c r="U318" s="1557"/>
    </row>
    <row r="319" spans="10:21">
      <c r="J319" s="1483"/>
      <c r="K319" s="1483"/>
      <c r="L319" s="1483"/>
      <c r="M319" s="1483"/>
      <c r="N319" s="1483"/>
      <c r="O319" s="1483"/>
      <c r="P319" s="1483"/>
      <c r="Q319" s="1546"/>
      <c r="R319" s="1546"/>
      <c r="S319" s="1538"/>
      <c r="T319" s="1538"/>
      <c r="U319" s="1557"/>
    </row>
    <row r="320" spans="10:21">
      <c r="J320" s="1483"/>
      <c r="K320" s="1483"/>
      <c r="L320" s="1483"/>
      <c r="M320" s="1483"/>
      <c r="N320" s="1483"/>
      <c r="O320" s="1483"/>
      <c r="P320" s="1483"/>
      <c r="Q320" s="1546"/>
      <c r="R320" s="1546"/>
      <c r="S320" s="1538"/>
      <c r="T320" s="1538"/>
      <c r="U320" s="1557"/>
    </row>
    <row r="321" spans="10:21">
      <c r="J321" s="1483"/>
      <c r="K321" s="1483"/>
      <c r="L321" s="1483"/>
      <c r="M321" s="1483"/>
      <c r="N321" s="1483"/>
      <c r="O321" s="1483"/>
      <c r="P321" s="1483"/>
      <c r="Q321" s="1546"/>
      <c r="R321" s="1546"/>
      <c r="S321" s="1538"/>
      <c r="T321" s="1538"/>
      <c r="U321" s="1557"/>
    </row>
    <row r="322" spans="10:21">
      <c r="J322" s="1483"/>
      <c r="K322" s="1483"/>
      <c r="L322" s="1483"/>
      <c r="M322" s="1483"/>
      <c r="N322" s="1483"/>
      <c r="O322" s="1483"/>
      <c r="P322" s="1483"/>
      <c r="Q322" s="1546"/>
      <c r="R322" s="1546"/>
      <c r="S322" s="1538"/>
      <c r="T322" s="1538"/>
      <c r="U322" s="1557"/>
    </row>
    <row r="323" spans="10:21">
      <c r="J323" s="1483"/>
      <c r="K323" s="1483"/>
      <c r="L323" s="1483"/>
      <c r="M323" s="1483"/>
      <c r="N323" s="1483"/>
      <c r="O323" s="1483"/>
      <c r="P323" s="1483"/>
      <c r="Q323" s="1546"/>
      <c r="R323" s="1546"/>
      <c r="S323" s="1538"/>
      <c r="T323" s="1538"/>
      <c r="U323" s="1557"/>
    </row>
    <row r="324" spans="10:21">
      <c r="J324" s="1483"/>
      <c r="K324" s="1483"/>
      <c r="L324" s="1483"/>
      <c r="M324" s="1483"/>
      <c r="N324" s="1483"/>
      <c r="O324" s="1483"/>
      <c r="P324" s="1483"/>
      <c r="Q324" s="1546"/>
      <c r="R324" s="1546"/>
      <c r="S324" s="1538"/>
      <c r="T324" s="1538"/>
      <c r="U324" s="1557"/>
    </row>
    <row r="325" spans="10:21">
      <c r="J325" s="1483"/>
      <c r="K325" s="1483"/>
      <c r="L325" s="1483"/>
      <c r="M325" s="1483"/>
      <c r="N325" s="1483"/>
      <c r="O325" s="1483"/>
      <c r="P325" s="1483"/>
      <c r="Q325" s="1546"/>
      <c r="R325" s="1546"/>
      <c r="S325" s="1538"/>
      <c r="T325" s="1538"/>
      <c r="U325" s="1557"/>
    </row>
    <row r="326" spans="10:21">
      <c r="J326" s="1483"/>
      <c r="K326" s="1483"/>
      <c r="L326" s="1483"/>
      <c r="M326" s="1483"/>
      <c r="N326" s="1483"/>
      <c r="O326" s="1483"/>
      <c r="P326" s="1483"/>
      <c r="Q326" s="1546"/>
      <c r="R326" s="1546"/>
      <c r="S326" s="1538"/>
      <c r="T326" s="1538"/>
      <c r="U326" s="1557"/>
    </row>
    <row r="327" spans="10:21">
      <c r="J327" s="1483"/>
      <c r="K327" s="1483"/>
      <c r="L327" s="1483"/>
      <c r="M327" s="1483"/>
      <c r="N327" s="1483"/>
      <c r="O327" s="1483"/>
      <c r="P327" s="1483"/>
      <c r="Q327" s="1546"/>
      <c r="R327" s="1546"/>
      <c r="S327" s="1538"/>
      <c r="T327" s="1538"/>
      <c r="U327" s="1557"/>
    </row>
    <row r="328" spans="10:21">
      <c r="J328" s="1483"/>
      <c r="K328" s="1483"/>
      <c r="L328" s="1483"/>
      <c r="M328" s="1483"/>
      <c r="N328" s="1483"/>
      <c r="O328" s="1483"/>
      <c r="P328" s="1483"/>
      <c r="Q328" s="1546"/>
      <c r="R328" s="1546"/>
      <c r="S328" s="1538"/>
      <c r="T328" s="1538"/>
      <c r="U328" s="1557"/>
    </row>
    <row r="329" spans="10:21">
      <c r="J329" s="1483"/>
      <c r="K329" s="1483"/>
      <c r="L329" s="1483"/>
      <c r="M329" s="1483"/>
      <c r="N329" s="1483"/>
      <c r="O329" s="1483"/>
      <c r="P329" s="1483"/>
      <c r="Q329" s="1546"/>
      <c r="R329" s="1546"/>
      <c r="S329" s="1538"/>
      <c r="T329" s="1538"/>
      <c r="U329" s="1557"/>
    </row>
    <row r="330" spans="10:21">
      <c r="J330" s="1483"/>
      <c r="K330" s="1483"/>
      <c r="L330" s="1483"/>
      <c r="M330" s="1483"/>
      <c r="N330" s="1483"/>
      <c r="O330" s="1483"/>
      <c r="P330" s="1483"/>
      <c r="Q330" s="1546"/>
      <c r="R330" s="1546"/>
      <c r="S330" s="1538"/>
      <c r="T330" s="1538"/>
      <c r="U330" s="1557"/>
    </row>
    <row r="331" spans="10:21">
      <c r="J331" s="1483"/>
      <c r="K331" s="1483"/>
      <c r="L331" s="1483"/>
      <c r="M331" s="1483"/>
      <c r="N331" s="1483"/>
      <c r="O331" s="1483"/>
      <c r="P331" s="1483"/>
      <c r="Q331" s="1546"/>
      <c r="R331" s="1546"/>
      <c r="S331" s="1538"/>
      <c r="T331" s="1538"/>
      <c r="U331" s="1557"/>
    </row>
    <row r="332" spans="10:21">
      <c r="J332" s="1483"/>
      <c r="K332" s="1483"/>
      <c r="L332" s="1483"/>
      <c r="M332" s="1483"/>
      <c r="N332" s="1483"/>
      <c r="O332" s="1483"/>
      <c r="P332" s="1483"/>
      <c r="Q332" s="1546"/>
      <c r="R332" s="1546"/>
      <c r="S332" s="1538"/>
      <c r="T332" s="1538"/>
      <c r="U332" s="1557"/>
    </row>
    <row r="333" spans="10:21">
      <c r="J333" s="1483"/>
      <c r="K333" s="1483"/>
      <c r="L333" s="1483"/>
      <c r="M333" s="1483"/>
      <c r="N333" s="1483"/>
      <c r="O333" s="1483"/>
      <c r="P333" s="1483"/>
      <c r="Q333" s="1546"/>
      <c r="R333" s="1546"/>
      <c r="S333" s="1538"/>
      <c r="T333" s="1538"/>
      <c r="U333" s="1557"/>
    </row>
    <row r="334" spans="10:21">
      <c r="J334" s="1483"/>
      <c r="K334" s="1483"/>
      <c r="L334" s="1483"/>
      <c r="M334" s="1483"/>
      <c r="N334" s="1483"/>
      <c r="O334" s="1483"/>
      <c r="P334" s="1483"/>
      <c r="Q334" s="1546"/>
      <c r="R334" s="1546"/>
      <c r="S334" s="1538"/>
      <c r="T334" s="1538"/>
      <c r="U334" s="1557"/>
    </row>
    <row r="335" spans="10:21">
      <c r="J335" s="1483"/>
      <c r="K335" s="1483"/>
      <c r="L335" s="1483"/>
      <c r="M335" s="1483"/>
      <c r="N335" s="1483"/>
      <c r="O335" s="1483"/>
      <c r="P335" s="1483"/>
      <c r="Q335" s="1546"/>
      <c r="R335" s="1546"/>
      <c r="S335" s="1538"/>
      <c r="T335" s="1538"/>
      <c r="U335" s="1557"/>
    </row>
    <row r="336" spans="10:21">
      <c r="J336" s="1483"/>
      <c r="K336" s="1483"/>
      <c r="L336" s="1483"/>
      <c r="M336" s="1483"/>
      <c r="N336" s="1483"/>
      <c r="O336" s="1483"/>
      <c r="P336" s="1483"/>
      <c r="Q336" s="1546"/>
      <c r="R336" s="1546"/>
      <c r="S336" s="1538"/>
      <c r="T336" s="1538"/>
      <c r="U336" s="1557"/>
    </row>
    <row r="337" spans="10:21">
      <c r="J337" s="1483"/>
      <c r="K337" s="1483"/>
      <c r="L337" s="1483"/>
      <c r="M337" s="1483"/>
      <c r="N337" s="1483"/>
      <c r="O337" s="1483"/>
      <c r="P337" s="1483"/>
      <c r="Q337" s="1546"/>
      <c r="R337" s="1546"/>
      <c r="S337" s="1538"/>
      <c r="T337" s="1538"/>
      <c r="U337" s="1557"/>
    </row>
    <row r="338" spans="10:21">
      <c r="J338" s="1483"/>
      <c r="K338" s="1483"/>
      <c r="L338" s="1483"/>
      <c r="M338" s="1483"/>
      <c r="N338" s="1483"/>
      <c r="O338" s="1483"/>
      <c r="P338" s="1483"/>
      <c r="Q338" s="1546"/>
      <c r="R338" s="1546"/>
      <c r="S338" s="1538"/>
      <c r="T338" s="1538"/>
      <c r="U338" s="1557"/>
    </row>
    <row r="339" spans="10:21">
      <c r="J339" s="1483"/>
      <c r="K339" s="1483"/>
      <c r="L339" s="1483"/>
      <c r="M339" s="1483"/>
      <c r="N339" s="1483"/>
      <c r="O339" s="1483"/>
      <c r="P339" s="1483"/>
      <c r="Q339" s="1546"/>
      <c r="R339" s="1546"/>
      <c r="S339" s="1538"/>
      <c r="T339" s="1538"/>
      <c r="U339" s="1557"/>
    </row>
    <row r="340" spans="10:21">
      <c r="J340" s="1483"/>
      <c r="K340" s="1483"/>
      <c r="L340" s="1483"/>
      <c r="M340" s="1483"/>
      <c r="N340" s="1483"/>
      <c r="O340" s="1483"/>
      <c r="P340" s="1483"/>
      <c r="Q340" s="1546"/>
      <c r="R340" s="1546"/>
      <c r="S340" s="1538"/>
      <c r="T340" s="1538"/>
      <c r="U340" s="1557"/>
    </row>
    <row r="341" spans="10:21">
      <c r="J341" s="1483"/>
      <c r="K341" s="1483"/>
      <c r="L341" s="1483"/>
      <c r="M341" s="1483"/>
      <c r="N341" s="1483"/>
      <c r="O341" s="1483"/>
      <c r="P341" s="1483"/>
      <c r="Q341" s="1546"/>
      <c r="R341" s="1546"/>
      <c r="S341" s="1538"/>
      <c r="T341" s="1538"/>
      <c r="U341" s="1557"/>
    </row>
    <row r="342" spans="10:21">
      <c r="J342" s="1483"/>
      <c r="K342" s="1483"/>
      <c r="L342" s="1483"/>
      <c r="M342" s="1483"/>
      <c r="N342" s="1483"/>
      <c r="O342" s="1483"/>
      <c r="P342" s="1483"/>
      <c r="Q342" s="1546"/>
      <c r="R342" s="1546"/>
      <c r="S342" s="1538"/>
      <c r="T342" s="1538"/>
      <c r="U342" s="1557"/>
    </row>
    <row r="343" spans="10:21">
      <c r="J343" s="1483"/>
      <c r="K343" s="1483"/>
      <c r="L343" s="1483"/>
      <c r="M343" s="1483"/>
      <c r="N343" s="1483"/>
      <c r="O343" s="1483"/>
      <c r="P343" s="1483"/>
      <c r="Q343" s="1546"/>
      <c r="R343" s="1546"/>
      <c r="S343" s="1538"/>
      <c r="T343" s="1538"/>
      <c r="U343" s="1557"/>
    </row>
    <row r="344" spans="10:21">
      <c r="J344" s="1483"/>
      <c r="K344" s="1483"/>
      <c r="L344" s="1483"/>
      <c r="M344" s="1483"/>
      <c r="N344" s="1483"/>
      <c r="O344" s="1483"/>
      <c r="P344" s="1483"/>
      <c r="Q344" s="1546"/>
      <c r="R344" s="1546"/>
      <c r="S344" s="1538"/>
      <c r="T344" s="1538"/>
      <c r="U344" s="1557"/>
    </row>
    <row r="345" spans="10:21">
      <c r="J345" s="1483"/>
      <c r="K345" s="1483"/>
      <c r="L345" s="1483"/>
      <c r="M345" s="1483"/>
      <c r="N345" s="1483"/>
      <c r="O345" s="1483"/>
      <c r="P345" s="1483"/>
      <c r="Q345" s="1546"/>
      <c r="R345" s="1546"/>
      <c r="S345" s="1538"/>
      <c r="T345" s="1538"/>
      <c r="U345" s="1557"/>
    </row>
    <row r="346" spans="10:21">
      <c r="J346" s="1483"/>
      <c r="K346" s="1483"/>
      <c r="L346" s="1483"/>
      <c r="M346" s="1483"/>
      <c r="N346" s="1483"/>
      <c r="O346" s="1483"/>
      <c r="P346" s="1483"/>
      <c r="Q346" s="1546"/>
      <c r="R346" s="1546"/>
      <c r="S346" s="1538"/>
      <c r="T346" s="1538"/>
      <c r="U346" s="1557"/>
    </row>
    <row r="347" spans="10:21">
      <c r="J347" s="1483"/>
      <c r="K347" s="1483"/>
      <c r="L347" s="1483"/>
      <c r="M347" s="1483"/>
      <c r="N347" s="1483"/>
      <c r="O347" s="1483"/>
      <c r="P347" s="1483"/>
      <c r="Q347" s="1546"/>
      <c r="R347" s="1546"/>
      <c r="S347" s="1538"/>
      <c r="T347" s="1538"/>
      <c r="U347" s="1557"/>
    </row>
    <row r="348" spans="10:21">
      <c r="J348" s="1483"/>
      <c r="K348" s="1483"/>
      <c r="L348" s="1483"/>
      <c r="M348" s="1483"/>
      <c r="N348" s="1483"/>
      <c r="O348" s="1483"/>
      <c r="P348" s="1483"/>
      <c r="Q348" s="1546"/>
      <c r="R348" s="1546"/>
      <c r="S348" s="1538"/>
      <c r="T348" s="1538"/>
      <c r="U348" s="1557"/>
    </row>
    <row r="349" spans="10:21">
      <c r="J349" s="1483"/>
      <c r="K349" s="1483"/>
      <c r="L349" s="1483"/>
      <c r="M349" s="1483"/>
      <c r="N349" s="1483"/>
      <c r="O349" s="1483"/>
      <c r="P349" s="1483"/>
      <c r="Q349" s="1546"/>
      <c r="R349" s="1546"/>
      <c r="S349" s="1538"/>
      <c r="T349" s="1538"/>
      <c r="U349" s="1557"/>
    </row>
    <row r="350" spans="10:21">
      <c r="J350" s="1483"/>
      <c r="K350" s="1483"/>
      <c r="L350" s="1483"/>
      <c r="M350" s="1483"/>
      <c r="N350" s="1483"/>
      <c r="O350" s="1483"/>
      <c r="P350" s="1483"/>
      <c r="Q350" s="1546"/>
      <c r="R350" s="1546"/>
      <c r="S350" s="1538"/>
      <c r="T350" s="1538"/>
      <c r="U350" s="1557"/>
    </row>
    <row r="351" spans="10:21">
      <c r="J351" s="1483"/>
      <c r="K351" s="1483"/>
      <c r="L351" s="1483"/>
      <c r="M351" s="1483"/>
      <c r="N351" s="1483"/>
      <c r="O351" s="1483"/>
      <c r="P351" s="1483"/>
      <c r="Q351" s="1546"/>
      <c r="R351" s="1546"/>
      <c r="S351" s="1538"/>
      <c r="T351" s="1538"/>
      <c r="U351" s="1557"/>
    </row>
    <row r="352" spans="10:21">
      <c r="J352" s="1483"/>
      <c r="K352" s="1483"/>
      <c r="L352" s="1483"/>
      <c r="M352" s="1483"/>
      <c r="N352" s="1483"/>
      <c r="O352" s="1483"/>
      <c r="P352" s="1483"/>
      <c r="Q352" s="1546"/>
      <c r="R352" s="1546"/>
      <c r="S352" s="1538"/>
      <c r="T352" s="1538"/>
      <c r="U352" s="1557"/>
    </row>
    <row r="353" spans="10:21">
      <c r="J353" s="1483"/>
      <c r="K353" s="1483"/>
      <c r="L353" s="1483"/>
      <c r="M353" s="1483"/>
      <c r="N353" s="1483"/>
      <c r="O353" s="1483"/>
      <c r="P353" s="1483"/>
      <c r="Q353" s="1546"/>
      <c r="R353" s="1546"/>
      <c r="S353" s="1538"/>
      <c r="T353" s="1538"/>
      <c r="U353" s="1557"/>
    </row>
    <row r="354" spans="10:21">
      <c r="J354" s="1483"/>
      <c r="K354" s="1483"/>
      <c r="L354" s="1483"/>
      <c r="M354" s="1483"/>
      <c r="N354" s="1483"/>
      <c r="O354" s="1483"/>
      <c r="P354" s="1483"/>
      <c r="Q354" s="1546"/>
      <c r="R354" s="1546"/>
      <c r="S354" s="1538"/>
      <c r="T354" s="1538"/>
      <c r="U354" s="1557"/>
    </row>
    <row r="355" spans="10:21">
      <c r="J355" s="1483"/>
      <c r="K355" s="1483"/>
      <c r="L355" s="1483"/>
      <c r="M355" s="1483"/>
      <c r="N355" s="1483"/>
      <c r="O355" s="1483"/>
      <c r="P355" s="1483"/>
      <c r="Q355" s="1546"/>
      <c r="R355" s="1546"/>
      <c r="S355" s="1538"/>
      <c r="T355" s="1538"/>
      <c r="U355" s="1557"/>
    </row>
    <row r="356" spans="10:21">
      <c r="J356" s="1483"/>
      <c r="K356" s="1483"/>
      <c r="L356" s="1483"/>
      <c r="M356" s="1483"/>
      <c r="N356" s="1483"/>
      <c r="O356" s="1483"/>
      <c r="P356" s="1483"/>
      <c r="Q356" s="1546"/>
      <c r="R356" s="1546"/>
      <c r="S356" s="1538"/>
      <c r="T356" s="1538"/>
      <c r="U356" s="1557"/>
    </row>
    <row r="357" spans="10:21">
      <c r="J357" s="1483"/>
      <c r="K357" s="1483"/>
      <c r="L357" s="1483"/>
      <c r="M357" s="1483"/>
      <c r="N357" s="1483"/>
      <c r="O357" s="1483"/>
      <c r="P357" s="1483"/>
      <c r="Q357" s="1546"/>
      <c r="R357" s="1546"/>
      <c r="S357" s="1538"/>
      <c r="T357" s="1538"/>
      <c r="U357" s="1557"/>
    </row>
    <row r="358" spans="10:21">
      <c r="J358" s="1483"/>
      <c r="K358" s="1483"/>
      <c r="L358" s="1483"/>
      <c r="M358" s="1483"/>
      <c r="N358" s="1483"/>
      <c r="O358" s="1483"/>
      <c r="P358" s="1483"/>
      <c r="Q358" s="1546"/>
      <c r="R358" s="1546"/>
      <c r="S358" s="1538"/>
      <c r="T358" s="1538"/>
      <c r="U358" s="1557"/>
    </row>
    <row r="359" spans="10:21">
      <c r="J359" s="1483"/>
      <c r="K359" s="1483"/>
      <c r="L359" s="1483"/>
      <c r="M359" s="1483"/>
      <c r="N359" s="1483"/>
      <c r="O359" s="1483"/>
      <c r="P359" s="1483"/>
      <c r="Q359" s="1546"/>
      <c r="R359" s="1546"/>
      <c r="S359" s="1538"/>
      <c r="T359" s="1538"/>
      <c r="U359" s="1557"/>
    </row>
    <row r="360" spans="10:21">
      <c r="J360" s="1483"/>
      <c r="K360" s="1483"/>
      <c r="L360" s="1483"/>
      <c r="M360" s="1483"/>
      <c r="N360" s="1483"/>
      <c r="O360" s="1483"/>
      <c r="P360" s="1483"/>
      <c r="Q360" s="1546"/>
      <c r="R360" s="1546"/>
      <c r="S360" s="1538"/>
      <c r="T360" s="1538"/>
      <c r="U360" s="1557"/>
    </row>
    <row r="361" spans="10:21">
      <c r="J361" s="1483"/>
      <c r="K361" s="1483"/>
      <c r="L361" s="1483"/>
      <c r="M361" s="1483"/>
      <c r="N361" s="1483"/>
      <c r="O361" s="1483"/>
      <c r="P361" s="1483"/>
      <c r="Q361" s="1546"/>
      <c r="R361" s="1546"/>
      <c r="S361" s="1538"/>
      <c r="T361" s="1538"/>
      <c r="U361" s="1557"/>
    </row>
    <row r="362" spans="10:21">
      <c r="J362" s="1483"/>
      <c r="K362" s="1483"/>
      <c r="L362" s="1483"/>
      <c r="M362" s="1483"/>
      <c r="N362" s="1483"/>
      <c r="O362" s="1483"/>
      <c r="P362" s="1483"/>
      <c r="Q362" s="1546"/>
      <c r="R362" s="1546"/>
      <c r="S362" s="1538"/>
      <c r="T362" s="1538"/>
      <c r="U362" s="1557"/>
    </row>
    <row r="363" spans="10:21">
      <c r="J363" s="1483"/>
      <c r="K363" s="1483"/>
      <c r="L363" s="1483"/>
      <c r="M363" s="1483"/>
      <c r="N363" s="1483"/>
      <c r="O363" s="1483"/>
      <c r="P363" s="1483"/>
      <c r="Q363" s="1546"/>
      <c r="R363" s="1546"/>
      <c r="S363" s="1538"/>
      <c r="T363" s="1538"/>
      <c r="U363" s="1557"/>
    </row>
    <row r="364" spans="10:21">
      <c r="J364" s="1483"/>
      <c r="K364" s="1483"/>
      <c r="L364" s="1483"/>
      <c r="M364" s="1483"/>
      <c r="N364" s="1483"/>
      <c r="O364" s="1483"/>
      <c r="P364" s="1483"/>
      <c r="Q364" s="1546"/>
      <c r="R364" s="1546"/>
      <c r="S364" s="1538"/>
      <c r="T364" s="1538"/>
      <c r="U364" s="1557"/>
    </row>
    <row r="365" spans="10:21">
      <c r="J365" s="1483"/>
      <c r="K365" s="1483"/>
      <c r="L365" s="1483"/>
      <c r="M365" s="1483"/>
      <c r="N365" s="1483"/>
      <c r="O365" s="1483"/>
      <c r="P365" s="1483"/>
      <c r="Q365" s="1546"/>
      <c r="R365" s="1546"/>
      <c r="S365" s="1538"/>
      <c r="T365" s="1538"/>
      <c r="U365" s="1557"/>
    </row>
    <row r="366" spans="10:21">
      <c r="J366" s="1483"/>
      <c r="K366" s="1483"/>
      <c r="L366" s="1483"/>
      <c r="M366" s="1483"/>
      <c r="N366" s="1483"/>
      <c r="O366" s="1483"/>
      <c r="P366" s="1483"/>
      <c r="Q366" s="1546"/>
      <c r="R366" s="1546"/>
      <c r="S366" s="1538"/>
      <c r="T366" s="1538"/>
      <c r="U366" s="1557"/>
    </row>
    <row r="367" spans="10:21">
      <c r="J367" s="1483"/>
      <c r="K367" s="1483"/>
      <c r="L367" s="1483"/>
      <c r="M367" s="1483"/>
      <c r="N367" s="1483"/>
      <c r="O367" s="1483"/>
      <c r="P367" s="1483"/>
      <c r="Q367" s="1546"/>
      <c r="R367" s="1546"/>
      <c r="S367" s="1538"/>
      <c r="T367" s="1538"/>
      <c r="U367" s="1557"/>
    </row>
    <row r="368" spans="10:21">
      <c r="J368" s="1483"/>
      <c r="K368" s="1483"/>
      <c r="L368" s="1483"/>
      <c r="M368" s="1483"/>
      <c r="N368" s="1483"/>
      <c r="O368" s="1483"/>
      <c r="P368" s="1483"/>
      <c r="Q368" s="1546"/>
      <c r="R368" s="1546"/>
      <c r="S368" s="1538"/>
      <c r="T368" s="1538"/>
      <c r="U368" s="1557"/>
    </row>
    <row r="369" spans="10:21">
      <c r="J369" s="1483"/>
      <c r="K369" s="1483"/>
      <c r="L369" s="1483"/>
      <c r="M369" s="1483"/>
      <c r="N369" s="1483"/>
      <c r="O369" s="1483"/>
      <c r="P369" s="1483"/>
      <c r="Q369" s="1546"/>
      <c r="R369" s="1546"/>
      <c r="S369" s="1538"/>
      <c r="T369" s="1538"/>
      <c r="U369" s="1557"/>
    </row>
    <row r="370" spans="10:21">
      <c r="J370" s="1483"/>
      <c r="K370" s="1483"/>
      <c r="L370" s="1483"/>
      <c r="M370" s="1483"/>
      <c r="N370" s="1483"/>
      <c r="O370" s="1483"/>
      <c r="P370" s="1483"/>
      <c r="Q370" s="1546"/>
      <c r="R370" s="1546"/>
      <c r="S370" s="1538"/>
      <c r="T370" s="1538"/>
      <c r="U370" s="1557"/>
    </row>
    <row r="371" spans="10:21">
      <c r="J371" s="1483"/>
      <c r="K371" s="1483"/>
      <c r="L371" s="1483"/>
      <c r="M371" s="1483"/>
      <c r="N371" s="1483"/>
      <c r="O371" s="1483"/>
      <c r="P371" s="1483"/>
      <c r="Q371" s="1546"/>
      <c r="R371" s="1546"/>
      <c r="S371" s="1538"/>
      <c r="T371" s="1538"/>
      <c r="U371" s="1557"/>
    </row>
    <row r="372" spans="10:21">
      <c r="J372" s="1483"/>
      <c r="K372" s="1483"/>
      <c r="L372" s="1483"/>
      <c r="M372" s="1483"/>
      <c r="N372" s="1483"/>
      <c r="O372" s="1483"/>
      <c r="P372" s="1483"/>
      <c r="Q372" s="1546"/>
      <c r="R372" s="1546"/>
      <c r="S372" s="1538"/>
      <c r="T372" s="1538"/>
      <c r="U372" s="1557"/>
    </row>
    <row r="373" spans="10:21">
      <c r="J373" s="1483"/>
      <c r="K373" s="1483"/>
      <c r="L373" s="1483"/>
      <c r="M373" s="1483"/>
      <c r="N373" s="1483"/>
      <c r="O373" s="1483"/>
      <c r="P373" s="1483"/>
      <c r="Q373" s="1546"/>
      <c r="R373" s="1546"/>
      <c r="S373" s="1538"/>
      <c r="T373" s="1538"/>
      <c r="U373" s="1557"/>
    </row>
    <row r="374" spans="10:21">
      <c r="J374" s="1483"/>
      <c r="K374" s="1483"/>
      <c r="L374" s="1483"/>
      <c r="M374" s="1483"/>
      <c r="N374" s="1483"/>
      <c r="O374" s="1483"/>
      <c r="P374" s="1483"/>
      <c r="Q374" s="1546"/>
      <c r="R374" s="1546"/>
      <c r="S374" s="1538"/>
      <c r="T374" s="1538"/>
      <c r="U374" s="1557"/>
    </row>
    <row r="375" spans="10:21">
      <c r="J375" s="1483"/>
      <c r="K375" s="1483"/>
      <c r="L375" s="1483"/>
      <c r="M375" s="1483"/>
      <c r="N375" s="1483"/>
      <c r="O375" s="1483"/>
      <c r="P375" s="1483"/>
      <c r="Q375" s="1546"/>
      <c r="R375" s="1546"/>
      <c r="S375" s="1538"/>
      <c r="T375" s="1538"/>
      <c r="U375" s="1557"/>
    </row>
    <row r="376" spans="10:21">
      <c r="J376" s="1483"/>
      <c r="K376" s="1483"/>
      <c r="L376" s="1483"/>
      <c r="M376" s="1483"/>
      <c r="N376" s="1483"/>
      <c r="O376" s="1483"/>
      <c r="P376" s="1483"/>
      <c r="Q376" s="1546"/>
      <c r="R376" s="1546"/>
      <c r="S376" s="1538"/>
      <c r="T376" s="1538"/>
      <c r="U376" s="1557"/>
    </row>
    <row r="377" spans="10:21">
      <c r="J377" s="1483"/>
      <c r="K377" s="1483"/>
      <c r="L377" s="1483"/>
      <c r="M377" s="1483"/>
      <c r="N377" s="1483"/>
      <c r="O377" s="1483"/>
      <c r="P377" s="1483"/>
      <c r="Q377" s="1546"/>
      <c r="R377" s="1546"/>
      <c r="S377" s="1538"/>
      <c r="T377" s="1538"/>
      <c r="U377" s="1557"/>
    </row>
    <row r="378" spans="10:21">
      <c r="J378" s="1483"/>
      <c r="K378" s="1483"/>
      <c r="L378" s="1483"/>
      <c r="M378" s="1483"/>
      <c r="N378" s="1483"/>
      <c r="O378" s="1483"/>
      <c r="P378" s="1483"/>
      <c r="Q378" s="1546"/>
      <c r="R378" s="1546"/>
      <c r="S378" s="1538"/>
      <c r="T378" s="1538"/>
      <c r="U378" s="1557"/>
    </row>
    <row r="379" spans="10:21">
      <c r="J379" s="1483"/>
      <c r="K379" s="1483"/>
      <c r="L379" s="1483"/>
      <c r="M379" s="1483"/>
      <c r="N379" s="1483"/>
      <c r="O379" s="1483"/>
      <c r="P379" s="1483"/>
      <c r="Q379" s="1546"/>
      <c r="R379" s="1546"/>
      <c r="S379" s="1538"/>
      <c r="T379" s="1538"/>
      <c r="U379" s="1557"/>
    </row>
    <row r="380" spans="10:21">
      <c r="J380" s="1483"/>
      <c r="K380" s="1483"/>
      <c r="L380" s="1483"/>
      <c r="M380" s="1483"/>
      <c r="N380" s="1483"/>
      <c r="O380" s="1483"/>
      <c r="P380" s="1483"/>
      <c r="Q380" s="1546"/>
      <c r="R380" s="1546"/>
      <c r="S380" s="1538"/>
      <c r="T380" s="1538"/>
      <c r="U380" s="1557"/>
    </row>
    <row r="381" spans="10:21">
      <c r="J381" s="1483"/>
      <c r="K381" s="1483"/>
      <c r="L381" s="1483"/>
      <c r="M381" s="1483"/>
      <c r="N381" s="1483"/>
      <c r="O381" s="1483"/>
      <c r="P381" s="1483"/>
      <c r="Q381" s="1546"/>
      <c r="R381" s="1546"/>
      <c r="S381" s="1538"/>
      <c r="T381" s="1538"/>
      <c r="U381" s="1557"/>
    </row>
    <row r="382" spans="10:21">
      <c r="J382" s="1483"/>
      <c r="K382" s="1483"/>
      <c r="L382" s="1483"/>
      <c r="M382" s="1483"/>
      <c r="N382" s="1483"/>
      <c r="O382" s="1483"/>
      <c r="P382" s="1483"/>
      <c r="Q382" s="1546"/>
      <c r="R382" s="1546"/>
      <c r="S382" s="1538"/>
      <c r="T382" s="1538"/>
      <c r="U382" s="1557"/>
    </row>
    <row r="383" spans="10:21">
      <c r="J383" s="1483"/>
      <c r="K383" s="1483"/>
      <c r="L383" s="1483"/>
      <c r="M383" s="1483"/>
      <c r="N383" s="1483"/>
      <c r="O383" s="1483"/>
      <c r="P383" s="1483"/>
      <c r="Q383" s="1546"/>
      <c r="R383" s="1546"/>
      <c r="S383" s="1538"/>
      <c r="T383" s="1538"/>
      <c r="U383" s="1557"/>
    </row>
    <row r="384" spans="10:21">
      <c r="J384" s="1483"/>
      <c r="K384" s="1483"/>
      <c r="L384" s="1483"/>
      <c r="M384" s="1483"/>
      <c r="N384" s="1483"/>
      <c r="O384" s="1483"/>
      <c r="P384" s="1483"/>
      <c r="Q384" s="1546"/>
      <c r="R384" s="1546"/>
      <c r="S384" s="1538"/>
      <c r="T384" s="1538"/>
      <c r="U384" s="1557"/>
    </row>
    <row r="385" spans="10:21">
      <c r="J385" s="1483"/>
      <c r="K385" s="1483"/>
      <c r="L385" s="1483"/>
      <c r="M385" s="1483"/>
      <c r="N385" s="1483"/>
      <c r="O385" s="1483"/>
      <c r="P385" s="1483"/>
      <c r="Q385" s="1546"/>
      <c r="R385" s="1546"/>
      <c r="S385" s="1538"/>
      <c r="T385" s="1538"/>
      <c r="U385" s="1557"/>
    </row>
    <row r="386" spans="10:21">
      <c r="J386" s="1483"/>
      <c r="K386" s="1483"/>
      <c r="L386" s="1483"/>
      <c r="M386" s="1483"/>
      <c r="N386" s="1483"/>
      <c r="O386" s="1483"/>
      <c r="P386" s="1483"/>
      <c r="Q386" s="1546"/>
      <c r="R386" s="1546"/>
      <c r="S386" s="1538"/>
      <c r="T386" s="1538"/>
      <c r="U386" s="1557"/>
    </row>
    <row r="387" spans="10:21">
      <c r="J387" s="1483"/>
      <c r="K387" s="1483"/>
      <c r="L387" s="1483"/>
      <c r="M387" s="1483"/>
      <c r="N387" s="1483"/>
      <c r="O387" s="1483"/>
      <c r="P387" s="1483"/>
      <c r="Q387" s="1546"/>
      <c r="R387" s="1546"/>
      <c r="S387" s="1538"/>
      <c r="T387" s="1538"/>
      <c r="U387" s="1557"/>
    </row>
    <row r="388" spans="10:21">
      <c r="J388" s="1483"/>
      <c r="K388" s="1483"/>
      <c r="L388" s="1483"/>
      <c r="M388" s="1483"/>
      <c r="N388" s="1483"/>
      <c r="O388" s="1483"/>
      <c r="P388" s="1483"/>
      <c r="Q388" s="1546"/>
      <c r="R388" s="1546"/>
      <c r="S388" s="1538"/>
      <c r="T388" s="1538"/>
      <c r="U388" s="1557"/>
    </row>
    <row r="389" spans="10:21">
      <c r="J389" s="1483"/>
      <c r="K389" s="1483"/>
      <c r="L389" s="1483"/>
      <c r="M389" s="1483"/>
      <c r="N389" s="1483"/>
      <c r="O389" s="1483"/>
      <c r="P389" s="1483"/>
      <c r="Q389" s="1546"/>
      <c r="R389" s="1546"/>
      <c r="S389" s="1538"/>
      <c r="T389" s="1538"/>
      <c r="U389" s="1557"/>
    </row>
    <row r="390" spans="10:21">
      <c r="J390" s="1483"/>
      <c r="K390" s="1483"/>
      <c r="L390" s="1483"/>
      <c r="M390" s="1483"/>
      <c r="N390" s="1483"/>
      <c r="O390" s="1483"/>
      <c r="P390" s="1483"/>
      <c r="Q390" s="1546"/>
      <c r="R390" s="1546"/>
      <c r="S390" s="1538"/>
      <c r="T390" s="1538"/>
      <c r="U390" s="1557"/>
    </row>
    <row r="391" spans="10:21">
      <c r="J391" s="1483"/>
      <c r="K391" s="1483"/>
      <c r="L391" s="1483"/>
      <c r="M391" s="1483"/>
      <c r="N391" s="1483"/>
      <c r="O391" s="1483"/>
      <c r="P391" s="1483"/>
      <c r="Q391" s="1546"/>
      <c r="R391" s="1546"/>
      <c r="S391" s="1538"/>
      <c r="T391" s="1538"/>
      <c r="U391" s="1557"/>
    </row>
    <row r="392" spans="10:21">
      <c r="J392" s="1483"/>
      <c r="K392" s="1483"/>
      <c r="L392" s="1483"/>
      <c r="M392" s="1483"/>
      <c r="N392" s="1483"/>
      <c r="O392" s="1483"/>
      <c r="P392" s="1483"/>
      <c r="Q392" s="1546"/>
      <c r="R392" s="1546"/>
      <c r="S392" s="1538"/>
      <c r="T392" s="1538"/>
      <c r="U392" s="1557"/>
    </row>
    <row r="393" spans="10:21">
      <c r="J393" s="1483"/>
      <c r="K393" s="1483"/>
      <c r="L393" s="1483"/>
      <c r="M393" s="1483"/>
      <c r="N393" s="1483"/>
      <c r="O393" s="1483"/>
      <c r="P393" s="1483"/>
      <c r="Q393" s="1546"/>
      <c r="R393" s="1546"/>
      <c r="S393" s="1538"/>
      <c r="T393" s="1538"/>
      <c r="U393" s="1557"/>
    </row>
    <row r="394" spans="10:21">
      <c r="J394" s="1483"/>
      <c r="K394" s="1483"/>
      <c r="L394" s="1483"/>
      <c r="M394" s="1483"/>
      <c r="N394" s="1483"/>
      <c r="O394" s="1483"/>
      <c r="P394" s="1483"/>
      <c r="Q394" s="1546"/>
      <c r="R394" s="1546"/>
      <c r="S394" s="1538"/>
      <c r="T394" s="1538"/>
      <c r="U394" s="1557"/>
    </row>
    <row r="395" spans="10:21">
      <c r="J395" s="1483"/>
      <c r="K395" s="1483"/>
      <c r="L395" s="1483"/>
      <c r="M395" s="1483"/>
      <c r="N395" s="1483"/>
      <c r="O395" s="1483"/>
      <c r="P395" s="1483"/>
      <c r="Q395" s="1546"/>
      <c r="R395" s="1546"/>
      <c r="S395" s="1538"/>
      <c r="T395" s="1538"/>
      <c r="U395" s="1557"/>
    </row>
    <row r="396" spans="10:21">
      <c r="J396" s="1483"/>
      <c r="K396" s="1483"/>
      <c r="L396" s="1483"/>
      <c r="M396" s="1483"/>
      <c r="N396" s="1483"/>
      <c r="O396" s="1483"/>
      <c r="P396" s="1483"/>
      <c r="Q396" s="1546"/>
      <c r="R396" s="1546"/>
      <c r="S396" s="1538"/>
      <c r="T396" s="1538"/>
      <c r="U396" s="1557"/>
    </row>
    <row r="397" spans="10:21">
      <c r="J397" s="1483"/>
      <c r="K397" s="1483"/>
      <c r="L397" s="1483"/>
      <c r="M397" s="1483"/>
      <c r="N397" s="1483"/>
      <c r="O397" s="1483"/>
      <c r="P397" s="1483"/>
      <c r="Q397" s="1546"/>
      <c r="R397" s="1546"/>
      <c r="S397" s="1538"/>
      <c r="T397" s="1538"/>
      <c r="U397" s="1557"/>
    </row>
    <row r="398" spans="10:21">
      <c r="J398" s="1483"/>
      <c r="K398" s="1483"/>
      <c r="L398" s="1483"/>
      <c r="M398" s="1483"/>
      <c r="N398" s="1483"/>
      <c r="O398" s="1483"/>
      <c r="P398" s="1483"/>
      <c r="Q398" s="1546"/>
      <c r="R398" s="1546"/>
      <c r="S398" s="1538"/>
      <c r="T398" s="1538"/>
      <c r="U398" s="1557"/>
    </row>
    <row r="399" spans="10:21">
      <c r="J399" s="1483"/>
      <c r="K399" s="1483"/>
      <c r="L399" s="1483"/>
      <c r="M399" s="1483"/>
      <c r="N399" s="1483"/>
      <c r="O399" s="1483"/>
      <c r="P399" s="1483"/>
      <c r="Q399" s="1546"/>
      <c r="R399" s="1546"/>
      <c r="S399" s="1538"/>
      <c r="T399" s="1538"/>
      <c r="U399" s="1557"/>
    </row>
    <row r="400" spans="10:21">
      <c r="J400" s="1483"/>
      <c r="K400" s="1483"/>
      <c r="L400" s="1483"/>
      <c r="M400" s="1483"/>
      <c r="N400" s="1483"/>
      <c r="O400" s="1483"/>
      <c r="P400" s="1483"/>
      <c r="Q400" s="1546"/>
      <c r="R400" s="1546"/>
      <c r="S400" s="1538"/>
      <c r="T400" s="1538"/>
      <c r="U400" s="1557"/>
    </row>
    <row r="401" spans="10:21">
      <c r="J401" s="1483"/>
      <c r="K401" s="1483"/>
      <c r="L401" s="1483"/>
      <c r="M401" s="1483"/>
      <c r="N401" s="1483"/>
      <c r="O401" s="1483"/>
      <c r="P401" s="1483"/>
      <c r="Q401" s="1546"/>
      <c r="R401" s="1546"/>
      <c r="S401" s="1538"/>
      <c r="T401" s="1538"/>
      <c r="U401" s="1557"/>
    </row>
    <row r="402" spans="10:21">
      <c r="J402" s="1483"/>
      <c r="K402" s="1483"/>
      <c r="L402" s="1483"/>
      <c r="M402" s="1483"/>
      <c r="N402" s="1483"/>
      <c r="O402" s="1483"/>
      <c r="P402" s="1483"/>
      <c r="Q402" s="1546"/>
      <c r="R402" s="1546"/>
      <c r="S402" s="1538"/>
      <c r="T402" s="1538"/>
      <c r="U402" s="1557"/>
    </row>
    <row r="403" spans="10:21">
      <c r="J403" s="1483"/>
      <c r="K403" s="1483"/>
      <c r="L403" s="1483"/>
      <c r="M403" s="1483"/>
      <c r="N403" s="1483"/>
      <c r="O403" s="1483"/>
      <c r="P403" s="1483"/>
      <c r="Q403" s="1546"/>
      <c r="R403" s="1546"/>
      <c r="S403" s="1538"/>
      <c r="T403" s="1538"/>
      <c r="U403" s="1557"/>
    </row>
    <row r="404" spans="10:21">
      <c r="J404" s="1483"/>
      <c r="K404" s="1483"/>
      <c r="L404" s="1483"/>
      <c r="M404" s="1483"/>
      <c r="N404" s="1483"/>
      <c r="O404" s="1483"/>
      <c r="P404" s="1483"/>
      <c r="Q404" s="1546"/>
      <c r="R404" s="1546"/>
      <c r="S404" s="1538"/>
      <c r="T404" s="1538"/>
      <c r="U404" s="1557"/>
    </row>
    <row r="405" spans="10:21">
      <c r="J405" s="1483"/>
      <c r="K405" s="1483"/>
      <c r="L405" s="1483"/>
      <c r="M405" s="1483"/>
      <c r="N405" s="1483"/>
      <c r="O405" s="1483"/>
      <c r="P405" s="1483"/>
      <c r="Q405" s="1546"/>
      <c r="R405" s="1546"/>
      <c r="S405" s="1538"/>
      <c r="T405" s="1538"/>
      <c r="U405" s="1557"/>
    </row>
    <row r="406" spans="10:21">
      <c r="J406" s="1483"/>
      <c r="K406" s="1483"/>
      <c r="L406" s="1483"/>
      <c r="M406" s="1483"/>
      <c r="N406" s="1483"/>
      <c r="O406" s="1483"/>
      <c r="P406" s="1483"/>
      <c r="Q406" s="1546"/>
      <c r="R406" s="1546"/>
      <c r="S406" s="1538"/>
      <c r="T406" s="1538"/>
      <c r="U406" s="1557"/>
    </row>
    <row r="407" spans="10:21">
      <c r="J407" s="1483"/>
      <c r="K407" s="1483"/>
      <c r="L407" s="1483"/>
      <c r="M407" s="1483"/>
      <c r="N407" s="1483"/>
      <c r="O407" s="1483"/>
      <c r="P407" s="1483"/>
      <c r="Q407" s="1546"/>
      <c r="R407" s="1546"/>
      <c r="S407" s="1538"/>
      <c r="T407" s="1538"/>
      <c r="U407" s="1557"/>
    </row>
    <row r="408" spans="10:21">
      <c r="J408" s="1483"/>
      <c r="K408" s="1483"/>
      <c r="L408" s="1483"/>
      <c r="M408" s="1483"/>
      <c r="N408" s="1483"/>
      <c r="O408" s="1483"/>
      <c r="P408" s="1483"/>
      <c r="Q408" s="1546"/>
      <c r="R408" s="1546"/>
      <c r="S408" s="1538"/>
      <c r="T408" s="1538"/>
      <c r="U408" s="1557"/>
    </row>
    <row r="409" spans="10:21">
      <c r="J409" s="1483"/>
      <c r="K409" s="1483"/>
      <c r="L409" s="1483"/>
      <c r="M409" s="1483"/>
      <c r="N409" s="1483"/>
      <c r="O409" s="1483"/>
      <c r="P409" s="1483"/>
      <c r="Q409" s="1546"/>
      <c r="R409" s="1546"/>
      <c r="S409" s="1538"/>
      <c r="T409" s="1538"/>
      <c r="U409" s="1557"/>
    </row>
    <row r="410" spans="10:21">
      <c r="J410" s="1483"/>
      <c r="K410" s="1483"/>
      <c r="L410" s="1483"/>
      <c r="M410" s="1483"/>
      <c r="N410" s="1483"/>
      <c r="O410" s="1483"/>
      <c r="P410" s="1483"/>
      <c r="Q410" s="1546"/>
      <c r="R410" s="1546"/>
      <c r="S410" s="1538"/>
      <c r="T410" s="1538"/>
      <c r="U410" s="1557"/>
    </row>
    <row r="411" spans="10:21">
      <c r="J411" s="1483"/>
      <c r="K411" s="1483"/>
      <c r="L411" s="1483"/>
      <c r="M411" s="1483"/>
      <c r="N411" s="1483"/>
      <c r="O411" s="1483"/>
      <c r="P411" s="1483"/>
      <c r="Q411" s="1546"/>
      <c r="R411" s="1546"/>
      <c r="S411" s="1538"/>
      <c r="T411" s="1538"/>
      <c r="U411" s="1557"/>
    </row>
    <row r="412" spans="10:21">
      <c r="J412" s="1483"/>
      <c r="K412" s="1483"/>
      <c r="L412" s="1483"/>
      <c r="M412" s="1483"/>
      <c r="N412" s="1483"/>
      <c r="O412" s="1483"/>
      <c r="P412" s="1483"/>
      <c r="Q412" s="1546"/>
      <c r="R412" s="1546"/>
      <c r="S412" s="1538"/>
      <c r="T412" s="1538"/>
      <c r="U412" s="1557"/>
    </row>
    <row r="413" spans="10:21">
      <c r="J413" s="1483"/>
      <c r="K413" s="1483"/>
      <c r="L413" s="1483"/>
      <c r="M413" s="1483"/>
      <c r="N413" s="1483"/>
      <c r="O413" s="1483"/>
      <c r="P413" s="1483"/>
      <c r="Q413" s="1546"/>
      <c r="R413" s="1546"/>
      <c r="S413" s="1538"/>
      <c r="T413" s="1538"/>
      <c r="U413" s="1557"/>
    </row>
    <row r="414" spans="10:21">
      <c r="J414" s="1483"/>
      <c r="K414" s="1483"/>
      <c r="L414" s="1483"/>
      <c r="M414" s="1483"/>
      <c r="N414" s="1483"/>
      <c r="O414" s="1483"/>
      <c r="P414" s="1483"/>
      <c r="Q414" s="1546"/>
      <c r="R414" s="1546"/>
      <c r="S414" s="1538"/>
      <c r="T414" s="1538"/>
      <c r="U414" s="1557"/>
    </row>
    <row r="415" spans="10:21">
      <c r="J415" s="1483"/>
      <c r="K415" s="1483"/>
      <c r="L415" s="1483"/>
      <c r="M415" s="1483"/>
      <c r="N415" s="1483"/>
      <c r="O415" s="1483"/>
      <c r="P415" s="1483"/>
      <c r="Q415" s="1546"/>
      <c r="R415" s="1546"/>
      <c r="S415" s="1538"/>
      <c r="T415" s="1538"/>
      <c r="U415" s="1557"/>
    </row>
    <row r="416" spans="10:21">
      <c r="J416" s="1483"/>
      <c r="K416" s="1483"/>
      <c r="L416" s="1483"/>
      <c r="M416" s="1483"/>
      <c r="N416" s="1483"/>
      <c r="O416" s="1483"/>
      <c r="P416" s="1483"/>
      <c r="Q416" s="1546"/>
      <c r="R416" s="1546"/>
      <c r="S416" s="1538"/>
      <c r="T416" s="1538"/>
      <c r="U416" s="1557"/>
    </row>
    <row r="417" spans="10:21">
      <c r="J417" s="1483"/>
      <c r="K417" s="1483"/>
      <c r="L417" s="1483"/>
      <c r="M417" s="1483"/>
      <c r="N417" s="1483"/>
      <c r="O417" s="1483"/>
      <c r="P417" s="1483"/>
      <c r="Q417" s="1546"/>
      <c r="R417" s="1546"/>
      <c r="S417" s="1538"/>
      <c r="T417" s="1538"/>
      <c r="U417" s="1557"/>
    </row>
    <row r="418" spans="10:21">
      <c r="J418" s="1483"/>
      <c r="K418" s="1483"/>
      <c r="L418" s="1483"/>
      <c r="M418" s="1483"/>
      <c r="N418" s="1483"/>
      <c r="O418" s="1483"/>
      <c r="P418" s="1483"/>
      <c r="Q418" s="1546"/>
      <c r="R418" s="1546"/>
      <c r="S418" s="1538"/>
      <c r="T418" s="1538"/>
      <c r="U418" s="1557"/>
    </row>
    <row r="419" spans="10:21">
      <c r="J419" s="1483"/>
      <c r="K419" s="1483"/>
      <c r="L419" s="1483"/>
      <c r="M419" s="1483"/>
      <c r="N419" s="1483"/>
      <c r="O419" s="1483"/>
      <c r="P419" s="1483"/>
      <c r="Q419" s="1546"/>
      <c r="R419" s="1546"/>
      <c r="S419" s="1538"/>
      <c r="T419" s="1538"/>
      <c r="U419" s="1557"/>
    </row>
  </sheetData>
  <conditionalFormatting sqref="M8:M196">
    <cfRule type="expression" dxfId="93" priority="43">
      <formula>AND($M8&gt;0,$G8=0)</formula>
    </cfRule>
    <cfRule type="expression" dxfId="92" priority="44">
      <formula>AND($M8=0,$G8&gt;0)</formula>
    </cfRule>
    <cfRule type="cellIs" dxfId="91" priority="45" operator="between">
      <formula>$J8</formula>
      <formula>$L8</formula>
    </cfRule>
    <cfRule type="cellIs" dxfId="90" priority="46" operator="lessThan">
      <formula>J8</formula>
    </cfRule>
    <cfRule type="cellIs" dxfId="89" priority="47" operator="greaterThan">
      <formula>L8</formula>
    </cfRule>
  </conditionalFormatting>
  <conditionalFormatting sqref="Q105">
    <cfRule type="cellIs" dxfId="88" priority="31" stopIfTrue="1" operator="between">
      <formula>$J$105</formula>
      <formula>$L$105</formula>
    </cfRule>
    <cfRule type="cellIs" dxfId="87" priority="32" stopIfTrue="1" operator="greaterThan">
      <formula>$L$105</formula>
    </cfRule>
    <cfRule type="cellIs" dxfId="86" priority="33" stopIfTrue="1" operator="lessThan">
      <formula>$J$105</formula>
    </cfRule>
    <cfRule type="cellIs" dxfId="85" priority="34" stopIfTrue="1" operator="between">
      <formula>$K$105</formula>
      <formula>$L$105</formula>
    </cfRule>
    <cfRule type="cellIs" dxfId="84" priority="35" operator="between">
      <formula>$K$105</formula>
      <formula>$L$105</formula>
    </cfRule>
  </conditionalFormatting>
  <conditionalFormatting sqref="Q107">
    <cfRule type="cellIs" dxfId="83" priority="25" stopIfTrue="1" operator="between">
      <formula>$K$107</formula>
      <formula>$L$107</formula>
    </cfRule>
    <cfRule type="cellIs" dxfId="82" priority="26" stopIfTrue="1" operator="greaterThan">
      <formula>$L$107</formula>
    </cfRule>
    <cfRule type="cellIs" dxfId="81" priority="27" stopIfTrue="1" operator="lessThan">
      <formula>$J$107</formula>
    </cfRule>
  </conditionalFormatting>
  <conditionalFormatting sqref="Q108">
    <cfRule type="cellIs" dxfId="80" priority="11" stopIfTrue="1" operator="greaterThan">
      <formula>$L$108</formula>
    </cfRule>
    <cfRule type="cellIs" dxfId="79" priority="12" stopIfTrue="1" operator="between">
      <formula>$K$108</formula>
      <formula>$L$108</formula>
    </cfRule>
    <cfRule type="cellIs" dxfId="78" priority="13" stopIfTrue="1" operator="greaterThan">
      <formula>$L$108</formula>
    </cfRule>
    <cfRule type="cellIs" dxfId="77" priority="14" stopIfTrue="1" operator="lessThan">
      <formula>$K$108</formula>
    </cfRule>
  </conditionalFormatting>
  <conditionalFormatting sqref="Q109">
    <cfRule type="cellIs" dxfId="76" priority="5" stopIfTrue="1" operator="between">
      <formula>$K$109</formula>
      <formula>$L$109</formula>
    </cfRule>
    <cfRule type="cellIs" dxfId="75" priority="6" stopIfTrue="1" operator="greaterThan">
      <formula>$L$109</formula>
    </cfRule>
    <cfRule type="cellIs" dxfId="74" priority="7" stopIfTrue="1" operator="lessThan">
      <formula>$J$109</formula>
    </cfRule>
  </conditionalFormatting>
  <conditionalFormatting sqref="Q8:R196 M8:M196">
    <cfRule type="expression" dxfId="73" priority="42">
      <formula>AND($M8=0,$G8=0)</formula>
    </cfRule>
  </conditionalFormatting>
  <conditionalFormatting sqref="Q8:R196">
    <cfRule type="expression" dxfId="72" priority="36">
      <formula>$V8="INV&gt;20"</formula>
    </cfRule>
    <cfRule type="expression" dxfId="71" priority="37">
      <formula>$V8="7≤INV≤20"</formula>
    </cfRule>
    <cfRule type="expression" dxfId="70" priority="38">
      <formula>$V8="INV&lt;7"</formula>
    </cfRule>
  </conditionalFormatting>
  <conditionalFormatting sqref="R105">
    <cfRule type="cellIs" dxfId="69" priority="22" stopIfTrue="1" operator="between">
      <formula>$J$105</formula>
      <formula>$L$105</formula>
    </cfRule>
    <cfRule type="cellIs" dxfId="68" priority="23" stopIfTrue="1" operator="greaterThan">
      <formula>$L$105</formula>
    </cfRule>
    <cfRule type="cellIs" dxfId="67" priority="24" stopIfTrue="1" operator="lessThan">
      <formula>$J$105</formula>
    </cfRule>
    <cfRule type="cellIs" dxfId="66" priority="28" stopIfTrue="1" operator="between">
      <formula>$K$105</formula>
      <formula>$L$105</formula>
    </cfRule>
    <cfRule type="cellIs" dxfId="65" priority="29" stopIfTrue="1" operator="greaterThan">
      <formula>$L$105</formula>
    </cfRule>
    <cfRule type="cellIs" dxfId="64" priority="30" stopIfTrue="1" operator="lessThan">
      <formula>$J$105</formula>
    </cfRule>
  </conditionalFormatting>
  <conditionalFormatting sqref="R107">
    <cfRule type="cellIs" dxfId="63" priority="18" stopIfTrue="1" operator="between">
      <formula>$K$107</formula>
      <formula>$L$107</formula>
    </cfRule>
    <cfRule type="cellIs" dxfId="62" priority="19" stopIfTrue="1" operator="between">
      <formula>$K$107</formula>
      <formula>" -   "</formula>
    </cfRule>
    <cfRule type="cellIs" dxfId="61" priority="20" stopIfTrue="1" operator="greaterThan">
      <formula>$L$107</formula>
    </cfRule>
    <cfRule type="cellIs" dxfId="60" priority="21" stopIfTrue="1" operator="lessThan">
      <formula>$J$107</formula>
    </cfRule>
  </conditionalFormatting>
  <conditionalFormatting sqref="R108">
    <cfRule type="cellIs" dxfId="59" priority="8" stopIfTrue="1" operator="greaterThan">
      <formula>$L$108</formula>
    </cfRule>
    <cfRule type="cellIs" dxfId="58" priority="9" stopIfTrue="1" operator="between">
      <formula>$K$108</formula>
      <formula>$L$108</formula>
    </cfRule>
    <cfRule type="cellIs" dxfId="57" priority="10" stopIfTrue="1" operator="lessThan">
      <formula>$J$108</formula>
    </cfRule>
  </conditionalFormatting>
  <conditionalFormatting sqref="V8:V104 V108:V196">
    <cfRule type="containsText" dxfId="56" priority="40" operator="containsText" text="7≤INV≤20">
      <formula>NOT(ISERROR(SEARCH("7≤INV≤20",V8)))</formula>
    </cfRule>
    <cfRule type="containsText" dxfId="55" priority="41" operator="containsText" text="INV&lt;7">
      <formula>NOT(ISERROR(SEARCH("INV&lt;7",V8)))</formula>
    </cfRule>
  </conditionalFormatting>
  <conditionalFormatting sqref="V108:V109">
    <cfRule type="cellIs" dxfId="54" priority="1" stopIfTrue="1" operator="between">
      <formula>$J$6</formula>
      <formula>$L$6</formula>
    </cfRule>
    <cfRule type="cellIs" dxfId="53" priority="2" stopIfTrue="1" operator="greaterThan">
      <formula>$L$6</formula>
    </cfRule>
    <cfRule type="cellIs" dxfId="52" priority="3" stopIfTrue="1" operator="lessThan">
      <formula>$J$6</formula>
    </cfRule>
    <cfRule type="cellIs" dxfId="51" priority="4" stopIfTrue="1" operator="lessThan">
      <formula>$K$108</formula>
    </cfRule>
    <cfRule type="cellIs" dxfId="50" priority="15" stopIfTrue="1" operator="between">
      <formula>$K$107</formula>
      <formula>$L$107</formula>
    </cfRule>
    <cfRule type="cellIs" dxfId="49" priority="16" stopIfTrue="1" operator="greaterThan">
      <formula>$L$107</formula>
    </cfRule>
    <cfRule type="cellIs" dxfId="48" priority="17" stopIfTrue="1" operator="lessThan">
      <formula>$K$107</formula>
    </cfRule>
  </conditionalFormatting>
  <conditionalFormatting sqref="V108:V196 V8:V104">
    <cfRule type="containsText" dxfId="47" priority="39" operator="containsText" text="INV&gt;20">
      <formula>NOT(ISERROR(SEARCH("INV&gt;20",V8)))</formula>
    </cfRule>
  </conditionalFormatting>
  <pageMargins left="0.5" right="0.5" top="0.5" bottom="0.5" header="0.3" footer="0.3"/>
  <pageSetup scale="12" orientation="landscape" blackAndWhite="1" r:id="rId1"/>
  <headerFooter>
    <oddHeader>&amp;RPage &amp;P of &amp;N</oddHeader>
    <oddFooter>&amp;C (MM-00005-Coordinador de Almacén/Logística) @ Industrias Maros C.A.PLANTA CABUDARE [localhost{192.168.10.157-NATULAC_PROD-adempiere}]&amp;LPowered by ADempiere ERP®&amp;R12 sept. 2024 3:29:14 p. m. VET</oddFooter>
  </headerFooter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5B02-72F5-4EC3-8DB2-26B65401F58A}">
  <sheetPr codeName="Hoja29"/>
  <dimension ref="B2:L33"/>
  <sheetViews>
    <sheetView topLeftCell="A22" workbookViewId="0">
      <selection activeCell="N32" sqref="N32"/>
    </sheetView>
  </sheetViews>
  <sheetFormatPr baseColWidth="10" defaultRowHeight="15"/>
  <cols>
    <col min="4" max="4" width="15.140625" customWidth="1"/>
    <col min="8" max="8" width="13.5703125" bestFit="1" customWidth="1"/>
  </cols>
  <sheetData>
    <row r="2" spans="2:9">
      <c r="C2" t="s">
        <v>709</v>
      </c>
      <c r="D2" s="1350" t="s">
        <v>714</v>
      </c>
      <c r="E2" s="1350" t="s">
        <v>713</v>
      </c>
      <c r="F2" s="1350" t="s">
        <v>715</v>
      </c>
      <c r="G2" s="1350" t="s">
        <v>716</v>
      </c>
    </row>
    <row r="3" spans="2:9">
      <c r="B3" s="2150">
        <v>1</v>
      </c>
      <c r="C3" s="1351" t="s">
        <v>710</v>
      </c>
      <c r="D3" s="1352" t="s">
        <v>675</v>
      </c>
      <c r="E3" s="1351">
        <v>30117</v>
      </c>
      <c r="F3" s="1351">
        <f>+E3*12</f>
        <v>361404</v>
      </c>
      <c r="G3" s="1351">
        <v>6131</v>
      </c>
      <c r="H3" s="1353">
        <f>+G3/F3*100</f>
        <v>1.6964394417327975</v>
      </c>
    </row>
    <row r="4" spans="2:9">
      <c r="B4" s="2151"/>
      <c r="C4" s="1354" t="s">
        <v>711</v>
      </c>
      <c r="D4" s="1355" t="s">
        <v>565</v>
      </c>
      <c r="E4" s="1354">
        <v>7565</v>
      </c>
      <c r="F4" s="1354">
        <f>+E4*24</f>
        <v>181560</v>
      </c>
      <c r="G4" s="1354">
        <v>4234</v>
      </c>
      <c r="H4" s="1356">
        <f t="shared" ref="H4:H18" si="0">+G4/F4*100</f>
        <v>2.3320114562679004</v>
      </c>
    </row>
    <row r="5" spans="2:9">
      <c r="B5" s="2152"/>
      <c r="C5" s="1357" t="s">
        <v>712</v>
      </c>
      <c r="D5" s="1358" t="s">
        <v>566</v>
      </c>
      <c r="E5" s="1357">
        <v>11692</v>
      </c>
      <c r="F5" s="1357">
        <f>+E5*24</f>
        <v>280608</v>
      </c>
      <c r="G5" s="1357">
        <v>8424</v>
      </c>
      <c r="H5" s="1359">
        <f t="shared" si="0"/>
        <v>3.0020526855969893</v>
      </c>
    </row>
    <row r="6" spans="2:9">
      <c r="B6" s="2150">
        <v>2</v>
      </c>
      <c r="C6" s="1351" t="s">
        <v>710</v>
      </c>
      <c r="D6" s="1352" t="s">
        <v>675</v>
      </c>
      <c r="E6" s="1351">
        <v>0</v>
      </c>
      <c r="F6" s="1351">
        <f>+E6*12</f>
        <v>0</v>
      </c>
      <c r="G6" s="1351">
        <v>3</v>
      </c>
      <c r="H6" s="1353" t="e">
        <f t="shared" si="0"/>
        <v>#DIV/0!</v>
      </c>
    </row>
    <row r="7" spans="2:9">
      <c r="B7" s="2151"/>
      <c r="C7" s="1354" t="s">
        <v>711</v>
      </c>
      <c r="D7" s="1355" t="s">
        <v>565</v>
      </c>
      <c r="E7" s="1354">
        <v>3432</v>
      </c>
      <c r="F7" s="1354">
        <f>+E7*24</f>
        <v>82368</v>
      </c>
      <c r="G7" s="1354">
        <v>2055</v>
      </c>
      <c r="H7" s="1356">
        <f t="shared" si="0"/>
        <v>2.4949009324009324</v>
      </c>
    </row>
    <row r="8" spans="2:9">
      <c r="B8" s="2152"/>
      <c r="C8" s="1357" t="s">
        <v>712</v>
      </c>
      <c r="D8" s="1358" t="s">
        <v>566</v>
      </c>
      <c r="E8" s="1357">
        <v>17567</v>
      </c>
      <c r="F8" s="1357">
        <f>+E8*24</f>
        <v>421608</v>
      </c>
      <c r="G8" s="1357">
        <v>6998</v>
      </c>
      <c r="H8" s="1359">
        <f t="shared" si="0"/>
        <v>1.6598356767423768</v>
      </c>
    </row>
    <row r="9" spans="2:9">
      <c r="B9" s="1917">
        <v>3</v>
      </c>
      <c r="C9" s="1351" t="s">
        <v>710</v>
      </c>
      <c r="D9" s="1352" t="s">
        <v>675</v>
      </c>
      <c r="E9" s="1351">
        <v>36580</v>
      </c>
      <c r="F9" s="1351">
        <f>+E9*12</f>
        <v>438960</v>
      </c>
      <c r="G9" s="1351">
        <v>7729</v>
      </c>
      <c r="H9" s="1353">
        <f t="shared" si="0"/>
        <v>1.760752688172043</v>
      </c>
    </row>
    <row r="10" spans="2:9">
      <c r="B10" s="1917"/>
      <c r="C10" s="1354" t="s">
        <v>711</v>
      </c>
      <c r="D10" s="1355" t="s">
        <v>565</v>
      </c>
      <c r="E10" s="1354">
        <v>8611</v>
      </c>
      <c r="F10" s="1354">
        <f>+E10*24</f>
        <v>206664</v>
      </c>
      <c r="G10" s="1354">
        <v>6333</v>
      </c>
      <c r="H10" s="1360">
        <f t="shared" si="0"/>
        <v>3.0643943792823132</v>
      </c>
      <c r="I10" s="1363">
        <f>+F21</f>
        <v>0.59940136433245161</v>
      </c>
    </row>
    <row r="11" spans="2:9">
      <c r="B11" s="1917"/>
      <c r="C11" s="1354" t="s">
        <v>712</v>
      </c>
      <c r="D11" s="1355" t="s">
        <v>566</v>
      </c>
      <c r="E11" s="1354">
        <v>4503</v>
      </c>
      <c r="F11" s="1354">
        <f>+E11*24</f>
        <v>108072</v>
      </c>
      <c r="G11" s="1354">
        <v>2767</v>
      </c>
      <c r="H11" s="1356">
        <f t="shared" si="0"/>
        <v>2.5603301502701905</v>
      </c>
    </row>
    <row r="12" spans="2:9">
      <c r="B12" s="1917"/>
      <c r="C12" s="1358" t="s">
        <v>712</v>
      </c>
      <c r="D12" s="1358" t="s">
        <v>565</v>
      </c>
      <c r="E12" s="1357">
        <v>5755</v>
      </c>
      <c r="F12" s="1357">
        <f>+E12*24</f>
        <v>138120</v>
      </c>
      <c r="G12" s="1357">
        <v>6417</v>
      </c>
      <c r="H12" s="1361">
        <f t="shared" si="0"/>
        <v>4.6459600347523899</v>
      </c>
      <c r="I12" s="1363">
        <f>+G21</f>
        <v>0.40059863566754839</v>
      </c>
    </row>
    <row r="13" spans="2:9">
      <c r="B13" s="1917">
        <v>4</v>
      </c>
      <c r="C13" s="1351" t="s">
        <v>710</v>
      </c>
      <c r="D13" s="1352" t="s">
        <v>675</v>
      </c>
      <c r="E13" s="1351">
        <v>23024</v>
      </c>
      <c r="F13" s="1351">
        <f>+E13*12</f>
        <v>276288</v>
      </c>
      <c r="G13" s="1351">
        <v>5989</v>
      </c>
      <c r="H13" s="1353">
        <f t="shared" si="0"/>
        <v>2.1676656242761179</v>
      </c>
    </row>
    <row r="14" spans="2:9">
      <c r="B14" s="1917"/>
      <c r="C14" s="1354" t="s">
        <v>711</v>
      </c>
      <c r="D14" s="1355" t="s">
        <v>565</v>
      </c>
      <c r="E14" s="1354">
        <v>7308</v>
      </c>
      <c r="F14" s="1354">
        <f>+E14*24</f>
        <v>175392</v>
      </c>
      <c r="G14" s="1354">
        <v>5662</v>
      </c>
      <c r="H14" s="1360">
        <f t="shared" si="0"/>
        <v>3.2281974092318921</v>
      </c>
      <c r="I14" s="1363">
        <f>+F22</f>
        <v>0.45152919369786837</v>
      </c>
    </row>
    <row r="15" spans="2:9">
      <c r="B15" s="1917"/>
      <c r="C15" s="1357" t="s">
        <v>712</v>
      </c>
      <c r="D15" s="1358" t="s">
        <v>565</v>
      </c>
      <c r="E15" s="1357">
        <v>8877</v>
      </c>
      <c r="F15" s="1357">
        <f>+E15*24</f>
        <v>213048</v>
      </c>
      <c r="G15" s="1357">
        <v>6462</v>
      </c>
      <c r="H15" s="1361">
        <f t="shared" si="0"/>
        <v>3.0331192970598173</v>
      </c>
      <c r="I15" s="1363">
        <f>+G22</f>
        <v>0.54847080630213163</v>
      </c>
    </row>
    <row r="16" spans="2:9">
      <c r="B16" s="1917">
        <v>5</v>
      </c>
      <c r="C16" s="1351" t="s">
        <v>710</v>
      </c>
      <c r="D16" s="1352" t="s">
        <v>675</v>
      </c>
      <c r="E16" s="1351">
        <v>6324</v>
      </c>
      <c r="F16" s="1351">
        <f>+E16*12</f>
        <v>75888</v>
      </c>
      <c r="G16" s="1351">
        <v>2073</v>
      </c>
      <c r="H16" s="1353">
        <f t="shared" si="0"/>
        <v>2.7316571790006328</v>
      </c>
    </row>
    <row r="17" spans="2:12">
      <c r="B17" s="1917"/>
      <c r="C17" s="1354" t="s">
        <v>711</v>
      </c>
      <c r="D17" s="1355" t="s">
        <v>565</v>
      </c>
      <c r="E17" s="1354">
        <v>3920</v>
      </c>
      <c r="F17" s="1354">
        <f>+E17*24</f>
        <v>94080</v>
      </c>
      <c r="G17" s="1354">
        <v>721</v>
      </c>
      <c r="H17" s="1360">
        <f t="shared" si="0"/>
        <v>0.76636904761904756</v>
      </c>
      <c r="I17" s="1363"/>
    </row>
    <row r="18" spans="2:12">
      <c r="B18" s="1917"/>
      <c r="C18" s="1357" t="s">
        <v>712</v>
      </c>
      <c r="D18" s="1358" t="s">
        <v>566</v>
      </c>
      <c r="E18" s="1357">
        <v>3178</v>
      </c>
      <c r="F18" s="1357">
        <f>+E18*24</f>
        <v>76272</v>
      </c>
      <c r="G18" s="1357">
        <v>1248</v>
      </c>
      <c r="H18" s="1361">
        <f t="shared" si="0"/>
        <v>1.6362492133417241</v>
      </c>
      <c r="I18" s="1363"/>
    </row>
    <row r="20" spans="2:12">
      <c r="D20" s="1350" t="s">
        <v>717</v>
      </c>
      <c r="F20">
        <v>2</v>
      </c>
      <c r="G20">
        <v>3</v>
      </c>
    </row>
    <row r="21" spans="2:12">
      <c r="D21">
        <v>3</v>
      </c>
      <c r="E21">
        <f>+E10+E12</f>
        <v>14366</v>
      </c>
      <c r="F21" s="1362">
        <f>+E10/E21</f>
        <v>0.59940136433245161</v>
      </c>
      <c r="G21" s="1362">
        <f>+E12/E21</f>
        <v>0.40059863566754839</v>
      </c>
    </row>
    <row r="22" spans="2:12">
      <c r="D22">
        <v>4</v>
      </c>
      <c r="E22">
        <f>+E15+E14</f>
        <v>16185</v>
      </c>
      <c r="F22" s="1362">
        <f>+E14/E22</f>
        <v>0.45152919369786837</v>
      </c>
      <c r="G22" s="1362">
        <f>+E15/E22</f>
        <v>0.54847080630213163</v>
      </c>
    </row>
    <row r="23" spans="2:12">
      <c r="F23" s="1362"/>
      <c r="G23" s="1362"/>
    </row>
    <row r="24" spans="2:12" ht="15.75" thickBot="1"/>
    <row r="25" spans="2:12" ht="15.75" thickBot="1">
      <c r="D25" s="1364" t="s">
        <v>718</v>
      </c>
      <c r="E25" s="1364" t="s">
        <v>719</v>
      </c>
      <c r="F25" s="1364" t="s">
        <v>720</v>
      </c>
      <c r="G25" s="1364" t="s">
        <v>725</v>
      </c>
      <c r="H25" s="1364" t="s">
        <v>721</v>
      </c>
      <c r="I25" s="1365" t="s">
        <v>723</v>
      </c>
      <c r="J25" s="1364" t="s">
        <v>722</v>
      </c>
      <c r="K25" s="1365" t="s">
        <v>724</v>
      </c>
      <c r="L25" s="1374" t="s">
        <v>726</v>
      </c>
    </row>
    <row r="26" spans="2:12" ht="15.75" thickBot="1">
      <c r="D26" s="1366">
        <v>1</v>
      </c>
      <c r="E26" s="1366">
        <f>+F4</f>
        <v>181560</v>
      </c>
      <c r="F26" s="1366">
        <v>187879</v>
      </c>
      <c r="G26" s="1366">
        <f>+F26-E26</f>
        <v>6319</v>
      </c>
      <c r="H26" s="1367">
        <f>+G26/F26*100</f>
        <v>3.3633349123638085</v>
      </c>
      <c r="I26" s="1368">
        <f>+H4</f>
        <v>2.3320114562679004</v>
      </c>
      <c r="J26" s="1369">
        <v>2</v>
      </c>
      <c r="K26" s="1364"/>
    </row>
    <row r="27" spans="2:12" ht="15.75" thickBot="1">
      <c r="D27" s="1366">
        <v>2</v>
      </c>
      <c r="E27" s="1366">
        <f>+F7</f>
        <v>82368</v>
      </c>
      <c r="F27" s="1366">
        <v>84315</v>
      </c>
      <c r="G27" s="1366">
        <f>+F27-E27</f>
        <v>1947</v>
      </c>
      <c r="H27" s="1370">
        <f>+G27/F27*100</f>
        <v>2.3091976516634052</v>
      </c>
      <c r="I27" s="1371">
        <f>+H7</f>
        <v>2.4949009324009324</v>
      </c>
      <c r="J27" s="1369">
        <v>2</v>
      </c>
      <c r="K27" s="1369"/>
    </row>
    <row r="28" spans="2:12" ht="15.75" thickBot="1">
      <c r="D28" s="2148">
        <v>3</v>
      </c>
      <c r="E28" s="2148">
        <f>+E21*24</f>
        <v>344784</v>
      </c>
      <c r="F28" s="2148">
        <v>364076</v>
      </c>
      <c r="G28" s="2148">
        <f>+F28-E28</f>
        <v>19292</v>
      </c>
      <c r="H28" s="2149">
        <f>+G28/F28*100</f>
        <v>5.2988936375921512</v>
      </c>
      <c r="I28" s="1368">
        <f>+H10</f>
        <v>3.0643943792823132</v>
      </c>
      <c r="J28" s="1369">
        <v>2</v>
      </c>
      <c r="K28" s="1372">
        <f>+I10</f>
        <v>0.59940136433245161</v>
      </c>
    </row>
    <row r="29" spans="2:12" ht="15.75" thickBot="1">
      <c r="D29" s="2148"/>
      <c r="E29" s="2148"/>
      <c r="F29" s="2148"/>
      <c r="G29" s="2148"/>
      <c r="H29" s="2149"/>
      <c r="I29" s="1368">
        <f>+H12</f>
        <v>4.6459600347523899</v>
      </c>
      <c r="J29" s="1364">
        <v>3</v>
      </c>
      <c r="K29" s="1372">
        <f>+I12</f>
        <v>0.40059863566754839</v>
      </c>
      <c r="L29">
        <f>+G28*0.465/100</f>
        <v>89.707800000000006</v>
      </c>
    </row>
    <row r="30" spans="2:12" ht="15.75" thickBot="1">
      <c r="D30" s="2148">
        <v>4</v>
      </c>
      <c r="E30" s="2148">
        <f>+E22*24</f>
        <v>388440</v>
      </c>
      <c r="F30" s="2148">
        <v>411303</v>
      </c>
      <c r="G30" s="2148">
        <f>+F30-E30</f>
        <v>22863</v>
      </c>
      <c r="H30" s="2149">
        <f>+G30/F30*100</f>
        <v>5.5586757208189583</v>
      </c>
      <c r="I30" s="1368">
        <f>+H14</f>
        <v>3.2281974092318921</v>
      </c>
      <c r="J30" s="1364">
        <v>2</v>
      </c>
      <c r="K30" s="1372">
        <f>+I14</f>
        <v>0.45152919369786837</v>
      </c>
    </row>
    <row r="31" spans="2:12" ht="15.75" thickBot="1">
      <c r="D31" s="2148"/>
      <c r="E31" s="2148"/>
      <c r="F31" s="2148"/>
      <c r="G31" s="2148"/>
      <c r="H31" s="2149"/>
      <c r="I31" s="1368">
        <f>+H15</f>
        <v>3.0331192970598173</v>
      </c>
      <c r="J31" s="1364">
        <v>3</v>
      </c>
      <c r="K31" s="1372">
        <f>+I15</f>
        <v>0.54847080630213163</v>
      </c>
    </row>
    <row r="32" spans="2:12" ht="15.75" thickBot="1">
      <c r="D32" s="1366">
        <v>5</v>
      </c>
      <c r="E32" s="1366">
        <f>+F17</f>
        <v>94080</v>
      </c>
      <c r="F32" s="1366">
        <v>96902</v>
      </c>
      <c r="G32" s="1366">
        <f>+F32-E32</f>
        <v>2822</v>
      </c>
      <c r="H32" s="1367">
        <f>+G32/F32*100</f>
        <v>2.9122205940021879</v>
      </c>
      <c r="I32" s="1368">
        <f>+H17</f>
        <v>0.76636904761904756</v>
      </c>
      <c r="J32" s="1369">
        <v>2</v>
      </c>
      <c r="K32" s="1369"/>
    </row>
    <row r="33" spans="9:9">
      <c r="I33" s="292"/>
    </row>
  </sheetData>
  <mergeCells count="15">
    <mergeCell ref="B3:B5"/>
    <mergeCell ref="B6:B8"/>
    <mergeCell ref="B9:B12"/>
    <mergeCell ref="B13:B15"/>
    <mergeCell ref="B16:B18"/>
    <mergeCell ref="D30:D31"/>
    <mergeCell ref="E30:E31"/>
    <mergeCell ref="F30:F31"/>
    <mergeCell ref="G30:G31"/>
    <mergeCell ref="H30:H31"/>
    <mergeCell ref="D28:D29"/>
    <mergeCell ref="E28:E29"/>
    <mergeCell ref="F28:F29"/>
    <mergeCell ref="G28:G29"/>
    <mergeCell ref="H28:H29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>
    <tabColor theme="5" tint="-0.249977111117893"/>
  </sheetPr>
  <dimension ref="A1:O43"/>
  <sheetViews>
    <sheetView topLeftCell="B1" zoomScale="69" zoomScaleNormal="69" workbookViewId="0">
      <selection activeCell="K10" sqref="K10"/>
    </sheetView>
  </sheetViews>
  <sheetFormatPr baseColWidth="10" defaultColWidth="11.42578125" defaultRowHeight="15.75" customHeight="1"/>
  <cols>
    <col min="1" max="1" width="2.7109375" style="6" customWidth="1"/>
    <col min="2" max="2" width="13.85546875" style="6" customWidth="1"/>
    <col min="3" max="3" width="15.42578125" style="6" customWidth="1"/>
    <col min="4" max="4" width="26.5703125" style="6" customWidth="1"/>
    <col min="5" max="5" width="15.42578125" style="6" customWidth="1"/>
    <col min="6" max="6" width="14.85546875" style="6" customWidth="1"/>
    <col min="7" max="7" width="9.140625" style="6" customWidth="1"/>
    <col min="8" max="8" width="30.7109375" style="6" customWidth="1"/>
    <col min="9" max="9" width="20.28515625" style="6" customWidth="1"/>
    <col min="10" max="10" width="20.42578125" style="6" customWidth="1"/>
    <col min="11" max="11" width="24.5703125" style="6" customWidth="1"/>
    <col min="12" max="12" width="14.42578125" style="6" customWidth="1"/>
    <col min="13" max="13" width="14.28515625" style="6" customWidth="1"/>
    <col min="14" max="16384" width="11.42578125" style="6"/>
  </cols>
  <sheetData>
    <row r="1" spans="1:12" ht="15.75" customHeight="1" thickBot="1">
      <c r="E1" s="7"/>
      <c r="F1" s="8"/>
    </row>
    <row r="2" spans="1:12" ht="15.75" customHeight="1" thickBot="1">
      <c r="B2" s="2158" t="s">
        <v>0</v>
      </c>
      <c r="C2" s="2159"/>
      <c r="D2" s="2159"/>
      <c r="E2" s="2159"/>
      <c r="F2" s="2160"/>
      <c r="H2" s="2158" t="s">
        <v>1</v>
      </c>
      <c r="I2" s="2159"/>
      <c r="J2" s="2159"/>
      <c r="K2" s="2159"/>
    </row>
    <row r="3" spans="1:12" ht="15.75" customHeight="1" thickBot="1">
      <c r="A3" s="9"/>
      <c r="B3" s="10"/>
      <c r="C3" s="10"/>
      <c r="D3" s="11"/>
      <c r="E3" s="12"/>
    </row>
    <row r="4" spans="1:12" ht="15.75" customHeight="1" thickBot="1">
      <c r="B4" s="2163" t="s">
        <v>2</v>
      </c>
      <c r="C4" s="2164"/>
      <c r="D4" s="1707" t="s">
        <v>3</v>
      </c>
      <c r="E4" s="1708" t="s">
        <v>4</v>
      </c>
      <c r="F4" s="1712"/>
      <c r="H4" s="1704"/>
      <c r="I4" s="1705" t="s">
        <v>600</v>
      </c>
      <c r="J4" s="1705" t="s">
        <v>18</v>
      </c>
      <c r="K4" s="1705" t="s">
        <v>246</v>
      </c>
      <c r="L4" s="1705" t="s">
        <v>601</v>
      </c>
    </row>
    <row r="5" spans="1:12" ht="15.75" customHeight="1" thickBot="1">
      <c r="B5" s="2165"/>
      <c r="C5" s="2166"/>
      <c r="D5" s="16" t="s">
        <v>600</v>
      </c>
      <c r="E5" s="17">
        <v>4</v>
      </c>
      <c r="F5" s="1713"/>
      <c r="G5" s="8"/>
      <c r="H5" s="18" t="s">
        <v>19</v>
      </c>
      <c r="I5" s="50">
        <f>260*2</f>
        <v>520</v>
      </c>
      <c r="J5" s="50">
        <v>307</v>
      </c>
      <c r="K5" s="50">
        <v>170</v>
      </c>
      <c r="L5" s="51">
        <v>530</v>
      </c>
    </row>
    <row r="6" spans="1:12" ht="15.75" customHeight="1">
      <c r="B6" s="2161" t="s">
        <v>21</v>
      </c>
      <c r="C6" s="2162"/>
      <c r="D6" s="1706" t="s">
        <v>22</v>
      </c>
      <c r="E6" s="1709">
        <v>7</v>
      </c>
      <c r="F6" s="1710" t="s">
        <v>23</v>
      </c>
      <c r="H6" s="22" t="s">
        <v>602</v>
      </c>
      <c r="I6" s="66">
        <v>0</v>
      </c>
      <c r="J6" s="66">
        <v>0</v>
      </c>
      <c r="K6" s="66">
        <v>0</v>
      </c>
      <c r="L6" s="166">
        <v>6</v>
      </c>
    </row>
    <row r="7" spans="1:12" ht="15.75" customHeight="1">
      <c r="B7" s="1755" t="s">
        <v>602</v>
      </c>
      <c r="C7" s="1756"/>
      <c r="D7" s="24">
        <f>+IF($D$5=$I$4,I7,IF($D$5=$J$4,J7,IF($D$5=$K$4,K7,IF($D$5=$L$4,L6,0))))*$E$5</f>
        <v>0</v>
      </c>
      <c r="E7" s="24"/>
      <c r="F7" s="25">
        <f>D7+E7</f>
        <v>0</v>
      </c>
      <c r="G7" s="8"/>
      <c r="H7" s="22"/>
      <c r="I7" s="67"/>
      <c r="J7" s="67"/>
      <c r="K7" s="67"/>
      <c r="L7" s="54">
        <v>0</v>
      </c>
    </row>
    <row r="8" spans="1:12" ht="15.75" customHeight="1">
      <c r="B8" s="1755"/>
      <c r="C8" s="1756"/>
      <c r="D8" s="24">
        <f t="shared" ref="D8:D15" si="0">+IF($D$5=$I$4,I8,IF($D$5=$J$4,J8,IF($D$5=$K$4,K8,IF($D$5=$L$4,L7,0))))*$E$5</f>
        <v>0</v>
      </c>
      <c r="E8" s="26"/>
      <c r="F8" s="25">
        <f t="shared" ref="F8:F15" si="1">D8+E8</f>
        <v>0</v>
      </c>
      <c r="H8" s="22"/>
      <c r="I8" s="67"/>
      <c r="J8" s="67"/>
      <c r="K8" s="67"/>
      <c r="L8" s="54">
        <v>0</v>
      </c>
    </row>
    <row r="9" spans="1:12" ht="15.75" customHeight="1">
      <c r="B9" s="1755" t="s">
        <v>31</v>
      </c>
      <c r="C9" s="1756"/>
      <c r="D9" s="24">
        <f t="shared" si="0"/>
        <v>0</v>
      </c>
      <c r="E9" s="24"/>
      <c r="F9" s="25">
        <f t="shared" si="1"/>
        <v>0</v>
      </c>
      <c r="H9" s="22" t="s">
        <v>30</v>
      </c>
      <c r="I9" s="67">
        <v>0</v>
      </c>
      <c r="J9" s="67">
        <v>1</v>
      </c>
      <c r="K9" s="67"/>
      <c r="L9" s="54">
        <v>0</v>
      </c>
    </row>
    <row r="10" spans="1:12" ht="15.75" customHeight="1">
      <c r="B10" s="1755" t="s">
        <v>33</v>
      </c>
      <c r="C10" s="1756"/>
      <c r="D10" s="24">
        <f t="shared" si="0"/>
        <v>4.8</v>
      </c>
      <c r="E10" s="24"/>
      <c r="F10" s="27">
        <f t="shared" si="1"/>
        <v>4.8</v>
      </c>
      <c r="H10" s="22" t="s">
        <v>32</v>
      </c>
      <c r="I10" s="67">
        <v>1.2</v>
      </c>
      <c r="J10" s="67">
        <v>0.78</v>
      </c>
      <c r="K10" s="68">
        <v>1.7000000000000001E-2</v>
      </c>
      <c r="L10" s="1257">
        <v>0.6</v>
      </c>
    </row>
    <row r="11" spans="1:12" ht="15.75" customHeight="1">
      <c r="B11" s="1755" t="s">
        <v>35</v>
      </c>
      <c r="C11" s="1756"/>
      <c r="D11" s="24">
        <f t="shared" si="0"/>
        <v>4</v>
      </c>
      <c r="E11" s="24"/>
      <c r="F11" s="28">
        <f t="shared" si="1"/>
        <v>4</v>
      </c>
      <c r="H11" s="22" t="s">
        <v>34</v>
      </c>
      <c r="I11" s="69">
        <v>1</v>
      </c>
      <c r="J11" s="69">
        <v>0.75</v>
      </c>
      <c r="K11" s="69"/>
      <c r="L11" s="213">
        <v>0</v>
      </c>
    </row>
    <row r="12" spans="1:12" ht="15.75" customHeight="1">
      <c r="B12" s="1789" t="s">
        <v>37</v>
      </c>
      <c r="C12" s="1790"/>
      <c r="D12" s="24">
        <f t="shared" si="0"/>
        <v>0</v>
      </c>
      <c r="E12" s="31"/>
      <c r="F12" s="28">
        <f t="shared" si="1"/>
        <v>0</v>
      </c>
      <c r="H12" s="29" t="s">
        <v>36</v>
      </c>
      <c r="I12" s="66">
        <v>0</v>
      </c>
      <c r="J12" s="68">
        <v>0</v>
      </c>
      <c r="K12" s="66"/>
      <c r="L12" s="166">
        <v>0</v>
      </c>
    </row>
    <row r="13" spans="1:12" ht="15.75" customHeight="1">
      <c r="B13" s="1755" t="s">
        <v>39</v>
      </c>
      <c r="C13" s="1756"/>
      <c r="D13" s="24">
        <f t="shared" si="0"/>
        <v>0</v>
      </c>
      <c r="E13" s="31"/>
      <c r="F13" s="28">
        <f t="shared" si="1"/>
        <v>0</v>
      </c>
      <c r="H13" s="22" t="s">
        <v>38</v>
      </c>
      <c r="I13" s="68">
        <v>0</v>
      </c>
      <c r="J13" s="68">
        <v>0</v>
      </c>
      <c r="K13" s="66"/>
      <c r="L13" s="166">
        <v>0</v>
      </c>
    </row>
    <row r="14" spans="1:12" ht="15.75" customHeight="1">
      <c r="B14" s="1755" t="s">
        <v>41</v>
      </c>
      <c r="C14" s="1756"/>
      <c r="D14" s="24">
        <f t="shared" si="0"/>
        <v>0.24</v>
      </c>
      <c r="E14" s="24"/>
      <c r="F14" s="25">
        <f t="shared" si="1"/>
        <v>0.24</v>
      </c>
      <c r="H14" s="22" t="s">
        <v>40</v>
      </c>
      <c r="I14" s="66">
        <v>0.06</v>
      </c>
      <c r="J14" s="66">
        <v>0</v>
      </c>
      <c r="K14" s="66"/>
      <c r="L14" s="166">
        <v>0.08</v>
      </c>
    </row>
    <row r="15" spans="1:12" ht="15.75" customHeight="1" thickBot="1">
      <c r="B15" s="1757" t="s">
        <v>43</v>
      </c>
      <c r="C15" s="1758"/>
      <c r="D15" s="34">
        <f t="shared" si="0"/>
        <v>9840</v>
      </c>
      <c r="E15" s="34"/>
      <c r="F15" s="35">
        <f t="shared" si="1"/>
        <v>9840</v>
      </c>
      <c r="H15" s="36" t="s">
        <v>42</v>
      </c>
      <c r="I15" s="70">
        <v>2460</v>
      </c>
      <c r="J15" s="70">
        <v>1500</v>
      </c>
      <c r="K15" s="70"/>
      <c r="L15" s="1711">
        <v>2180</v>
      </c>
    </row>
    <row r="16" spans="1:12" ht="15.75" customHeight="1" thickBot="1">
      <c r="H16" s="37" t="s">
        <v>44</v>
      </c>
      <c r="I16" s="71">
        <v>2870</v>
      </c>
      <c r="J16" s="71">
        <v>1735</v>
      </c>
      <c r="K16" s="71">
        <v>170</v>
      </c>
      <c r="L16" s="256">
        <v>2590</v>
      </c>
    </row>
    <row r="17" spans="2:15" ht="15.75" customHeight="1" thickBot="1">
      <c r="B17" s="2116" t="s">
        <v>45</v>
      </c>
      <c r="C17" s="2117"/>
      <c r="D17" s="39">
        <f>+IF($D$5=$I$4,I16,IF($D$5=$J$4,J16,IF($D$5=$K$4,K16,IF($D$5=#REF!,#REF!,IF($D$5=#REF!,#REF!,IF($D$5=#REF!,#REF!,IF($D$5=#REF!,#REF!,IF($D$5=#REF!,#REF!,IF($D$5=#REF!,#REF!,0)))))))))*$E$5</f>
        <v>11480</v>
      </c>
      <c r="F17" s="40"/>
    </row>
    <row r="18" spans="2:15" ht="15.75" customHeight="1" thickBot="1">
      <c r="E18" s="41"/>
      <c r="F18" s="40"/>
      <c r="G18" s="6" t="s">
        <v>147</v>
      </c>
      <c r="H18" s="42" t="s">
        <v>47</v>
      </c>
      <c r="I18" s="1761" t="s">
        <v>48</v>
      </c>
      <c r="J18" s="1762"/>
      <c r="K18" s="74">
        <v>237</v>
      </c>
    </row>
    <row r="19" spans="2:15" ht="15.75" customHeight="1">
      <c r="B19" s="43"/>
      <c r="C19" s="43"/>
      <c r="E19" s="44" t="s">
        <v>597</v>
      </c>
      <c r="F19" s="44"/>
      <c r="H19" s="45"/>
    </row>
    <row r="20" spans="2:15" ht="15.75" customHeight="1">
      <c r="B20" s="43"/>
      <c r="C20" s="43"/>
      <c r="E20" s="46"/>
      <c r="F20" s="47"/>
    </row>
    <row r="21" spans="2:15" ht="15.75" customHeight="1">
      <c r="E21" s="48"/>
      <c r="F21" s="48"/>
      <c r="H21" s="41"/>
      <c r="I21" s="41"/>
      <c r="J21" s="48"/>
    </row>
    <row r="22" spans="2:15" ht="15.75" customHeight="1">
      <c r="E22" s="48"/>
      <c r="F22" s="48"/>
      <c r="I22" s="44"/>
      <c r="J22" s="44"/>
      <c r="K22" s="44"/>
      <c r="O22" s="8"/>
    </row>
    <row r="23" spans="2:15" ht="15.75" customHeight="1">
      <c r="D23" s="7"/>
      <c r="E23" s="7"/>
      <c r="F23" s="7"/>
      <c r="H23" s="49"/>
      <c r="I23" s="44"/>
      <c r="J23" s="44"/>
      <c r="O23" s="8"/>
    </row>
    <row r="24" spans="2:15" ht="15.75" customHeight="1" thickBot="1">
      <c r="B24" s="2110"/>
      <c r="C24" s="2110"/>
      <c r="D24" s="58"/>
      <c r="E24" s="58"/>
      <c r="F24" s="57"/>
      <c r="G24" s="57"/>
      <c r="H24" s="53"/>
      <c r="I24" s="44"/>
      <c r="K24" s="44"/>
    </row>
    <row r="25" spans="2:15" ht="15.75" customHeight="1" thickBot="1">
      <c r="B25" s="2111"/>
      <c r="C25" s="2111"/>
      <c r="D25" s="59"/>
      <c r="E25" s="59"/>
      <c r="F25" s="57"/>
      <c r="G25" s="57"/>
      <c r="H25" s="2153" t="s">
        <v>564</v>
      </c>
      <c r="I25" s="2154"/>
      <c r="J25" s="2154"/>
      <c r="K25" s="2154"/>
      <c r="L25" s="2154"/>
      <c r="M25" s="2155"/>
    </row>
    <row r="26" spans="2:15" ht="15.75" customHeight="1">
      <c r="B26" s="2110"/>
      <c r="C26" s="2110"/>
      <c r="D26" s="59"/>
      <c r="E26" s="59"/>
      <c r="F26" s="57"/>
      <c r="G26" s="57"/>
      <c r="H26" s="1714" t="s">
        <v>222</v>
      </c>
      <c r="I26" s="1715" t="s">
        <v>444</v>
      </c>
      <c r="J26" s="1715" t="s">
        <v>565</v>
      </c>
      <c r="K26" s="1715" t="s">
        <v>566</v>
      </c>
      <c r="L26" s="1716" t="s">
        <v>567</v>
      </c>
      <c r="M26" s="1716" t="s">
        <v>670</v>
      </c>
    </row>
    <row r="27" spans="2:15" ht="15.75" customHeight="1">
      <c r="B27" s="2110"/>
      <c r="C27" s="2110"/>
      <c r="D27" s="58"/>
      <c r="E27" s="58"/>
      <c r="F27" s="57"/>
      <c r="G27" s="57"/>
      <c r="H27" s="1717" t="s">
        <v>246</v>
      </c>
      <c r="I27" s="102">
        <v>500</v>
      </c>
      <c r="J27" s="102">
        <v>250</v>
      </c>
      <c r="K27" s="103"/>
      <c r="L27" s="104"/>
      <c r="M27" s="104"/>
    </row>
    <row r="28" spans="2:15" ht="15.75" customHeight="1">
      <c r="B28" s="61"/>
      <c r="C28" s="61"/>
      <c r="D28" s="61"/>
      <c r="E28" s="61"/>
      <c r="F28" s="61"/>
      <c r="G28" s="57"/>
      <c r="H28" s="1718" t="s">
        <v>569</v>
      </c>
      <c r="I28" s="1697">
        <f>+I27*12</f>
        <v>6000</v>
      </c>
      <c r="J28" s="1698">
        <f>+J27*6</f>
        <v>1500</v>
      </c>
      <c r="K28" s="1699">
        <f>+K27*6</f>
        <v>0</v>
      </c>
      <c r="L28" s="1700">
        <f>+L27*3.96</f>
        <v>0</v>
      </c>
      <c r="M28" s="1700">
        <f>+M27*6</f>
        <v>0</v>
      </c>
    </row>
    <row r="29" spans="2:15" ht="15.75" customHeight="1" thickBot="1">
      <c r="B29" s="61"/>
      <c r="C29" s="61"/>
      <c r="D29" s="61"/>
      <c r="E29" s="61"/>
      <c r="F29" s="61"/>
      <c r="G29" s="61"/>
      <c r="H29" s="1719" t="s">
        <v>570</v>
      </c>
      <c r="I29" s="1701">
        <f>+IF($H$27=$I$4,(I28/$I$16)*2,IF($H$27=$J$4,I28/$J$16,IF($H$27=$K$4,I28/$K$16,IF($H$27=$L$4,I28/$L$16,IF($H$27=$M$4,I28/$M$16,IF($H$27=$N$4,I28/$N$16,IF($H$27=$O$4,I28/$O$16)))))))</f>
        <v>35.294117647058826</v>
      </c>
      <c r="J29" s="1701">
        <f>+IF($H$27=$I$4,(J28/$I$16)*2,IF($H$27=$J$4,J28/$J$16,IF($H$27=$K$4,J28/$K$16,IF($H$27=$L$4,J28/$L$16,IF($H$27=$M$4,J28/$M$16,IF($H$27=$N$4,J28/$N$16,IF($H$27=$O$4,J28/$O$16)))))))</f>
        <v>8.8235294117647065</v>
      </c>
      <c r="K29" s="1701">
        <f>+IF($H$27=$I$4,(K28/$I$16)*4,IF($H$27=$J$4,K28/$J$16,IF($H$27=$K$4,K28/$K$16,IF($H$27=$L$4,K28/$L$16,IF($H$27=$M$4,K28/$M$16,IF($H$27=$N$4,K28/$N$16,IF($H$27=$O$4,K28/$O$16)))))))</f>
        <v>0</v>
      </c>
      <c r="L29" s="1702">
        <f>+IF($H$27=$I$4,(L28/$I$16)*2,IF($H$27=$J$4,L28/$J$16,IF($H$27=$K$4,L28/$K$16,IF($H$27=$L$4,L28/$L$16,IF($H$27=$M$4,L28/$M$16,IF($H$27=$N$4,L28/$N$16,IF($H$27=$O$4,L28/$O$16)))))))</f>
        <v>0</v>
      </c>
      <c r="M29" s="1702">
        <f>+IF($H$27=$I$4,(M28/$I$16)*4,IF($H$27=$J$4,M28/$J$16,IF($H$27=$K$4,M28/$K$16,IF($H$27=$L$4,M28/$L$16,IF($H$27=$M$4,M28/$M$16,IF($H$27=$N$4,M28/$N$16,IF($H$27=$O$4,M28/$O$16)))))))</f>
        <v>0</v>
      </c>
      <c r="N29" s="48">
        <f>+I29+J29+L29+M29</f>
        <v>44.117647058823536</v>
      </c>
    </row>
    <row r="30" spans="2:15" ht="15.75" customHeight="1" thickBot="1">
      <c r="G30" s="61"/>
      <c r="H30" s="1703" t="s">
        <v>572</v>
      </c>
      <c r="I30" s="2156">
        <f>ROUNDUP(N29,0)</f>
        <v>45</v>
      </c>
      <c r="J30" s="2156"/>
      <c r="K30" s="2156"/>
      <c r="L30" s="2156"/>
      <c r="M30" s="2157"/>
    </row>
    <row r="31" spans="2:15" ht="15.75" customHeight="1">
      <c r="H31" s="60" t="s">
        <v>574</v>
      </c>
      <c r="I31" s="232">
        <v>8000</v>
      </c>
      <c r="J31" s="232">
        <v>1875</v>
      </c>
      <c r="K31" s="60">
        <v>3000</v>
      </c>
      <c r="L31" s="144">
        <v>2475</v>
      </c>
      <c r="M31" s="6">
        <v>3000</v>
      </c>
    </row>
    <row r="32" spans="2:15" ht="15.75" customHeight="1">
      <c r="D32" s="62"/>
      <c r="E32" s="63"/>
      <c r="H32" s="60" t="s">
        <v>575</v>
      </c>
      <c r="I32" s="232">
        <f>+I28/I31</f>
        <v>0.75</v>
      </c>
      <c r="J32" s="232">
        <f>+J28/J31</f>
        <v>0.8</v>
      </c>
      <c r="K32" s="60">
        <f>+K28/K31</f>
        <v>0</v>
      </c>
      <c r="L32" s="60">
        <f>+L28/L31</f>
        <v>0</v>
      </c>
      <c r="M32" s="60">
        <f>+M28/M31</f>
        <v>0</v>
      </c>
    </row>
    <row r="33" spans="4:11" ht="15.75" customHeight="1">
      <c r="D33" s="60"/>
      <c r="E33" s="63"/>
    </row>
    <row r="34" spans="4:11" ht="15.75" customHeight="1">
      <c r="D34" s="60"/>
      <c r="E34" s="63"/>
    </row>
    <row r="35" spans="4:11" ht="15.75" customHeight="1">
      <c r="D35" s="60"/>
      <c r="E35" s="63"/>
    </row>
    <row r="36" spans="4:11" ht="15.75" customHeight="1">
      <c r="D36" s="60"/>
      <c r="E36" s="63"/>
    </row>
    <row r="37" spans="4:11" ht="15.75" customHeight="1">
      <c r="D37" s="60"/>
      <c r="E37" s="63"/>
    </row>
    <row r="38" spans="4:11" ht="15.75" customHeight="1">
      <c r="D38" s="64"/>
      <c r="E38" s="63"/>
    </row>
    <row r="39" spans="4:11" ht="15.75" customHeight="1">
      <c r="D39" s="64"/>
      <c r="E39" s="63"/>
    </row>
    <row r="40" spans="4:11" ht="15.75" customHeight="1">
      <c r="D40" s="60"/>
      <c r="E40" s="63"/>
    </row>
    <row r="41" spans="4:11" ht="15.75" customHeight="1">
      <c r="D41" s="62"/>
      <c r="E41" s="63"/>
    </row>
    <row r="42" spans="4:11" ht="15.75" customHeight="1">
      <c r="E42" s="63"/>
      <c r="F42" s="63"/>
    </row>
    <row r="43" spans="4:11" ht="15.75" customHeight="1">
      <c r="G43" s="63"/>
      <c r="H43" s="63"/>
      <c r="I43" s="63"/>
      <c r="J43" s="63"/>
      <c r="K43" s="63"/>
    </row>
  </sheetData>
  <sheetProtection selectLockedCells="1"/>
  <mergeCells count="21">
    <mergeCell ref="I30:M30"/>
    <mergeCell ref="B2:F2"/>
    <mergeCell ref="H2:K2"/>
    <mergeCell ref="B6:C6"/>
    <mergeCell ref="B7:C7"/>
    <mergeCell ref="B8:C8"/>
    <mergeCell ref="B4:C5"/>
    <mergeCell ref="B9:C9"/>
    <mergeCell ref="B10:C10"/>
    <mergeCell ref="B11:C11"/>
    <mergeCell ref="B12:C12"/>
    <mergeCell ref="B13:C13"/>
    <mergeCell ref="B14:C14"/>
    <mergeCell ref="B15:C15"/>
    <mergeCell ref="B17:C17"/>
    <mergeCell ref="B26:C26"/>
    <mergeCell ref="B27:C27"/>
    <mergeCell ref="I18:J18"/>
    <mergeCell ref="B24:C24"/>
    <mergeCell ref="B25:C25"/>
    <mergeCell ref="H25:M25"/>
  </mergeCells>
  <dataValidations count="3">
    <dataValidation type="list" showInputMessage="1" showErrorMessage="1" sqref="D5" xr:uid="{00000000-0002-0000-1000-000000000000}">
      <formula1>$I$4:$L$4</formula1>
    </dataValidation>
    <dataValidation type="whole" showErrorMessage="1" errorTitle="Seleccionar Sabor" error="Seleccionar el sabor de la producción de la Lista" sqref="E5" xr:uid="{00000000-0002-0000-1000-000001000000}">
      <formula1>0</formula1>
      <formula2>1000</formula2>
    </dataValidation>
    <dataValidation type="list" allowBlank="1" showInputMessage="1" showErrorMessage="1" sqref="H27" xr:uid="{64C0C232-AF26-43B9-9C00-18C33A821A48}">
      <formula1>$I$4:$R$4</formula1>
    </dataValidation>
  </dataValidations>
  <printOptions horizontalCentered="1" verticalCentered="1"/>
  <pageMargins left="0.31496062992126" right="0.31496062992126" top="0.59055118110236204" bottom="0.59055118110236204" header="0" footer="0"/>
  <pageSetup orientation="landscape" verticalDpi="300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30"/>
  <dimension ref="A2:D7"/>
  <sheetViews>
    <sheetView workbookViewId="0">
      <selection activeCell="B2" sqref="B2:D6"/>
    </sheetView>
  </sheetViews>
  <sheetFormatPr baseColWidth="10" defaultColWidth="11" defaultRowHeight="15"/>
  <cols>
    <col min="2" max="2" width="26" customWidth="1"/>
  </cols>
  <sheetData>
    <row r="2" spans="1:4">
      <c r="B2" t="s">
        <v>603</v>
      </c>
      <c r="C2" t="s">
        <v>604</v>
      </c>
      <c r="D2" t="s">
        <v>605</v>
      </c>
    </row>
    <row r="3" spans="1:4">
      <c r="C3" t="s">
        <v>606</v>
      </c>
      <c r="D3" s="1">
        <f>0.0058/13</f>
        <v>4.4615384615384612E-4</v>
      </c>
    </row>
    <row r="4" spans="1:4" ht="30">
      <c r="C4" s="2" t="s">
        <v>607</v>
      </c>
      <c r="D4" s="3">
        <f>+D3*1000</f>
        <v>0.44615384615384612</v>
      </c>
    </row>
    <row r="5" spans="1:4">
      <c r="C5" t="s">
        <v>608</v>
      </c>
      <c r="D5" t="s">
        <v>609</v>
      </c>
    </row>
    <row r="6" spans="1:4">
      <c r="A6" s="4"/>
      <c r="B6" s="4"/>
      <c r="C6" s="5" t="s">
        <v>610</v>
      </c>
      <c r="D6" t="s">
        <v>611</v>
      </c>
    </row>
    <row r="7" spans="1:4">
      <c r="C7" s="5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36" master="" otherUserPermission="visible"/>
  <rangeList sheetStid="44" master="" otherUserPermission="visible"/>
  <rangeList sheetStid="50" master="" otherUserPermission="visible"/>
  <rangeList sheetStid="47" master="" otherUserPermission="visible"/>
  <rangeList sheetStid="45" master="" otherUserPermission="visible"/>
  <rangeList sheetStid="35" master="" otherUserPermission="visible"/>
  <rangeList sheetStid="32" master="" otherUserPermission="visible"/>
  <rangeList sheetStid="46" master="" otherUserPermission="visible"/>
  <rangeList sheetStid="15" master="" otherUserPermission="visible"/>
  <rangeList sheetStid="6" master="" otherUserPermission="visible"/>
  <rangeList sheetStid="17" master="" otherUserPermission="visible"/>
  <rangeList sheetStid="13" master="" otherUserPermission="visible"/>
  <rangeList sheetStid="49" master="" otherUserPermission="visible"/>
  <rangeList sheetStid="43" master="" otherUserPermission="visible"/>
  <rangeList sheetStid="42" master="" otherUserPermission="visible"/>
  <rangeList sheetStid="28" master="" otherUserPermission="visible"/>
  <rangeList sheetStid="37" master="" otherUserPermission="visible"/>
  <rangeList sheetStid="34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29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8</vt:i4>
      </vt:variant>
    </vt:vector>
  </HeadingPairs>
  <TitlesOfParts>
    <vt:vector size="38" baseType="lpstr">
      <vt:lpstr>FORMULACIÒN CONVELAC</vt:lpstr>
      <vt:lpstr>peroxido</vt:lpstr>
      <vt:lpstr>RESGUARDO MATERIAL DE EMPAQUE</vt:lpstr>
      <vt:lpstr>Naranjada Cotoperi Pedidos</vt:lpstr>
      <vt:lpstr>CIERRE ME</vt:lpstr>
      <vt:lpstr>CIERRES SEGREGADO Edulc</vt:lpstr>
      <vt:lpstr>CIERRES SEGREGADO T</vt:lpstr>
      <vt:lpstr>RESGUARDO</vt:lpstr>
      <vt:lpstr>Pegas</vt:lpstr>
      <vt:lpstr>COLORES TAPAS</vt:lpstr>
      <vt:lpstr>AZUCAR</vt:lpstr>
      <vt:lpstr>Reportes de Prod</vt:lpstr>
      <vt:lpstr>Consumo Estimado</vt:lpstr>
      <vt:lpstr>Consumibles</vt:lpstr>
      <vt:lpstr>PRODUCCION ASEPTICO</vt:lpstr>
      <vt:lpstr>Reporte </vt:lpstr>
      <vt:lpstr>Cálculos</vt:lpstr>
      <vt:lpstr> MATERIA PRIMA CLASICA </vt:lpstr>
      <vt:lpstr>FORMULA COTOPERI</vt:lpstr>
      <vt:lpstr>TE</vt:lpstr>
      <vt:lpstr>Merma L</vt:lpstr>
      <vt:lpstr>Hoja3</vt:lpstr>
      <vt:lpstr>Hoja1</vt:lpstr>
      <vt:lpstr>JUCOSA</vt:lpstr>
      <vt:lpstr>SIN AZUCAR</vt:lpstr>
      <vt:lpstr>DATA GENERAL</vt:lpstr>
      <vt:lpstr>PLMS</vt:lpstr>
      <vt:lpstr>PREMIUM</vt:lpstr>
      <vt:lpstr>pitillos arcevi</vt:lpstr>
      <vt:lpstr>Gráfico1</vt:lpstr>
      <vt:lpstr>'CIERRE ME'!Área_de_impresión</vt:lpstr>
      <vt:lpstr>'CIERRES SEGREGADO Edulc'!Área_de_impresión</vt:lpstr>
      <vt:lpstr>'CIERRES SEGREGADO T'!Área_de_impresión</vt:lpstr>
      <vt:lpstr>RESGUARDO!Área_de_impresión</vt:lpstr>
      <vt:lpstr>'RESGUARDO MATERIAL DE EMPAQUE'!Área_de_impresión</vt:lpstr>
      <vt:lpstr>' MATERIA PRIMA CLASICA '!MANGO</vt:lpstr>
      <vt:lpstr>'FORMULA COTOPERI'!MANGO</vt:lpstr>
      <vt:lpstr>'FORMULACIÒN CONVELAC'!MANGO</vt:lpstr>
    </vt:vector>
  </TitlesOfParts>
  <Company>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name</dc:creator>
  <cp:lastModifiedBy>Analista Aseptico</cp:lastModifiedBy>
  <cp:lastPrinted>2026-08-31T12:26:07Z</cp:lastPrinted>
  <dcterms:created xsi:type="dcterms:W3CDTF">2018-06-12T17:38:00Z</dcterms:created>
  <dcterms:modified xsi:type="dcterms:W3CDTF">2026-09-11T12:30:17Z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1BE958E1F807473983D219839A4F6E7A_12</vt:lpwstr>
  </property>
  <property fmtid="{D5CDD505-2E9C-101B-9397-08002B2CF9AE}" pid="3" name="KSOProductBuildVer">
    <vt:lpwstr>1033-12.2.0.18607</vt:lpwstr>
  </property>
</Properties>
</file>